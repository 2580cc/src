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hiba/Desktop/"/>
    </mc:Choice>
  </mc:AlternateContent>
  <xr:revisionPtr revIDLastSave="0" documentId="13_ncr:1_{D5656197-50AD-A240-A119-A1A084C8B0A8}" xr6:coauthVersionLast="36" xr6:coauthVersionMax="36" xr10:uidLastSave="{00000000-0000-0000-0000-000000000000}"/>
  <bookViews>
    <workbookView xWindow="6340" yWindow="500" windowWidth="22420" windowHeight="16120" activeTab="2" xr2:uid="{820FCDA7-D2A9-DC44-818E-0F7AF0112B5A}"/>
  </bookViews>
  <sheets>
    <sheet name="祝日定義" sheetId="1" r:id="rId1"/>
    <sheet name="そのた定義" sheetId="3" r:id="rId2"/>
    <sheet name="カレンダ" sheetId="2" r:id="rId3"/>
  </sheets>
  <definedNames>
    <definedName name="_xlnm._FilterDatabase" localSheetId="2" hidden="1">カレンダ!$A$1:$N$2131</definedName>
    <definedName name="_xlnm._FilterDatabase" localSheetId="0" hidden="1">祝日定義!$G$1:$G$110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F5" i="2" s="1"/>
  <c r="D4" i="2"/>
  <c r="F4" i="2" s="1"/>
  <c r="D3" i="2"/>
  <c r="F3" i="2" s="1"/>
  <c r="D12" i="2"/>
  <c r="F12" i="2" s="1"/>
  <c r="D9" i="2"/>
  <c r="F9" i="2" s="1"/>
  <c r="D8" i="2"/>
  <c r="F8" i="2" s="1"/>
  <c r="D7" i="2"/>
  <c r="F7" i="2" s="1"/>
  <c r="D6" i="2"/>
  <c r="F6" i="2" s="1"/>
  <c r="D2" i="2"/>
  <c r="F2" i="2" s="1"/>
  <c r="D10" i="2"/>
  <c r="F10" i="2" s="1"/>
  <c r="D11" i="2"/>
  <c r="F11" i="2" s="1"/>
  <c r="D13" i="2"/>
  <c r="F13" i="2" s="1"/>
  <c r="D14" i="2"/>
  <c r="F14" i="2" s="1"/>
  <c r="D15" i="2"/>
  <c r="F15" i="2" s="1"/>
  <c r="D16" i="2"/>
  <c r="F16" i="2" s="1"/>
  <c r="D17" i="2"/>
  <c r="F17" i="2" s="1"/>
  <c r="D18" i="2"/>
  <c r="F18" i="2" s="1"/>
  <c r="D19" i="2"/>
  <c r="F19" i="2" s="1"/>
  <c r="D20" i="2"/>
  <c r="F20" i="2" s="1"/>
  <c r="D21" i="2"/>
  <c r="F21" i="2" s="1"/>
  <c r="D22" i="2"/>
  <c r="F22" i="2" s="1"/>
  <c r="D23" i="2"/>
  <c r="F23" i="2" s="1"/>
  <c r="D24" i="2"/>
  <c r="F24" i="2" s="1"/>
  <c r="D25" i="2"/>
  <c r="F25" i="2" s="1"/>
  <c r="D26" i="2"/>
  <c r="F26" i="2" s="1"/>
  <c r="D27" i="2"/>
  <c r="F27" i="2" s="1"/>
  <c r="D28" i="2"/>
  <c r="F28" i="2" s="1"/>
  <c r="D29" i="2"/>
  <c r="F29" i="2" s="1"/>
  <c r="D30" i="2"/>
  <c r="F30" i="2" s="1"/>
  <c r="D31" i="2"/>
  <c r="F31" i="2" s="1"/>
  <c r="D32" i="2"/>
  <c r="F32" i="2" s="1"/>
  <c r="D33" i="2"/>
  <c r="F33" i="2" s="1"/>
  <c r="D34" i="2"/>
  <c r="F34" i="2" s="1"/>
  <c r="D35" i="2"/>
  <c r="F35" i="2" s="1"/>
  <c r="D36" i="2"/>
  <c r="F36" i="2" s="1"/>
  <c r="D37" i="2"/>
  <c r="F37" i="2" s="1"/>
  <c r="D38" i="2"/>
  <c r="F38" i="2" s="1"/>
  <c r="D39" i="2"/>
  <c r="F39" i="2" s="1"/>
  <c r="D40" i="2"/>
  <c r="F40" i="2" s="1"/>
  <c r="D41" i="2"/>
  <c r="F41" i="2" s="1"/>
  <c r="D42" i="2"/>
  <c r="F42" i="2" s="1"/>
  <c r="D43" i="2"/>
  <c r="F43" i="2" s="1"/>
  <c r="D44" i="2"/>
  <c r="F44" i="2" s="1"/>
  <c r="D45" i="2"/>
  <c r="F45" i="2" s="1"/>
  <c r="D46" i="2"/>
  <c r="F46" i="2" s="1"/>
  <c r="D47" i="2"/>
  <c r="F47" i="2" s="1"/>
  <c r="D48" i="2"/>
  <c r="F48" i="2" s="1"/>
  <c r="D49" i="2"/>
  <c r="F49" i="2" s="1"/>
  <c r="D50" i="2"/>
  <c r="F50" i="2" s="1"/>
  <c r="D51" i="2"/>
  <c r="F51" i="2" s="1"/>
  <c r="D52" i="2"/>
  <c r="F52" i="2" s="1"/>
  <c r="D53" i="2"/>
  <c r="F53" i="2" s="1"/>
  <c r="D54" i="2"/>
  <c r="F54" i="2" s="1"/>
  <c r="D55" i="2"/>
  <c r="F55" i="2" s="1"/>
  <c r="D56" i="2"/>
  <c r="F56" i="2" s="1"/>
  <c r="D57" i="2"/>
  <c r="F57" i="2" s="1"/>
  <c r="D58" i="2"/>
  <c r="F58" i="2" s="1"/>
  <c r="D59" i="2"/>
  <c r="F59" i="2" s="1"/>
  <c r="D60" i="2"/>
  <c r="F60" i="2" s="1"/>
  <c r="D61" i="2"/>
  <c r="F61" i="2" s="1"/>
  <c r="D62" i="2"/>
  <c r="F62" i="2" s="1"/>
  <c r="D63" i="2"/>
  <c r="F63" i="2" s="1"/>
  <c r="D64" i="2"/>
  <c r="F64" i="2" s="1"/>
  <c r="D65" i="2"/>
  <c r="F65" i="2" s="1"/>
  <c r="D66" i="2"/>
  <c r="F66" i="2" s="1"/>
  <c r="D67" i="2"/>
  <c r="F67" i="2" s="1"/>
  <c r="D68" i="2"/>
  <c r="F68" i="2" s="1"/>
  <c r="D69" i="2"/>
  <c r="F69" i="2" s="1"/>
  <c r="D70" i="2"/>
  <c r="F70" i="2" s="1"/>
  <c r="D71" i="2"/>
  <c r="F71" i="2" s="1"/>
  <c r="D72" i="2"/>
  <c r="F72" i="2" s="1"/>
  <c r="D73" i="2"/>
  <c r="F73" i="2" s="1"/>
  <c r="D74" i="2"/>
  <c r="F74" i="2" s="1"/>
  <c r="D75" i="2"/>
  <c r="F75" i="2" s="1"/>
  <c r="D76" i="2"/>
  <c r="F76" i="2" s="1"/>
  <c r="D77" i="2"/>
  <c r="F77" i="2" s="1"/>
  <c r="D78" i="2"/>
  <c r="F78" i="2" s="1"/>
  <c r="D79" i="2"/>
  <c r="F79" i="2" s="1"/>
  <c r="D80" i="2"/>
  <c r="F80" i="2" s="1"/>
  <c r="D81" i="2"/>
  <c r="F81" i="2" s="1"/>
  <c r="D82" i="2"/>
  <c r="F82" i="2" s="1"/>
  <c r="D83" i="2"/>
  <c r="F83" i="2" s="1"/>
  <c r="D84" i="2"/>
  <c r="F84" i="2" s="1"/>
  <c r="D85" i="2"/>
  <c r="F85" i="2" s="1"/>
  <c r="D86" i="2"/>
  <c r="F86" i="2" s="1"/>
  <c r="D87" i="2"/>
  <c r="F87" i="2" s="1"/>
  <c r="D88" i="2"/>
  <c r="F88" i="2" s="1"/>
  <c r="D89" i="2"/>
  <c r="F89" i="2" s="1"/>
  <c r="D90" i="2"/>
  <c r="F90" i="2" s="1"/>
  <c r="D91" i="2"/>
  <c r="F91" i="2" s="1"/>
  <c r="D92" i="2"/>
  <c r="F92" i="2" s="1"/>
  <c r="D93" i="2"/>
  <c r="F93" i="2" s="1"/>
  <c r="D94" i="2"/>
  <c r="F94" i="2" s="1"/>
  <c r="D95" i="2"/>
  <c r="F95" i="2" s="1"/>
  <c r="D96" i="2"/>
  <c r="F96" i="2" s="1"/>
  <c r="D97" i="2"/>
  <c r="F97" i="2" s="1"/>
  <c r="D98" i="2"/>
  <c r="F98" i="2" s="1"/>
  <c r="D99" i="2"/>
  <c r="F99" i="2" s="1"/>
  <c r="D100" i="2"/>
  <c r="F100" i="2" s="1"/>
  <c r="D101" i="2"/>
  <c r="F101" i="2" s="1"/>
  <c r="D102" i="2"/>
  <c r="F102" i="2" s="1"/>
  <c r="D103" i="2"/>
  <c r="F103" i="2" s="1"/>
  <c r="D104" i="2"/>
  <c r="F104" i="2" s="1"/>
  <c r="D105" i="2"/>
  <c r="F105" i="2" s="1"/>
  <c r="D106" i="2"/>
  <c r="F106" i="2" s="1"/>
  <c r="D107" i="2"/>
  <c r="F107" i="2" s="1"/>
  <c r="D108" i="2"/>
  <c r="F108" i="2" s="1"/>
  <c r="D109" i="2"/>
  <c r="F109" i="2" s="1"/>
  <c r="D110" i="2"/>
  <c r="F110" i="2" s="1"/>
  <c r="D111" i="2"/>
  <c r="F111" i="2" s="1"/>
  <c r="D112" i="2"/>
  <c r="F112" i="2" s="1"/>
  <c r="D113" i="2"/>
  <c r="F113" i="2" s="1"/>
  <c r="D114" i="2"/>
  <c r="F114" i="2" s="1"/>
  <c r="D115" i="2"/>
  <c r="F115" i="2" s="1"/>
  <c r="D116" i="2"/>
  <c r="F116" i="2" s="1"/>
  <c r="D117" i="2"/>
  <c r="F117" i="2" s="1"/>
  <c r="D118" i="2"/>
  <c r="F118" i="2" s="1"/>
  <c r="D119" i="2"/>
  <c r="F119" i="2" s="1"/>
  <c r="D120" i="2"/>
  <c r="F120" i="2" s="1"/>
  <c r="D121" i="2"/>
  <c r="F121" i="2" s="1"/>
  <c r="D122" i="2"/>
  <c r="F122" i="2" s="1"/>
  <c r="D123" i="2"/>
  <c r="F123" i="2" s="1"/>
  <c r="D124" i="2"/>
  <c r="F124" i="2" s="1"/>
  <c r="D125" i="2"/>
  <c r="F125" i="2" s="1"/>
  <c r="D126" i="2"/>
  <c r="F126" i="2" s="1"/>
  <c r="D127" i="2"/>
  <c r="F127" i="2" s="1"/>
  <c r="D128" i="2"/>
  <c r="F128" i="2" s="1"/>
  <c r="D129" i="2"/>
  <c r="F129" i="2" s="1"/>
  <c r="D130" i="2"/>
  <c r="F130" i="2" s="1"/>
  <c r="D131" i="2"/>
  <c r="F131" i="2" s="1"/>
  <c r="D132" i="2"/>
  <c r="F132" i="2" s="1"/>
  <c r="D133" i="2"/>
  <c r="F133" i="2" s="1"/>
  <c r="D134" i="2"/>
  <c r="F134" i="2" s="1"/>
  <c r="D135" i="2"/>
  <c r="F135" i="2" s="1"/>
  <c r="D136" i="2"/>
  <c r="F136" i="2" s="1"/>
  <c r="D137" i="2"/>
  <c r="F137" i="2" s="1"/>
  <c r="D138" i="2"/>
  <c r="F138" i="2" s="1"/>
  <c r="D139" i="2"/>
  <c r="F139" i="2" s="1"/>
  <c r="D140" i="2"/>
  <c r="F140" i="2" s="1"/>
  <c r="D141" i="2"/>
  <c r="F141" i="2" s="1"/>
  <c r="D142" i="2"/>
  <c r="F142" i="2" s="1"/>
  <c r="D143" i="2"/>
  <c r="F143" i="2" s="1"/>
  <c r="D144" i="2"/>
  <c r="F144" i="2" s="1"/>
  <c r="D145" i="2"/>
  <c r="F145" i="2" s="1"/>
  <c r="D146" i="2"/>
  <c r="F146" i="2" s="1"/>
  <c r="D147" i="2"/>
  <c r="F147" i="2" s="1"/>
  <c r="D148" i="2"/>
  <c r="F148" i="2" s="1"/>
  <c r="D149" i="2"/>
  <c r="F149" i="2" s="1"/>
  <c r="D150" i="2"/>
  <c r="F150" i="2" s="1"/>
  <c r="D151" i="2"/>
  <c r="F151" i="2" s="1"/>
  <c r="D152" i="2"/>
  <c r="F152" i="2" s="1"/>
  <c r="D153" i="2"/>
  <c r="F153" i="2" s="1"/>
  <c r="D154" i="2"/>
  <c r="F154" i="2" s="1"/>
  <c r="D155" i="2"/>
  <c r="F155" i="2" s="1"/>
  <c r="D156" i="2"/>
  <c r="F156" i="2" s="1"/>
  <c r="D157" i="2"/>
  <c r="F157" i="2" s="1"/>
  <c r="D158" i="2"/>
  <c r="F158" i="2" s="1"/>
  <c r="D159" i="2"/>
  <c r="F159" i="2" s="1"/>
  <c r="D160" i="2"/>
  <c r="F160" i="2" s="1"/>
  <c r="D161" i="2"/>
  <c r="F161" i="2" s="1"/>
  <c r="D162" i="2"/>
  <c r="F162" i="2" s="1"/>
  <c r="D163" i="2"/>
  <c r="F163" i="2" s="1"/>
  <c r="D164" i="2"/>
  <c r="F164" i="2" s="1"/>
  <c r="D165" i="2"/>
  <c r="F165" i="2" s="1"/>
  <c r="D166" i="2"/>
  <c r="F166" i="2" s="1"/>
  <c r="D167" i="2"/>
  <c r="F167" i="2" s="1"/>
  <c r="D168" i="2"/>
  <c r="F168" i="2" s="1"/>
  <c r="D169" i="2"/>
  <c r="F169" i="2" s="1"/>
  <c r="D170" i="2"/>
  <c r="F170" i="2" s="1"/>
  <c r="D171" i="2"/>
  <c r="F171" i="2" s="1"/>
  <c r="D172" i="2"/>
  <c r="F172" i="2" s="1"/>
  <c r="D173" i="2"/>
  <c r="F173" i="2" s="1"/>
  <c r="D174" i="2"/>
  <c r="F174" i="2" s="1"/>
  <c r="D175" i="2"/>
  <c r="F175" i="2" s="1"/>
  <c r="D176" i="2"/>
  <c r="F176" i="2" s="1"/>
  <c r="D177" i="2"/>
  <c r="F177" i="2" s="1"/>
  <c r="D178" i="2"/>
  <c r="F178" i="2" s="1"/>
  <c r="D179" i="2"/>
  <c r="F179" i="2" s="1"/>
  <c r="D180" i="2"/>
  <c r="F180" i="2" s="1"/>
  <c r="D181" i="2"/>
  <c r="F181" i="2" s="1"/>
  <c r="D182" i="2"/>
  <c r="F182" i="2" s="1"/>
  <c r="D183" i="2"/>
  <c r="F183" i="2" s="1"/>
  <c r="D184" i="2"/>
  <c r="F184" i="2" s="1"/>
  <c r="D185" i="2"/>
  <c r="F185" i="2" s="1"/>
  <c r="D186" i="2"/>
  <c r="F186" i="2" s="1"/>
  <c r="D187" i="2"/>
  <c r="F187" i="2" s="1"/>
  <c r="D188" i="2"/>
  <c r="F188" i="2" s="1"/>
  <c r="D189" i="2"/>
  <c r="F189" i="2" s="1"/>
  <c r="D190" i="2"/>
  <c r="F190" i="2" s="1"/>
  <c r="D191" i="2"/>
  <c r="F191" i="2" s="1"/>
  <c r="D192" i="2"/>
  <c r="F192" i="2" s="1"/>
  <c r="D193" i="2"/>
  <c r="F193" i="2" s="1"/>
  <c r="D194" i="2"/>
  <c r="F194" i="2" s="1"/>
  <c r="D195" i="2"/>
  <c r="F195" i="2" s="1"/>
  <c r="D196" i="2"/>
  <c r="F196" i="2" s="1"/>
  <c r="D197" i="2"/>
  <c r="F197" i="2" s="1"/>
  <c r="D198" i="2"/>
  <c r="F198" i="2" s="1"/>
  <c r="D199" i="2"/>
  <c r="F199" i="2" s="1"/>
  <c r="D200" i="2"/>
  <c r="F200" i="2" s="1"/>
  <c r="D201" i="2"/>
  <c r="F201" i="2" s="1"/>
  <c r="D202" i="2"/>
  <c r="F202" i="2" s="1"/>
  <c r="D203" i="2"/>
  <c r="F203" i="2" s="1"/>
  <c r="D204" i="2"/>
  <c r="F204" i="2" s="1"/>
  <c r="D205" i="2"/>
  <c r="F205" i="2" s="1"/>
  <c r="D206" i="2"/>
  <c r="F206" i="2" s="1"/>
  <c r="D207" i="2"/>
  <c r="F207" i="2" s="1"/>
  <c r="D208" i="2"/>
  <c r="F208" i="2" s="1"/>
  <c r="D209" i="2"/>
  <c r="F209" i="2" s="1"/>
  <c r="D210" i="2"/>
  <c r="F210" i="2" s="1"/>
  <c r="D211" i="2"/>
  <c r="F211" i="2" s="1"/>
  <c r="D212" i="2"/>
  <c r="F212" i="2" s="1"/>
  <c r="D213" i="2"/>
  <c r="F213" i="2" s="1"/>
  <c r="D214" i="2"/>
  <c r="F214" i="2" s="1"/>
  <c r="D215" i="2"/>
  <c r="F215" i="2" s="1"/>
  <c r="D216" i="2"/>
  <c r="F216" i="2" s="1"/>
  <c r="D217" i="2"/>
  <c r="F217" i="2" s="1"/>
  <c r="D218" i="2"/>
  <c r="F218" i="2" s="1"/>
  <c r="D219" i="2"/>
  <c r="F219" i="2" s="1"/>
  <c r="D220" i="2"/>
  <c r="F220" i="2" s="1"/>
  <c r="D221" i="2"/>
  <c r="F221" i="2" s="1"/>
  <c r="D222" i="2"/>
  <c r="F222" i="2" s="1"/>
  <c r="D223" i="2"/>
  <c r="F223" i="2" s="1"/>
  <c r="D224" i="2"/>
  <c r="F224" i="2" s="1"/>
  <c r="D225" i="2"/>
  <c r="F225" i="2" s="1"/>
  <c r="D226" i="2"/>
  <c r="F226" i="2" s="1"/>
  <c r="D227" i="2"/>
  <c r="F227" i="2" s="1"/>
  <c r="D228" i="2"/>
  <c r="F228" i="2" s="1"/>
  <c r="D229" i="2"/>
  <c r="F229" i="2" s="1"/>
  <c r="D230" i="2"/>
  <c r="F230" i="2" s="1"/>
  <c r="D231" i="2"/>
  <c r="F231" i="2" s="1"/>
  <c r="D232" i="2"/>
  <c r="F232" i="2" s="1"/>
  <c r="D233" i="2"/>
  <c r="F233" i="2" s="1"/>
  <c r="D234" i="2"/>
  <c r="F234" i="2" s="1"/>
  <c r="D235" i="2"/>
  <c r="F235" i="2" s="1"/>
  <c r="D236" i="2"/>
  <c r="F236" i="2" s="1"/>
  <c r="D237" i="2"/>
  <c r="F237" i="2" s="1"/>
  <c r="D238" i="2"/>
  <c r="F238" i="2" s="1"/>
  <c r="D239" i="2"/>
  <c r="F239" i="2" s="1"/>
  <c r="D240" i="2"/>
  <c r="F240" i="2" s="1"/>
  <c r="D241" i="2"/>
  <c r="F241" i="2" s="1"/>
  <c r="D242" i="2"/>
  <c r="F242" i="2" s="1"/>
  <c r="D243" i="2"/>
  <c r="F243" i="2" s="1"/>
  <c r="D244" i="2"/>
  <c r="F244" i="2" s="1"/>
  <c r="D245" i="2"/>
  <c r="F245" i="2" s="1"/>
  <c r="D246" i="2"/>
  <c r="F246" i="2" s="1"/>
  <c r="D247" i="2"/>
  <c r="F247" i="2" s="1"/>
  <c r="D248" i="2"/>
  <c r="F248" i="2" s="1"/>
  <c r="D249" i="2"/>
  <c r="F249" i="2" s="1"/>
  <c r="D250" i="2"/>
  <c r="F250" i="2" s="1"/>
  <c r="D251" i="2"/>
  <c r="F251" i="2" s="1"/>
  <c r="D252" i="2"/>
  <c r="F252" i="2" s="1"/>
  <c r="D253" i="2"/>
  <c r="F253" i="2" s="1"/>
  <c r="D254" i="2"/>
  <c r="F254" i="2" s="1"/>
  <c r="D255" i="2"/>
  <c r="F255" i="2" s="1"/>
  <c r="D256" i="2"/>
  <c r="F256" i="2" s="1"/>
  <c r="D257" i="2"/>
  <c r="F257" i="2" s="1"/>
  <c r="D258" i="2"/>
  <c r="F258" i="2" s="1"/>
  <c r="D259" i="2"/>
  <c r="F259" i="2" s="1"/>
  <c r="D260" i="2"/>
  <c r="F260" i="2" s="1"/>
  <c r="D261" i="2"/>
  <c r="F261" i="2" s="1"/>
  <c r="D262" i="2"/>
  <c r="F262" i="2" s="1"/>
  <c r="D263" i="2"/>
  <c r="F263" i="2" s="1"/>
  <c r="D264" i="2"/>
  <c r="F264" i="2" s="1"/>
  <c r="D265" i="2"/>
  <c r="F265" i="2" s="1"/>
  <c r="D266" i="2"/>
  <c r="F266" i="2" s="1"/>
  <c r="D267" i="2"/>
  <c r="F267" i="2" s="1"/>
  <c r="D268" i="2"/>
  <c r="F268" i="2" s="1"/>
  <c r="D269" i="2"/>
  <c r="F269" i="2" s="1"/>
  <c r="D270" i="2"/>
  <c r="F270" i="2" s="1"/>
  <c r="D271" i="2"/>
  <c r="F271" i="2" s="1"/>
  <c r="D272" i="2"/>
  <c r="F272" i="2" s="1"/>
  <c r="D273" i="2"/>
  <c r="F273" i="2" s="1"/>
  <c r="D274" i="2"/>
  <c r="F274" i="2" s="1"/>
  <c r="D275" i="2"/>
  <c r="F275" i="2" s="1"/>
  <c r="D276" i="2"/>
  <c r="F276" i="2" s="1"/>
  <c r="D277" i="2"/>
  <c r="F277" i="2" s="1"/>
  <c r="D278" i="2"/>
  <c r="F278" i="2" s="1"/>
  <c r="D279" i="2"/>
  <c r="F279" i="2" s="1"/>
  <c r="D280" i="2"/>
  <c r="F280" i="2" s="1"/>
  <c r="D281" i="2"/>
  <c r="F281" i="2" s="1"/>
  <c r="D282" i="2"/>
  <c r="F282" i="2" s="1"/>
  <c r="D283" i="2"/>
  <c r="F283" i="2" s="1"/>
  <c r="D284" i="2"/>
  <c r="F284" i="2" s="1"/>
  <c r="D285" i="2"/>
  <c r="F285" i="2" s="1"/>
  <c r="D286" i="2"/>
  <c r="F286" i="2" s="1"/>
  <c r="D287" i="2"/>
  <c r="F287" i="2" s="1"/>
  <c r="D288" i="2"/>
  <c r="F288" i="2" s="1"/>
  <c r="D289" i="2"/>
  <c r="F289" i="2" s="1"/>
  <c r="D290" i="2"/>
  <c r="F290" i="2" s="1"/>
  <c r="D291" i="2"/>
  <c r="F291" i="2" s="1"/>
  <c r="D292" i="2"/>
  <c r="F292" i="2" s="1"/>
  <c r="D293" i="2"/>
  <c r="F293" i="2" s="1"/>
  <c r="D294" i="2"/>
  <c r="F294" i="2" s="1"/>
  <c r="D295" i="2"/>
  <c r="F295" i="2" s="1"/>
  <c r="D296" i="2"/>
  <c r="F296" i="2" s="1"/>
  <c r="D297" i="2"/>
  <c r="F297" i="2" s="1"/>
  <c r="D298" i="2"/>
  <c r="F298" i="2" s="1"/>
  <c r="D299" i="2"/>
  <c r="F299" i="2" s="1"/>
  <c r="D300" i="2"/>
  <c r="F300" i="2" s="1"/>
  <c r="D301" i="2"/>
  <c r="F301" i="2" s="1"/>
  <c r="D302" i="2"/>
  <c r="F302" i="2" s="1"/>
  <c r="D303" i="2"/>
  <c r="F303" i="2" s="1"/>
  <c r="D304" i="2"/>
  <c r="F304" i="2" s="1"/>
  <c r="D305" i="2"/>
  <c r="F305" i="2" s="1"/>
  <c r="D306" i="2"/>
  <c r="F306" i="2" s="1"/>
  <c r="D307" i="2"/>
  <c r="F307" i="2" s="1"/>
  <c r="D308" i="2"/>
  <c r="F308" i="2" s="1"/>
  <c r="D309" i="2"/>
  <c r="F309" i="2" s="1"/>
  <c r="D310" i="2"/>
  <c r="F310" i="2" s="1"/>
  <c r="D311" i="2"/>
  <c r="F311" i="2" s="1"/>
  <c r="D312" i="2"/>
  <c r="F312" i="2" s="1"/>
  <c r="D313" i="2"/>
  <c r="F313" i="2" s="1"/>
  <c r="D314" i="2"/>
  <c r="F314" i="2" s="1"/>
  <c r="D315" i="2"/>
  <c r="F315" i="2" s="1"/>
  <c r="D316" i="2"/>
  <c r="F316" i="2" s="1"/>
  <c r="D317" i="2"/>
  <c r="F317" i="2" s="1"/>
  <c r="D318" i="2"/>
  <c r="F318" i="2" s="1"/>
  <c r="D319" i="2"/>
  <c r="F319" i="2" s="1"/>
  <c r="D320" i="2"/>
  <c r="F320" i="2" s="1"/>
  <c r="D321" i="2"/>
  <c r="F321" i="2" s="1"/>
  <c r="D322" i="2"/>
  <c r="F322" i="2" s="1"/>
  <c r="D323" i="2"/>
  <c r="F323" i="2" s="1"/>
  <c r="D324" i="2"/>
  <c r="F324" i="2" s="1"/>
  <c r="D325" i="2"/>
  <c r="F325" i="2" s="1"/>
  <c r="D326" i="2"/>
  <c r="F326" i="2" s="1"/>
  <c r="D327" i="2"/>
  <c r="F327" i="2" s="1"/>
  <c r="D328" i="2"/>
  <c r="F328" i="2" s="1"/>
  <c r="D329" i="2"/>
  <c r="F329" i="2" s="1"/>
  <c r="D330" i="2"/>
  <c r="F330" i="2" s="1"/>
  <c r="D331" i="2"/>
  <c r="F331" i="2" s="1"/>
  <c r="D332" i="2"/>
  <c r="F332" i="2" s="1"/>
  <c r="D333" i="2"/>
  <c r="F333" i="2" s="1"/>
  <c r="D334" i="2"/>
  <c r="F334" i="2" s="1"/>
  <c r="D335" i="2"/>
  <c r="F335" i="2" s="1"/>
  <c r="D336" i="2"/>
  <c r="F336" i="2" s="1"/>
  <c r="D337" i="2"/>
  <c r="F337" i="2" s="1"/>
  <c r="D338" i="2"/>
  <c r="F338" i="2" s="1"/>
  <c r="D339" i="2"/>
  <c r="F339" i="2" s="1"/>
  <c r="D340" i="2"/>
  <c r="F340" i="2" s="1"/>
  <c r="D341" i="2"/>
  <c r="F341" i="2" s="1"/>
  <c r="D342" i="2"/>
  <c r="F342" i="2" s="1"/>
  <c r="D343" i="2"/>
  <c r="F343" i="2" s="1"/>
  <c r="D344" i="2"/>
  <c r="F344" i="2" s="1"/>
  <c r="D345" i="2"/>
  <c r="F345" i="2" s="1"/>
  <c r="D346" i="2"/>
  <c r="F346" i="2" s="1"/>
  <c r="D347" i="2"/>
  <c r="F347" i="2" s="1"/>
  <c r="D348" i="2"/>
  <c r="F348" i="2" s="1"/>
  <c r="D349" i="2"/>
  <c r="F349" i="2" s="1"/>
  <c r="D350" i="2"/>
  <c r="F350" i="2" s="1"/>
  <c r="D351" i="2"/>
  <c r="F351" i="2" s="1"/>
  <c r="D352" i="2"/>
  <c r="F352" i="2" s="1"/>
  <c r="D353" i="2"/>
  <c r="F353" i="2" s="1"/>
  <c r="D354" i="2"/>
  <c r="F354" i="2" s="1"/>
  <c r="D355" i="2"/>
  <c r="F355" i="2" s="1"/>
  <c r="D356" i="2"/>
  <c r="F356" i="2" s="1"/>
  <c r="D357" i="2"/>
  <c r="F357" i="2" s="1"/>
  <c r="D358" i="2"/>
  <c r="F358" i="2" s="1"/>
  <c r="D359" i="2"/>
  <c r="F359" i="2" s="1"/>
  <c r="D360" i="2"/>
  <c r="F360" i="2" s="1"/>
  <c r="D361" i="2"/>
  <c r="F361" i="2" s="1"/>
  <c r="D362" i="2"/>
  <c r="F362" i="2" s="1"/>
  <c r="D363" i="2"/>
  <c r="F363" i="2" s="1"/>
  <c r="D364" i="2"/>
  <c r="F364" i="2" s="1"/>
  <c r="D365" i="2"/>
  <c r="F365" i="2" s="1"/>
  <c r="D366" i="2"/>
  <c r="F366" i="2" s="1"/>
  <c r="D367" i="2"/>
  <c r="F367" i="2" s="1"/>
  <c r="D368" i="2"/>
  <c r="F368" i="2" s="1"/>
  <c r="D369" i="2"/>
  <c r="F369" i="2" s="1"/>
  <c r="D370" i="2"/>
  <c r="F370" i="2" s="1"/>
  <c r="D371" i="2"/>
  <c r="F371" i="2" s="1"/>
  <c r="D372" i="2"/>
  <c r="F372" i="2" s="1"/>
  <c r="D373" i="2"/>
  <c r="F373" i="2" s="1"/>
  <c r="D374" i="2"/>
  <c r="F374" i="2" s="1"/>
  <c r="D375" i="2"/>
  <c r="F375" i="2" s="1"/>
  <c r="D376" i="2"/>
  <c r="F376" i="2" s="1"/>
  <c r="D377" i="2"/>
  <c r="F377" i="2" s="1"/>
  <c r="D378" i="2"/>
  <c r="F378" i="2" s="1"/>
  <c r="D379" i="2"/>
  <c r="F379" i="2" s="1"/>
  <c r="D380" i="2"/>
  <c r="F380" i="2" s="1"/>
  <c r="D381" i="2"/>
  <c r="F381" i="2" s="1"/>
  <c r="D382" i="2"/>
  <c r="F382" i="2" s="1"/>
  <c r="D383" i="2"/>
  <c r="F383" i="2" s="1"/>
  <c r="D384" i="2"/>
  <c r="F384" i="2" s="1"/>
  <c r="D385" i="2"/>
  <c r="F385" i="2" s="1"/>
  <c r="D386" i="2"/>
  <c r="F386" i="2" s="1"/>
  <c r="D387" i="2"/>
  <c r="F387" i="2" s="1"/>
  <c r="D388" i="2"/>
  <c r="F388" i="2" s="1"/>
  <c r="D389" i="2"/>
  <c r="F389" i="2" s="1"/>
  <c r="D390" i="2"/>
  <c r="F390" i="2" s="1"/>
  <c r="D391" i="2"/>
  <c r="F391" i="2" s="1"/>
  <c r="D392" i="2"/>
  <c r="F392" i="2" s="1"/>
  <c r="D393" i="2"/>
  <c r="F393" i="2" s="1"/>
  <c r="D394" i="2"/>
  <c r="F394" i="2" s="1"/>
  <c r="D395" i="2"/>
  <c r="F395" i="2" s="1"/>
  <c r="D396" i="2"/>
  <c r="F396" i="2" s="1"/>
  <c r="D397" i="2"/>
  <c r="F397" i="2" s="1"/>
  <c r="D398" i="2"/>
  <c r="F398" i="2" s="1"/>
  <c r="D399" i="2"/>
  <c r="F399" i="2" s="1"/>
  <c r="D400" i="2"/>
  <c r="F400" i="2" s="1"/>
  <c r="D401" i="2"/>
  <c r="F401" i="2" s="1"/>
  <c r="D402" i="2"/>
  <c r="F402" i="2" s="1"/>
  <c r="D403" i="2"/>
  <c r="F403" i="2" s="1"/>
  <c r="D404" i="2"/>
  <c r="F404" i="2" s="1"/>
  <c r="D405" i="2"/>
  <c r="F405" i="2" s="1"/>
  <c r="D406" i="2"/>
  <c r="F406" i="2" s="1"/>
  <c r="D407" i="2"/>
  <c r="F407" i="2" s="1"/>
  <c r="D408" i="2"/>
  <c r="F408" i="2" s="1"/>
  <c r="D409" i="2"/>
  <c r="F409" i="2" s="1"/>
  <c r="D410" i="2"/>
  <c r="F410" i="2" s="1"/>
  <c r="D411" i="2"/>
  <c r="F411" i="2" s="1"/>
  <c r="D412" i="2"/>
  <c r="F412" i="2" s="1"/>
  <c r="D413" i="2"/>
  <c r="F413" i="2" s="1"/>
  <c r="D414" i="2"/>
  <c r="F414" i="2" s="1"/>
  <c r="D415" i="2"/>
  <c r="F415" i="2" s="1"/>
  <c r="D416" i="2"/>
  <c r="F416" i="2" s="1"/>
  <c r="D417" i="2"/>
  <c r="F417" i="2" s="1"/>
  <c r="D418" i="2"/>
  <c r="F418" i="2" s="1"/>
  <c r="D419" i="2"/>
  <c r="F419" i="2" s="1"/>
  <c r="D420" i="2"/>
  <c r="F420" i="2" s="1"/>
  <c r="D421" i="2"/>
  <c r="F421" i="2" s="1"/>
  <c r="D422" i="2"/>
  <c r="F422" i="2" s="1"/>
  <c r="D423" i="2"/>
  <c r="F423" i="2" s="1"/>
  <c r="D424" i="2"/>
  <c r="F424" i="2" s="1"/>
  <c r="D425" i="2"/>
  <c r="F425" i="2" s="1"/>
  <c r="D426" i="2"/>
  <c r="F426" i="2" s="1"/>
  <c r="D427" i="2"/>
  <c r="F427" i="2" s="1"/>
  <c r="D428" i="2"/>
  <c r="F428" i="2" s="1"/>
  <c r="D429" i="2"/>
  <c r="F429" i="2" s="1"/>
  <c r="D430" i="2"/>
  <c r="F430" i="2" s="1"/>
  <c r="D431" i="2"/>
  <c r="F431" i="2" s="1"/>
  <c r="D432" i="2"/>
  <c r="F432" i="2" s="1"/>
  <c r="D433" i="2"/>
  <c r="F433" i="2" s="1"/>
  <c r="D434" i="2"/>
  <c r="F434" i="2" s="1"/>
  <c r="D435" i="2"/>
  <c r="F435" i="2" s="1"/>
  <c r="D436" i="2"/>
  <c r="F436" i="2" s="1"/>
  <c r="D437" i="2"/>
  <c r="F437" i="2" s="1"/>
  <c r="D438" i="2"/>
  <c r="F438" i="2" s="1"/>
  <c r="D439" i="2"/>
  <c r="F439" i="2" s="1"/>
  <c r="D440" i="2"/>
  <c r="F440" i="2" s="1"/>
  <c r="D441" i="2"/>
  <c r="F441" i="2" s="1"/>
  <c r="D442" i="2"/>
  <c r="F442" i="2" s="1"/>
  <c r="D443" i="2"/>
  <c r="F443" i="2" s="1"/>
  <c r="D444" i="2"/>
  <c r="F444" i="2" s="1"/>
  <c r="D445" i="2"/>
  <c r="F445" i="2" s="1"/>
  <c r="D446" i="2"/>
  <c r="F446" i="2" s="1"/>
  <c r="D447" i="2"/>
  <c r="F447" i="2" s="1"/>
  <c r="D448" i="2"/>
  <c r="F448" i="2" s="1"/>
  <c r="D449" i="2"/>
  <c r="F449" i="2" s="1"/>
  <c r="D450" i="2"/>
  <c r="F450" i="2" s="1"/>
  <c r="D451" i="2"/>
  <c r="F451" i="2" s="1"/>
  <c r="D452" i="2"/>
  <c r="F452" i="2" s="1"/>
  <c r="D453" i="2"/>
  <c r="F453" i="2" s="1"/>
  <c r="D454" i="2"/>
  <c r="F454" i="2" s="1"/>
  <c r="D455" i="2"/>
  <c r="F455" i="2" s="1"/>
  <c r="D456" i="2"/>
  <c r="F456" i="2" s="1"/>
  <c r="D457" i="2"/>
  <c r="F457" i="2" s="1"/>
  <c r="D458" i="2"/>
  <c r="F458" i="2" s="1"/>
  <c r="D459" i="2"/>
  <c r="F459" i="2" s="1"/>
  <c r="D460" i="2"/>
  <c r="F460" i="2" s="1"/>
  <c r="D461" i="2"/>
  <c r="F461" i="2" s="1"/>
  <c r="D462" i="2"/>
  <c r="F462" i="2" s="1"/>
  <c r="D463" i="2"/>
  <c r="F463" i="2" s="1"/>
  <c r="D464" i="2"/>
  <c r="F464" i="2" s="1"/>
  <c r="D465" i="2"/>
  <c r="F465" i="2" s="1"/>
  <c r="D466" i="2"/>
  <c r="F466" i="2" s="1"/>
  <c r="D467" i="2"/>
  <c r="F467" i="2" s="1"/>
  <c r="D468" i="2"/>
  <c r="F468" i="2" s="1"/>
  <c r="D469" i="2"/>
  <c r="F469" i="2" s="1"/>
  <c r="D470" i="2"/>
  <c r="F470" i="2" s="1"/>
  <c r="D471" i="2"/>
  <c r="F471" i="2" s="1"/>
  <c r="D472" i="2"/>
  <c r="F472" i="2" s="1"/>
  <c r="D473" i="2"/>
  <c r="F473" i="2" s="1"/>
  <c r="D474" i="2"/>
  <c r="F474" i="2" s="1"/>
  <c r="D475" i="2"/>
  <c r="F475" i="2" s="1"/>
  <c r="D476" i="2"/>
  <c r="F476" i="2" s="1"/>
  <c r="D477" i="2"/>
  <c r="F477" i="2" s="1"/>
  <c r="D478" i="2"/>
  <c r="F478" i="2" s="1"/>
  <c r="D479" i="2"/>
  <c r="F479" i="2" s="1"/>
  <c r="D480" i="2"/>
  <c r="F480" i="2" s="1"/>
  <c r="D481" i="2"/>
  <c r="F481" i="2" s="1"/>
  <c r="D482" i="2"/>
  <c r="F482" i="2" s="1"/>
  <c r="D483" i="2"/>
  <c r="F483" i="2" s="1"/>
  <c r="D484" i="2"/>
  <c r="F484" i="2" s="1"/>
  <c r="D485" i="2"/>
  <c r="F485" i="2" s="1"/>
  <c r="D486" i="2"/>
  <c r="F486" i="2" s="1"/>
  <c r="D487" i="2"/>
  <c r="F487" i="2" s="1"/>
  <c r="D488" i="2"/>
  <c r="F488" i="2" s="1"/>
  <c r="D489" i="2"/>
  <c r="F489" i="2" s="1"/>
  <c r="D490" i="2"/>
  <c r="F490" i="2" s="1"/>
  <c r="D491" i="2"/>
  <c r="F491" i="2" s="1"/>
  <c r="D492" i="2"/>
  <c r="F492" i="2" s="1"/>
  <c r="D493" i="2"/>
  <c r="F493" i="2" s="1"/>
  <c r="D494" i="2"/>
  <c r="F494" i="2" s="1"/>
  <c r="D495" i="2"/>
  <c r="F495" i="2" s="1"/>
  <c r="D496" i="2"/>
  <c r="F496" i="2" s="1"/>
  <c r="D497" i="2"/>
  <c r="F497" i="2" s="1"/>
  <c r="D498" i="2"/>
  <c r="F498" i="2" s="1"/>
  <c r="D499" i="2"/>
  <c r="F499" i="2" s="1"/>
  <c r="D500" i="2"/>
  <c r="F500" i="2" s="1"/>
  <c r="D501" i="2"/>
  <c r="F501" i="2" s="1"/>
  <c r="D502" i="2"/>
  <c r="F502" i="2" s="1"/>
  <c r="D503" i="2"/>
  <c r="F503" i="2" s="1"/>
  <c r="D504" i="2"/>
  <c r="F504" i="2" s="1"/>
  <c r="D505" i="2"/>
  <c r="F505" i="2" s="1"/>
  <c r="D506" i="2"/>
  <c r="F506" i="2" s="1"/>
  <c r="D507" i="2"/>
  <c r="F507" i="2" s="1"/>
  <c r="D508" i="2"/>
  <c r="F508" i="2" s="1"/>
  <c r="D509" i="2"/>
  <c r="F509" i="2" s="1"/>
  <c r="D510" i="2"/>
  <c r="F510" i="2" s="1"/>
  <c r="D511" i="2"/>
  <c r="F511" i="2" s="1"/>
  <c r="D512" i="2"/>
  <c r="F512" i="2" s="1"/>
  <c r="D513" i="2"/>
  <c r="F513" i="2" s="1"/>
  <c r="D514" i="2"/>
  <c r="F514" i="2" s="1"/>
  <c r="D515" i="2"/>
  <c r="F515" i="2" s="1"/>
  <c r="D516" i="2"/>
  <c r="F516" i="2" s="1"/>
  <c r="D517" i="2"/>
  <c r="F517" i="2" s="1"/>
  <c r="D518" i="2"/>
  <c r="F518" i="2" s="1"/>
  <c r="D519" i="2"/>
  <c r="F519" i="2" s="1"/>
  <c r="D520" i="2"/>
  <c r="F520" i="2" s="1"/>
  <c r="D521" i="2"/>
  <c r="F521" i="2" s="1"/>
  <c r="D522" i="2"/>
  <c r="F522" i="2" s="1"/>
  <c r="D523" i="2"/>
  <c r="F523" i="2" s="1"/>
  <c r="D524" i="2"/>
  <c r="F524" i="2" s="1"/>
  <c r="D525" i="2"/>
  <c r="F525" i="2" s="1"/>
  <c r="D526" i="2"/>
  <c r="F526" i="2" s="1"/>
  <c r="D527" i="2"/>
  <c r="F527" i="2" s="1"/>
  <c r="D528" i="2"/>
  <c r="F528" i="2" s="1"/>
  <c r="D529" i="2"/>
  <c r="F529" i="2" s="1"/>
  <c r="D530" i="2"/>
  <c r="F530" i="2" s="1"/>
  <c r="D531" i="2"/>
  <c r="F531" i="2" s="1"/>
  <c r="D532" i="2"/>
  <c r="F532" i="2" s="1"/>
  <c r="D533" i="2"/>
  <c r="F533" i="2" s="1"/>
  <c r="D534" i="2"/>
  <c r="F534" i="2" s="1"/>
  <c r="D535" i="2"/>
  <c r="F535" i="2" s="1"/>
  <c r="D536" i="2"/>
  <c r="F536" i="2" s="1"/>
  <c r="D537" i="2"/>
  <c r="F537" i="2" s="1"/>
  <c r="D538" i="2"/>
  <c r="F538" i="2" s="1"/>
  <c r="D539" i="2"/>
  <c r="F539" i="2" s="1"/>
  <c r="D540" i="2"/>
  <c r="F540" i="2" s="1"/>
  <c r="D541" i="2"/>
  <c r="F541" i="2" s="1"/>
  <c r="D542" i="2"/>
  <c r="F542" i="2" s="1"/>
  <c r="D543" i="2"/>
  <c r="F543" i="2" s="1"/>
  <c r="D544" i="2"/>
  <c r="F544" i="2" s="1"/>
  <c r="D545" i="2"/>
  <c r="F545" i="2" s="1"/>
  <c r="D546" i="2"/>
  <c r="F546" i="2" s="1"/>
  <c r="D547" i="2"/>
  <c r="F547" i="2" s="1"/>
  <c r="D548" i="2"/>
  <c r="F548" i="2" s="1"/>
  <c r="D549" i="2"/>
  <c r="F549" i="2" s="1"/>
  <c r="D550" i="2"/>
  <c r="F550" i="2" s="1"/>
  <c r="D551" i="2"/>
  <c r="F551" i="2" s="1"/>
  <c r="D552" i="2"/>
  <c r="F552" i="2" s="1"/>
  <c r="D553" i="2"/>
  <c r="F553" i="2" s="1"/>
  <c r="D554" i="2"/>
  <c r="F554" i="2" s="1"/>
  <c r="D555" i="2"/>
  <c r="F555" i="2" s="1"/>
  <c r="D556" i="2"/>
  <c r="F556" i="2" s="1"/>
  <c r="D557" i="2"/>
  <c r="F557" i="2" s="1"/>
  <c r="D558" i="2"/>
  <c r="F558" i="2" s="1"/>
  <c r="D559" i="2"/>
  <c r="F559" i="2" s="1"/>
  <c r="D560" i="2"/>
  <c r="F560" i="2" s="1"/>
  <c r="D561" i="2"/>
  <c r="F561" i="2" s="1"/>
  <c r="D562" i="2"/>
  <c r="F562" i="2" s="1"/>
  <c r="D563" i="2"/>
  <c r="F563" i="2" s="1"/>
  <c r="D564" i="2"/>
  <c r="F564" i="2" s="1"/>
  <c r="D565" i="2"/>
  <c r="F565" i="2" s="1"/>
  <c r="D566" i="2"/>
  <c r="F566" i="2" s="1"/>
  <c r="D567" i="2"/>
  <c r="F567" i="2" s="1"/>
  <c r="D568" i="2"/>
  <c r="F568" i="2" s="1"/>
  <c r="D569" i="2"/>
  <c r="F569" i="2" s="1"/>
  <c r="D570" i="2"/>
  <c r="F570" i="2" s="1"/>
  <c r="D571" i="2"/>
  <c r="F571" i="2" s="1"/>
  <c r="D572" i="2"/>
  <c r="F572" i="2" s="1"/>
  <c r="D573" i="2"/>
  <c r="F573" i="2" s="1"/>
  <c r="D574" i="2"/>
  <c r="F574" i="2" s="1"/>
  <c r="D575" i="2"/>
  <c r="F575" i="2" s="1"/>
  <c r="D576" i="2"/>
  <c r="F576" i="2" s="1"/>
  <c r="D577" i="2"/>
  <c r="F577" i="2" s="1"/>
  <c r="D578" i="2"/>
  <c r="F578" i="2" s="1"/>
  <c r="D579" i="2"/>
  <c r="F579" i="2" s="1"/>
  <c r="D580" i="2"/>
  <c r="F580" i="2" s="1"/>
  <c r="D581" i="2"/>
  <c r="F581" i="2" s="1"/>
  <c r="D582" i="2"/>
  <c r="F582" i="2" s="1"/>
  <c r="D583" i="2"/>
  <c r="F583" i="2" s="1"/>
  <c r="D584" i="2"/>
  <c r="F584" i="2" s="1"/>
  <c r="D585" i="2"/>
  <c r="F585" i="2" s="1"/>
  <c r="D586" i="2"/>
  <c r="F586" i="2" s="1"/>
  <c r="D587" i="2"/>
  <c r="F587" i="2" s="1"/>
  <c r="D588" i="2"/>
  <c r="F588" i="2" s="1"/>
  <c r="D589" i="2"/>
  <c r="F589" i="2" s="1"/>
  <c r="D590" i="2"/>
  <c r="F590" i="2" s="1"/>
  <c r="D591" i="2"/>
  <c r="F591" i="2" s="1"/>
  <c r="D592" i="2"/>
  <c r="F592" i="2" s="1"/>
  <c r="D593" i="2"/>
  <c r="F593" i="2" s="1"/>
  <c r="D594" i="2"/>
  <c r="F594" i="2" s="1"/>
  <c r="D595" i="2"/>
  <c r="F595" i="2" s="1"/>
  <c r="D596" i="2"/>
  <c r="F596" i="2" s="1"/>
  <c r="D597" i="2"/>
  <c r="F597" i="2" s="1"/>
  <c r="D598" i="2"/>
  <c r="F598" i="2" s="1"/>
  <c r="D599" i="2"/>
  <c r="F599" i="2" s="1"/>
  <c r="D600" i="2"/>
  <c r="F600" i="2" s="1"/>
  <c r="D601" i="2"/>
  <c r="F601" i="2" s="1"/>
  <c r="D602" i="2"/>
  <c r="F602" i="2" s="1"/>
  <c r="D603" i="2"/>
  <c r="F603" i="2" s="1"/>
  <c r="D604" i="2"/>
  <c r="F604" i="2" s="1"/>
  <c r="D605" i="2"/>
  <c r="F605" i="2" s="1"/>
  <c r="D606" i="2"/>
  <c r="F606" i="2" s="1"/>
  <c r="D607" i="2"/>
  <c r="F607" i="2" s="1"/>
  <c r="D608" i="2"/>
  <c r="F608" i="2" s="1"/>
  <c r="D609" i="2"/>
  <c r="F609" i="2" s="1"/>
  <c r="D610" i="2"/>
  <c r="F610" i="2" s="1"/>
  <c r="D611" i="2"/>
  <c r="F611" i="2" s="1"/>
  <c r="D612" i="2"/>
  <c r="F612" i="2" s="1"/>
  <c r="D613" i="2"/>
  <c r="F613" i="2" s="1"/>
  <c r="D614" i="2"/>
  <c r="F614" i="2" s="1"/>
  <c r="D615" i="2"/>
  <c r="F615" i="2" s="1"/>
  <c r="D616" i="2"/>
  <c r="F616" i="2" s="1"/>
  <c r="D617" i="2"/>
  <c r="F617" i="2" s="1"/>
  <c r="D618" i="2"/>
  <c r="F618" i="2" s="1"/>
  <c r="D619" i="2"/>
  <c r="F619" i="2" s="1"/>
  <c r="D620" i="2"/>
  <c r="F620" i="2" s="1"/>
  <c r="D621" i="2"/>
  <c r="F621" i="2" s="1"/>
  <c r="D622" i="2"/>
  <c r="F622" i="2" s="1"/>
  <c r="D623" i="2"/>
  <c r="F623" i="2" s="1"/>
  <c r="D624" i="2"/>
  <c r="F624" i="2" s="1"/>
  <c r="D625" i="2"/>
  <c r="F625" i="2" s="1"/>
  <c r="D626" i="2"/>
  <c r="F626" i="2" s="1"/>
  <c r="D627" i="2"/>
  <c r="F627" i="2" s="1"/>
  <c r="D628" i="2"/>
  <c r="F628" i="2" s="1"/>
  <c r="D629" i="2"/>
  <c r="F629" i="2" s="1"/>
  <c r="D630" i="2"/>
  <c r="F630" i="2" s="1"/>
  <c r="D631" i="2"/>
  <c r="F631" i="2" s="1"/>
  <c r="D632" i="2"/>
  <c r="F632" i="2" s="1"/>
  <c r="D633" i="2"/>
  <c r="F633" i="2" s="1"/>
  <c r="D634" i="2"/>
  <c r="F634" i="2" s="1"/>
  <c r="D635" i="2"/>
  <c r="F635" i="2" s="1"/>
  <c r="D636" i="2"/>
  <c r="F636" i="2" s="1"/>
  <c r="D637" i="2"/>
  <c r="F637" i="2" s="1"/>
  <c r="D638" i="2"/>
  <c r="F638" i="2" s="1"/>
  <c r="D639" i="2"/>
  <c r="F639" i="2" s="1"/>
  <c r="D640" i="2"/>
  <c r="F640" i="2" s="1"/>
  <c r="D641" i="2"/>
  <c r="F641" i="2" s="1"/>
  <c r="D642" i="2"/>
  <c r="F642" i="2" s="1"/>
  <c r="D643" i="2"/>
  <c r="F643" i="2" s="1"/>
  <c r="D644" i="2"/>
  <c r="F644" i="2" s="1"/>
  <c r="D645" i="2"/>
  <c r="F645" i="2" s="1"/>
  <c r="D646" i="2"/>
  <c r="F646" i="2" s="1"/>
  <c r="D647" i="2"/>
  <c r="F647" i="2" s="1"/>
  <c r="D648" i="2"/>
  <c r="F648" i="2" s="1"/>
  <c r="D649" i="2"/>
  <c r="F649" i="2" s="1"/>
  <c r="D650" i="2"/>
  <c r="F650" i="2" s="1"/>
  <c r="D651" i="2"/>
  <c r="F651" i="2" s="1"/>
  <c r="D652" i="2"/>
  <c r="F652" i="2" s="1"/>
  <c r="D653" i="2"/>
  <c r="F653" i="2" s="1"/>
  <c r="D654" i="2"/>
  <c r="F654" i="2" s="1"/>
  <c r="D655" i="2"/>
  <c r="F655" i="2" s="1"/>
  <c r="D656" i="2"/>
  <c r="F656" i="2" s="1"/>
  <c r="D657" i="2"/>
  <c r="F657" i="2" s="1"/>
  <c r="D658" i="2"/>
  <c r="F658" i="2" s="1"/>
  <c r="D659" i="2"/>
  <c r="F659" i="2" s="1"/>
  <c r="D660" i="2"/>
  <c r="F660" i="2" s="1"/>
  <c r="D661" i="2"/>
  <c r="F661" i="2" s="1"/>
  <c r="D662" i="2"/>
  <c r="F662" i="2" s="1"/>
  <c r="D663" i="2"/>
  <c r="F663" i="2" s="1"/>
  <c r="D664" i="2"/>
  <c r="F664" i="2" s="1"/>
  <c r="D665" i="2"/>
  <c r="F665" i="2" s="1"/>
  <c r="D666" i="2"/>
  <c r="F666" i="2" s="1"/>
  <c r="D667" i="2"/>
  <c r="F667" i="2" s="1"/>
  <c r="D668" i="2"/>
  <c r="F668" i="2" s="1"/>
  <c r="D669" i="2"/>
  <c r="F669" i="2" s="1"/>
  <c r="D670" i="2"/>
  <c r="F670" i="2" s="1"/>
  <c r="D671" i="2"/>
  <c r="F671" i="2" s="1"/>
  <c r="D672" i="2"/>
  <c r="F672" i="2" s="1"/>
  <c r="D673" i="2"/>
  <c r="F673" i="2" s="1"/>
  <c r="D674" i="2"/>
  <c r="F674" i="2" s="1"/>
  <c r="D675" i="2"/>
  <c r="F675" i="2" s="1"/>
  <c r="D676" i="2"/>
  <c r="F676" i="2" s="1"/>
  <c r="D677" i="2"/>
  <c r="F677" i="2" s="1"/>
  <c r="D678" i="2"/>
  <c r="F678" i="2" s="1"/>
  <c r="D679" i="2"/>
  <c r="F679" i="2" s="1"/>
  <c r="D680" i="2"/>
  <c r="F680" i="2" s="1"/>
  <c r="D681" i="2"/>
  <c r="F681" i="2" s="1"/>
  <c r="D682" i="2"/>
  <c r="F682" i="2" s="1"/>
  <c r="D683" i="2"/>
  <c r="F683" i="2" s="1"/>
  <c r="D684" i="2"/>
  <c r="F684" i="2" s="1"/>
  <c r="D685" i="2"/>
  <c r="F685" i="2" s="1"/>
  <c r="D686" i="2"/>
  <c r="F686" i="2" s="1"/>
  <c r="D687" i="2"/>
  <c r="F687" i="2" s="1"/>
  <c r="D688" i="2"/>
  <c r="F688" i="2" s="1"/>
  <c r="D689" i="2"/>
  <c r="F689" i="2" s="1"/>
  <c r="D690" i="2"/>
  <c r="F690" i="2" s="1"/>
  <c r="D691" i="2"/>
  <c r="F691" i="2" s="1"/>
  <c r="D692" i="2"/>
  <c r="F692" i="2" s="1"/>
  <c r="D693" i="2"/>
  <c r="F693" i="2" s="1"/>
  <c r="D694" i="2"/>
  <c r="F694" i="2" s="1"/>
  <c r="D695" i="2"/>
  <c r="F695" i="2" s="1"/>
  <c r="D696" i="2"/>
  <c r="F696" i="2" s="1"/>
  <c r="D697" i="2"/>
  <c r="F697" i="2" s="1"/>
  <c r="D698" i="2"/>
  <c r="F698" i="2" s="1"/>
  <c r="D699" i="2"/>
  <c r="F699" i="2" s="1"/>
  <c r="D700" i="2"/>
  <c r="F700" i="2" s="1"/>
  <c r="D701" i="2"/>
  <c r="F701" i="2" s="1"/>
  <c r="D702" i="2"/>
  <c r="F702" i="2" s="1"/>
  <c r="D703" i="2"/>
  <c r="F703" i="2" s="1"/>
  <c r="D704" i="2"/>
  <c r="F704" i="2" s="1"/>
  <c r="D705" i="2"/>
  <c r="F705" i="2" s="1"/>
  <c r="D706" i="2"/>
  <c r="F706" i="2" s="1"/>
  <c r="D707" i="2"/>
  <c r="F707" i="2" s="1"/>
  <c r="D708" i="2"/>
  <c r="F708" i="2" s="1"/>
  <c r="D709" i="2"/>
  <c r="F709" i="2" s="1"/>
  <c r="D710" i="2"/>
  <c r="F710" i="2" s="1"/>
  <c r="D711" i="2"/>
  <c r="F711" i="2" s="1"/>
  <c r="D712" i="2"/>
  <c r="F712" i="2" s="1"/>
  <c r="D713" i="2"/>
  <c r="F713" i="2" s="1"/>
  <c r="D714" i="2"/>
  <c r="F714" i="2" s="1"/>
  <c r="D715" i="2"/>
  <c r="F715" i="2" s="1"/>
  <c r="D716" i="2"/>
  <c r="F716" i="2" s="1"/>
  <c r="D717" i="2"/>
  <c r="F717" i="2" s="1"/>
  <c r="D718" i="2"/>
  <c r="F718" i="2" s="1"/>
  <c r="D719" i="2"/>
  <c r="F719" i="2" s="1"/>
  <c r="D720" i="2"/>
  <c r="F720" i="2" s="1"/>
  <c r="D721" i="2"/>
  <c r="F721" i="2" s="1"/>
  <c r="D722" i="2"/>
  <c r="F722" i="2" s="1"/>
  <c r="D723" i="2"/>
  <c r="F723" i="2" s="1"/>
  <c r="D724" i="2"/>
  <c r="F724" i="2" s="1"/>
  <c r="D725" i="2"/>
  <c r="F725" i="2" s="1"/>
  <c r="D726" i="2"/>
  <c r="F726" i="2" s="1"/>
  <c r="D727" i="2"/>
  <c r="F727" i="2" s="1"/>
  <c r="D728" i="2"/>
  <c r="F728" i="2" s="1"/>
  <c r="D729" i="2"/>
  <c r="F729" i="2" s="1"/>
  <c r="D730" i="2"/>
  <c r="F730" i="2" s="1"/>
  <c r="D731" i="2"/>
  <c r="F731" i="2" s="1"/>
  <c r="D732" i="2"/>
  <c r="F732" i="2" s="1"/>
  <c r="D733" i="2"/>
  <c r="F733" i="2" s="1"/>
  <c r="D734" i="2"/>
  <c r="F734" i="2" s="1"/>
  <c r="D735" i="2"/>
  <c r="F735" i="2" s="1"/>
  <c r="D736" i="2"/>
  <c r="F736" i="2" s="1"/>
  <c r="D737" i="2"/>
  <c r="F737" i="2" s="1"/>
  <c r="D738" i="2"/>
  <c r="F738" i="2" s="1"/>
  <c r="D739" i="2"/>
  <c r="F739" i="2" s="1"/>
  <c r="D740" i="2"/>
  <c r="F740" i="2" s="1"/>
  <c r="D741" i="2"/>
  <c r="F741" i="2" s="1"/>
  <c r="D742" i="2"/>
  <c r="F742" i="2" s="1"/>
  <c r="D743" i="2"/>
  <c r="F743" i="2" s="1"/>
  <c r="D744" i="2"/>
  <c r="F744" i="2" s="1"/>
  <c r="D745" i="2"/>
  <c r="F745" i="2" s="1"/>
  <c r="D746" i="2"/>
  <c r="F746" i="2" s="1"/>
  <c r="D747" i="2"/>
  <c r="F747" i="2" s="1"/>
  <c r="D748" i="2"/>
  <c r="F748" i="2" s="1"/>
  <c r="D749" i="2"/>
  <c r="F749" i="2" s="1"/>
  <c r="D750" i="2"/>
  <c r="F750" i="2" s="1"/>
  <c r="D751" i="2"/>
  <c r="F751" i="2" s="1"/>
  <c r="D752" i="2"/>
  <c r="F752" i="2" s="1"/>
  <c r="D753" i="2"/>
  <c r="F753" i="2" s="1"/>
  <c r="D754" i="2"/>
  <c r="F754" i="2" s="1"/>
  <c r="D755" i="2"/>
  <c r="F755" i="2" s="1"/>
  <c r="D756" i="2"/>
  <c r="F756" i="2" s="1"/>
  <c r="D757" i="2"/>
  <c r="F757" i="2" s="1"/>
  <c r="D758" i="2"/>
  <c r="F758" i="2" s="1"/>
  <c r="D759" i="2"/>
  <c r="F759" i="2" s="1"/>
  <c r="D760" i="2"/>
  <c r="F760" i="2" s="1"/>
  <c r="D761" i="2"/>
  <c r="F761" i="2" s="1"/>
  <c r="D762" i="2"/>
  <c r="F762" i="2" s="1"/>
  <c r="D763" i="2"/>
  <c r="F763" i="2" s="1"/>
  <c r="D764" i="2"/>
  <c r="F764" i="2" s="1"/>
  <c r="D765" i="2"/>
  <c r="F765" i="2" s="1"/>
  <c r="D766" i="2"/>
  <c r="F766" i="2" s="1"/>
  <c r="D767" i="2"/>
  <c r="F767" i="2" s="1"/>
  <c r="D768" i="2"/>
  <c r="F768" i="2" s="1"/>
  <c r="D769" i="2"/>
  <c r="F769" i="2" s="1"/>
  <c r="D770" i="2"/>
  <c r="F770" i="2" s="1"/>
  <c r="D771" i="2"/>
  <c r="F771" i="2" s="1"/>
  <c r="D772" i="2"/>
  <c r="F772" i="2" s="1"/>
  <c r="D773" i="2"/>
  <c r="F773" i="2" s="1"/>
  <c r="D774" i="2"/>
  <c r="F774" i="2" s="1"/>
  <c r="D775" i="2"/>
  <c r="F775" i="2" s="1"/>
  <c r="D776" i="2"/>
  <c r="F776" i="2" s="1"/>
  <c r="D777" i="2"/>
  <c r="F777" i="2" s="1"/>
  <c r="D778" i="2"/>
  <c r="F778" i="2" s="1"/>
  <c r="D779" i="2"/>
  <c r="F779" i="2" s="1"/>
  <c r="D780" i="2"/>
  <c r="F780" i="2" s="1"/>
  <c r="D781" i="2"/>
  <c r="F781" i="2" s="1"/>
  <c r="D782" i="2"/>
  <c r="F782" i="2" s="1"/>
  <c r="D783" i="2"/>
  <c r="F783" i="2" s="1"/>
  <c r="D784" i="2"/>
  <c r="F784" i="2" s="1"/>
  <c r="D785" i="2"/>
  <c r="F785" i="2" s="1"/>
  <c r="D786" i="2"/>
  <c r="F786" i="2" s="1"/>
  <c r="D787" i="2"/>
  <c r="F787" i="2" s="1"/>
  <c r="D788" i="2"/>
  <c r="F788" i="2" s="1"/>
  <c r="D789" i="2"/>
  <c r="F789" i="2" s="1"/>
  <c r="D790" i="2"/>
  <c r="F790" i="2" s="1"/>
  <c r="D791" i="2"/>
  <c r="F791" i="2" s="1"/>
  <c r="D792" i="2"/>
  <c r="F792" i="2" s="1"/>
  <c r="D793" i="2"/>
  <c r="F793" i="2" s="1"/>
  <c r="D794" i="2"/>
  <c r="F794" i="2" s="1"/>
  <c r="D795" i="2"/>
  <c r="F795" i="2" s="1"/>
  <c r="D796" i="2"/>
  <c r="F796" i="2" s="1"/>
  <c r="D797" i="2"/>
  <c r="F797" i="2" s="1"/>
  <c r="D798" i="2"/>
  <c r="F798" i="2" s="1"/>
  <c r="D799" i="2"/>
  <c r="F799" i="2" s="1"/>
  <c r="D800" i="2"/>
  <c r="F800" i="2" s="1"/>
  <c r="D801" i="2"/>
  <c r="F801" i="2" s="1"/>
  <c r="D802" i="2"/>
  <c r="F802" i="2" s="1"/>
  <c r="D803" i="2"/>
  <c r="F803" i="2" s="1"/>
  <c r="D804" i="2"/>
  <c r="F804" i="2" s="1"/>
  <c r="D805" i="2"/>
  <c r="F805" i="2" s="1"/>
  <c r="D806" i="2"/>
  <c r="F806" i="2" s="1"/>
  <c r="D807" i="2"/>
  <c r="F807" i="2" s="1"/>
  <c r="D808" i="2"/>
  <c r="F808" i="2" s="1"/>
  <c r="D809" i="2"/>
  <c r="F809" i="2" s="1"/>
  <c r="D810" i="2"/>
  <c r="F810" i="2" s="1"/>
  <c r="D811" i="2"/>
  <c r="F811" i="2" s="1"/>
  <c r="D812" i="2"/>
  <c r="F812" i="2" s="1"/>
  <c r="D813" i="2"/>
  <c r="F813" i="2" s="1"/>
  <c r="D814" i="2"/>
  <c r="F814" i="2" s="1"/>
  <c r="D815" i="2"/>
  <c r="F815" i="2" s="1"/>
  <c r="D816" i="2"/>
  <c r="F816" i="2" s="1"/>
  <c r="D817" i="2"/>
  <c r="F817" i="2" s="1"/>
  <c r="D818" i="2"/>
  <c r="F818" i="2" s="1"/>
  <c r="D819" i="2"/>
  <c r="F819" i="2" s="1"/>
  <c r="D820" i="2"/>
  <c r="F820" i="2" s="1"/>
  <c r="D821" i="2"/>
  <c r="F821" i="2" s="1"/>
  <c r="D822" i="2"/>
  <c r="F822" i="2" s="1"/>
  <c r="D823" i="2"/>
  <c r="F823" i="2" s="1"/>
  <c r="D824" i="2"/>
  <c r="F824" i="2" s="1"/>
  <c r="D825" i="2"/>
  <c r="F825" i="2" s="1"/>
  <c r="D826" i="2"/>
  <c r="F826" i="2" s="1"/>
  <c r="D827" i="2"/>
  <c r="F827" i="2" s="1"/>
  <c r="D828" i="2"/>
  <c r="F828" i="2" s="1"/>
  <c r="D829" i="2"/>
  <c r="F829" i="2" s="1"/>
  <c r="D830" i="2"/>
  <c r="F830" i="2" s="1"/>
  <c r="D831" i="2"/>
  <c r="F831" i="2" s="1"/>
  <c r="D832" i="2"/>
  <c r="F832" i="2" s="1"/>
  <c r="D833" i="2"/>
  <c r="F833" i="2" s="1"/>
  <c r="D834" i="2"/>
  <c r="F834" i="2" s="1"/>
  <c r="D835" i="2"/>
  <c r="F835" i="2" s="1"/>
  <c r="D836" i="2"/>
  <c r="F836" i="2" s="1"/>
  <c r="D837" i="2"/>
  <c r="F837" i="2" s="1"/>
  <c r="D838" i="2"/>
  <c r="F838" i="2" s="1"/>
  <c r="D839" i="2"/>
  <c r="F839" i="2" s="1"/>
  <c r="D840" i="2"/>
  <c r="F840" i="2" s="1"/>
  <c r="D841" i="2"/>
  <c r="F841" i="2" s="1"/>
  <c r="D842" i="2"/>
  <c r="F842" i="2" s="1"/>
  <c r="D843" i="2"/>
  <c r="F843" i="2" s="1"/>
  <c r="D844" i="2"/>
  <c r="F844" i="2" s="1"/>
  <c r="D845" i="2"/>
  <c r="F845" i="2" s="1"/>
  <c r="D846" i="2"/>
  <c r="F846" i="2" s="1"/>
  <c r="D847" i="2"/>
  <c r="F847" i="2" s="1"/>
  <c r="D848" i="2"/>
  <c r="F848" i="2" s="1"/>
  <c r="D849" i="2"/>
  <c r="F849" i="2" s="1"/>
  <c r="D850" i="2"/>
  <c r="F850" i="2" s="1"/>
  <c r="D851" i="2"/>
  <c r="F851" i="2" s="1"/>
  <c r="D852" i="2"/>
  <c r="F852" i="2" s="1"/>
  <c r="D853" i="2"/>
  <c r="F853" i="2" s="1"/>
  <c r="D854" i="2"/>
  <c r="F854" i="2" s="1"/>
  <c r="D855" i="2"/>
  <c r="F855" i="2" s="1"/>
  <c r="D856" i="2"/>
  <c r="F856" i="2" s="1"/>
  <c r="D857" i="2"/>
  <c r="F857" i="2" s="1"/>
  <c r="D858" i="2"/>
  <c r="F858" i="2" s="1"/>
  <c r="D859" i="2"/>
  <c r="F859" i="2" s="1"/>
  <c r="D860" i="2"/>
  <c r="F860" i="2" s="1"/>
  <c r="D861" i="2"/>
  <c r="F861" i="2" s="1"/>
  <c r="D862" i="2"/>
  <c r="F862" i="2" s="1"/>
  <c r="D863" i="2"/>
  <c r="F863" i="2" s="1"/>
  <c r="D864" i="2"/>
  <c r="F864" i="2" s="1"/>
  <c r="D865" i="2"/>
  <c r="F865" i="2" s="1"/>
  <c r="D866" i="2"/>
  <c r="F866" i="2" s="1"/>
  <c r="D867" i="2"/>
  <c r="F867" i="2" s="1"/>
  <c r="D868" i="2"/>
  <c r="F868" i="2" s="1"/>
  <c r="D869" i="2"/>
  <c r="F869" i="2" s="1"/>
  <c r="D870" i="2"/>
  <c r="F870" i="2" s="1"/>
  <c r="D871" i="2"/>
  <c r="F871" i="2" s="1"/>
  <c r="D872" i="2"/>
  <c r="F872" i="2" s="1"/>
  <c r="D873" i="2"/>
  <c r="F873" i="2" s="1"/>
  <c r="D874" i="2"/>
  <c r="F874" i="2" s="1"/>
  <c r="D875" i="2"/>
  <c r="F875" i="2" s="1"/>
  <c r="D876" i="2"/>
  <c r="F876" i="2" s="1"/>
  <c r="D877" i="2"/>
  <c r="F877" i="2" s="1"/>
  <c r="D878" i="2"/>
  <c r="F878" i="2" s="1"/>
  <c r="D879" i="2"/>
  <c r="F879" i="2" s="1"/>
  <c r="D880" i="2"/>
  <c r="F880" i="2" s="1"/>
  <c r="D881" i="2"/>
  <c r="F881" i="2" s="1"/>
  <c r="D882" i="2"/>
  <c r="F882" i="2" s="1"/>
  <c r="D883" i="2"/>
  <c r="F883" i="2" s="1"/>
  <c r="D884" i="2"/>
  <c r="F884" i="2" s="1"/>
  <c r="D885" i="2"/>
  <c r="F885" i="2" s="1"/>
  <c r="D886" i="2"/>
  <c r="F886" i="2" s="1"/>
  <c r="D887" i="2"/>
  <c r="F887" i="2" s="1"/>
  <c r="D888" i="2"/>
  <c r="F888" i="2" s="1"/>
  <c r="D889" i="2"/>
  <c r="F889" i="2" s="1"/>
  <c r="D890" i="2"/>
  <c r="F890" i="2" s="1"/>
  <c r="D891" i="2"/>
  <c r="F891" i="2" s="1"/>
  <c r="D892" i="2"/>
  <c r="F892" i="2" s="1"/>
  <c r="D893" i="2"/>
  <c r="F893" i="2" s="1"/>
  <c r="D894" i="2"/>
  <c r="F894" i="2" s="1"/>
  <c r="D895" i="2"/>
  <c r="F895" i="2" s="1"/>
  <c r="D896" i="2"/>
  <c r="F896" i="2" s="1"/>
  <c r="D897" i="2"/>
  <c r="F897" i="2" s="1"/>
  <c r="D898" i="2"/>
  <c r="F898" i="2" s="1"/>
  <c r="D899" i="2"/>
  <c r="F899" i="2" s="1"/>
  <c r="D900" i="2"/>
  <c r="F900" i="2" s="1"/>
  <c r="D901" i="2"/>
  <c r="F901" i="2" s="1"/>
  <c r="D902" i="2"/>
  <c r="F902" i="2" s="1"/>
  <c r="D903" i="2"/>
  <c r="F903" i="2" s="1"/>
  <c r="D904" i="2"/>
  <c r="F904" i="2" s="1"/>
  <c r="D905" i="2"/>
  <c r="F905" i="2" s="1"/>
  <c r="D906" i="2"/>
  <c r="F906" i="2" s="1"/>
  <c r="D907" i="2"/>
  <c r="F907" i="2" s="1"/>
  <c r="D908" i="2"/>
  <c r="F908" i="2" s="1"/>
  <c r="D909" i="2"/>
  <c r="F909" i="2" s="1"/>
  <c r="D910" i="2"/>
  <c r="F910" i="2" s="1"/>
  <c r="D911" i="2"/>
  <c r="F911" i="2" s="1"/>
  <c r="D912" i="2"/>
  <c r="F912" i="2" s="1"/>
  <c r="D913" i="2"/>
  <c r="F913" i="2" s="1"/>
  <c r="D914" i="2"/>
  <c r="F914" i="2" s="1"/>
  <c r="D915" i="2"/>
  <c r="F915" i="2" s="1"/>
  <c r="D916" i="2"/>
  <c r="F916" i="2" s="1"/>
  <c r="D917" i="2"/>
  <c r="F917" i="2" s="1"/>
  <c r="D918" i="2"/>
  <c r="F918" i="2" s="1"/>
  <c r="D919" i="2"/>
  <c r="F919" i="2" s="1"/>
  <c r="D920" i="2"/>
  <c r="F920" i="2" s="1"/>
  <c r="D921" i="2"/>
  <c r="F921" i="2" s="1"/>
  <c r="D922" i="2"/>
  <c r="F922" i="2" s="1"/>
  <c r="D923" i="2"/>
  <c r="F923" i="2" s="1"/>
  <c r="D924" i="2"/>
  <c r="F924" i="2" s="1"/>
  <c r="D925" i="2"/>
  <c r="F925" i="2" s="1"/>
  <c r="D926" i="2"/>
  <c r="F926" i="2" s="1"/>
  <c r="D927" i="2"/>
  <c r="F927" i="2" s="1"/>
  <c r="D928" i="2"/>
  <c r="F928" i="2" s="1"/>
  <c r="D929" i="2"/>
  <c r="F929" i="2" s="1"/>
  <c r="D930" i="2"/>
  <c r="F930" i="2" s="1"/>
  <c r="D931" i="2"/>
  <c r="F931" i="2" s="1"/>
  <c r="D932" i="2"/>
  <c r="F932" i="2" s="1"/>
  <c r="D933" i="2"/>
  <c r="F933" i="2" s="1"/>
  <c r="D934" i="2"/>
  <c r="F934" i="2" s="1"/>
  <c r="D935" i="2"/>
  <c r="F935" i="2" s="1"/>
  <c r="D936" i="2"/>
  <c r="F936" i="2" s="1"/>
  <c r="D937" i="2"/>
  <c r="F937" i="2" s="1"/>
  <c r="D938" i="2"/>
  <c r="F938" i="2" s="1"/>
  <c r="D939" i="2"/>
  <c r="F939" i="2" s="1"/>
  <c r="D940" i="2"/>
  <c r="F940" i="2" s="1"/>
  <c r="D941" i="2"/>
  <c r="F941" i="2" s="1"/>
  <c r="D942" i="2"/>
  <c r="F942" i="2" s="1"/>
  <c r="D943" i="2"/>
  <c r="F943" i="2" s="1"/>
  <c r="D944" i="2"/>
  <c r="F944" i="2" s="1"/>
  <c r="D945" i="2"/>
  <c r="F945" i="2" s="1"/>
  <c r="D946" i="2"/>
  <c r="F946" i="2" s="1"/>
  <c r="D947" i="2"/>
  <c r="F947" i="2" s="1"/>
  <c r="D948" i="2"/>
  <c r="F948" i="2" s="1"/>
  <c r="D949" i="2"/>
  <c r="F949" i="2" s="1"/>
  <c r="D950" i="2"/>
  <c r="F950" i="2" s="1"/>
  <c r="D951" i="2"/>
  <c r="F951" i="2" s="1"/>
  <c r="D952" i="2"/>
  <c r="F952" i="2" s="1"/>
  <c r="D953" i="2"/>
  <c r="F953" i="2" s="1"/>
  <c r="D954" i="2"/>
  <c r="F954" i="2" s="1"/>
  <c r="D955" i="2"/>
  <c r="F955" i="2" s="1"/>
  <c r="D956" i="2"/>
  <c r="F956" i="2" s="1"/>
  <c r="D957" i="2"/>
  <c r="F957" i="2" s="1"/>
  <c r="D958" i="2"/>
  <c r="F958" i="2" s="1"/>
  <c r="D959" i="2"/>
  <c r="F959" i="2" s="1"/>
  <c r="D960" i="2"/>
  <c r="F960" i="2" s="1"/>
  <c r="D961" i="2"/>
  <c r="F961" i="2" s="1"/>
  <c r="D962" i="2"/>
  <c r="F962" i="2" s="1"/>
  <c r="D963" i="2"/>
  <c r="F963" i="2" s="1"/>
  <c r="D964" i="2"/>
  <c r="F964" i="2" s="1"/>
  <c r="D965" i="2"/>
  <c r="F965" i="2" s="1"/>
  <c r="D966" i="2"/>
  <c r="F966" i="2" s="1"/>
  <c r="D967" i="2"/>
  <c r="F967" i="2" s="1"/>
  <c r="D968" i="2"/>
  <c r="F968" i="2" s="1"/>
  <c r="D969" i="2"/>
  <c r="F969" i="2" s="1"/>
  <c r="D970" i="2"/>
  <c r="F970" i="2" s="1"/>
  <c r="D971" i="2"/>
  <c r="F971" i="2" s="1"/>
  <c r="D972" i="2"/>
  <c r="F972" i="2" s="1"/>
  <c r="D973" i="2"/>
  <c r="F973" i="2" s="1"/>
  <c r="D974" i="2"/>
  <c r="F974" i="2" s="1"/>
  <c r="D975" i="2"/>
  <c r="F975" i="2" s="1"/>
  <c r="D976" i="2"/>
  <c r="F976" i="2" s="1"/>
  <c r="D977" i="2"/>
  <c r="F977" i="2" s="1"/>
  <c r="D978" i="2"/>
  <c r="F978" i="2" s="1"/>
  <c r="D979" i="2"/>
  <c r="F979" i="2" s="1"/>
  <c r="D980" i="2"/>
  <c r="F980" i="2" s="1"/>
  <c r="D981" i="2"/>
  <c r="F981" i="2" s="1"/>
  <c r="D982" i="2"/>
  <c r="F982" i="2" s="1"/>
  <c r="D983" i="2"/>
  <c r="F983" i="2" s="1"/>
  <c r="D984" i="2"/>
  <c r="F984" i="2" s="1"/>
  <c r="D985" i="2"/>
  <c r="F985" i="2" s="1"/>
  <c r="D986" i="2"/>
  <c r="F986" i="2" s="1"/>
  <c r="D987" i="2"/>
  <c r="F987" i="2" s="1"/>
  <c r="D988" i="2"/>
  <c r="F988" i="2" s="1"/>
  <c r="D989" i="2"/>
  <c r="F989" i="2" s="1"/>
  <c r="D990" i="2"/>
  <c r="F990" i="2" s="1"/>
  <c r="D991" i="2"/>
  <c r="F991" i="2" s="1"/>
  <c r="D992" i="2"/>
  <c r="F992" i="2" s="1"/>
  <c r="D993" i="2"/>
  <c r="F993" i="2" s="1"/>
  <c r="D994" i="2"/>
  <c r="F994" i="2" s="1"/>
  <c r="D995" i="2"/>
  <c r="F995" i="2" s="1"/>
  <c r="D996" i="2"/>
  <c r="F996" i="2" s="1"/>
  <c r="D997" i="2"/>
  <c r="F997" i="2" s="1"/>
  <c r="D998" i="2"/>
  <c r="F998" i="2" s="1"/>
  <c r="D999" i="2"/>
  <c r="F999" i="2" s="1"/>
  <c r="D1000" i="2"/>
  <c r="F1000" i="2" s="1"/>
  <c r="D1001" i="2"/>
  <c r="F1001" i="2" s="1"/>
  <c r="D1002" i="2"/>
  <c r="F1002" i="2" s="1"/>
  <c r="D1003" i="2"/>
  <c r="F1003" i="2" s="1"/>
  <c r="D1004" i="2"/>
  <c r="F1004" i="2" s="1"/>
  <c r="D1005" i="2"/>
  <c r="F1005" i="2" s="1"/>
  <c r="D1006" i="2"/>
  <c r="F1006" i="2" s="1"/>
  <c r="D1007" i="2"/>
  <c r="F1007" i="2" s="1"/>
  <c r="D1008" i="2"/>
  <c r="F1008" i="2" s="1"/>
  <c r="D1009" i="2"/>
  <c r="F1009" i="2" s="1"/>
  <c r="D1010" i="2"/>
  <c r="F1010" i="2" s="1"/>
  <c r="D1011" i="2"/>
  <c r="F1011" i="2" s="1"/>
  <c r="D1012" i="2"/>
  <c r="F1012" i="2" s="1"/>
  <c r="D1013" i="2"/>
  <c r="F1013" i="2" s="1"/>
  <c r="D1014" i="2"/>
  <c r="F1014" i="2" s="1"/>
  <c r="D1015" i="2"/>
  <c r="F1015" i="2" s="1"/>
  <c r="D1016" i="2"/>
  <c r="F1016" i="2" s="1"/>
  <c r="D1017" i="2"/>
  <c r="F1017" i="2" s="1"/>
  <c r="D1018" i="2"/>
  <c r="F1018" i="2" s="1"/>
  <c r="D1019" i="2"/>
  <c r="F1019" i="2" s="1"/>
  <c r="D1020" i="2"/>
  <c r="F1020" i="2" s="1"/>
  <c r="D1021" i="2"/>
  <c r="F1021" i="2" s="1"/>
  <c r="D1022" i="2"/>
  <c r="F1022" i="2" s="1"/>
  <c r="D1023" i="2"/>
  <c r="F1023" i="2" s="1"/>
  <c r="D1024" i="2"/>
  <c r="F1024" i="2" s="1"/>
  <c r="D1025" i="2"/>
  <c r="F1025" i="2" s="1"/>
  <c r="D1026" i="2"/>
  <c r="F1026" i="2" s="1"/>
  <c r="D1027" i="2"/>
  <c r="F1027" i="2" s="1"/>
  <c r="D1028" i="2"/>
  <c r="F1028" i="2" s="1"/>
  <c r="D1029" i="2"/>
  <c r="F1029" i="2" s="1"/>
  <c r="D1030" i="2"/>
  <c r="F1030" i="2" s="1"/>
  <c r="D1031" i="2"/>
  <c r="F1031" i="2" s="1"/>
  <c r="D1032" i="2"/>
  <c r="F1032" i="2" s="1"/>
  <c r="D1033" i="2"/>
  <c r="F1033" i="2" s="1"/>
  <c r="D1034" i="2"/>
  <c r="F1034" i="2" s="1"/>
  <c r="D1035" i="2"/>
  <c r="F1035" i="2" s="1"/>
  <c r="D1036" i="2"/>
  <c r="F1036" i="2" s="1"/>
  <c r="D1037" i="2"/>
  <c r="F1037" i="2" s="1"/>
  <c r="D1038" i="2"/>
  <c r="F1038" i="2" s="1"/>
  <c r="D1039" i="2"/>
  <c r="F1039" i="2" s="1"/>
  <c r="D1040" i="2"/>
  <c r="F1040" i="2" s="1"/>
  <c r="D1041" i="2"/>
  <c r="F1041" i="2" s="1"/>
  <c r="D1042" i="2"/>
  <c r="F1042" i="2" s="1"/>
  <c r="D1043" i="2"/>
  <c r="F1043" i="2" s="1"/>
  <c r="D1044" i="2"/>
  <c r="F1044" i="2" s="1"/>
  <c r="D1045" i="2"/>
  <c r="F1045" i="2" s="1"/>
  <c r="D1046" i="2"/>
  <c r="F1046" i="2" s="1"/>
  <c r="D1047" i="2"/>
  <c r="F1047" i="2" s="1"/>
  <c r="D1048" i="2"/>
  <c r="F1048" i="2" s="1"/>
  <c r="D1049" i="2"/>
  <c r="F1049" i="2" s="1"/>
  <c r="D1050" i="2"/>
  <c r="F1050" i="2" s="1"/>
  <c r="D1051" i="2"/>
  <c r="F1051" i="2" s="1"/>
  <c r="D1052" i="2"/>
  <c r="F1052" i="2" s="1"/>
  <c r="D1053" i="2"/>
  <c r="F1053" i="2" s="1"/>
  <c r="D1054" i="2"/>
  <c r="F1054" i="2" s="1"/>
  <c r="D1055" i="2"/>
  <c r="F1055" i="2" s="1"/>
  <c r="D1056" i="2"/>
  <c r="F1056" i="2" s="1"/>
  <c r="D1057" i="2"/>
  <c r="F1057" i="2" s="1"/>
  <c r="D1058" i="2"/>
  <c r="F1058" i="2" s="1"/>
  <c r="D1059" i="2"/>
  <c r="F1059" i="2" s="1"/>
  <c r="D1060" i="2"/>
  <c r="F1060" i="2" s="1"/>
  <c r="D1061" i="2"/>
  <c r="F1061" i="2" s="1"/>
  <c r="D1062" i="2"/>
  <c r="F1062" i="2" s="1"/>
  <c r="D1063" i="2"/>
  <c r="F1063" i="2" s="1"/>
  <c r="D1064" i="2"/>
  <c r="F1064" i="2" s="1"/>
  <c r="D1065" i="2"/>
  <c r="F1065" i="2" s="1"/>
  <c r="D1066" i="2"/>
  <c r="F1066" i="2" s="1"/>
  <c r="D1067" i="2"/>
  <c r="F1067" i="2" s="1"/>
  <c r="D1068" i="2"/>
  <c r="F1068" i="2" s="1"/>
  <c r="D1069" i="2"/>
  <c r="F1069" i="2" s="1"/>
  <c r="D1070" i="2"/>
  <c r="F1070" i="2" s="1"/>
  <c r="D1071" i="2"/>
  <c r="F1071" i="2" s="1"/>
  <c r="D1072" i="2"/>
  <c r="F1072" i="2" s="1"/>
  <c r="D1073" i="2"/>
  <c r="F1073" i="2" s="1"/>
  <c r="D1074" i="2"/>
  <c r="F1074" i="2" s="1"/>
  <c r="D1075" i="2"/>
  <c r="F1075" i="2" s="1"/>
  <c r="D1076" i="2"/>
  <c r="F1076" i="2" s="1"/>
  <c r="D1077" i="2"/>
  <c r="F1077" i="2" s="1"/>
  <c r="D1078" i="2"/>
  <c r="F1078" i="2" s="1"/>
  <c r="D1079" i="2"/>
  <c r="F1079" i="2" s="1"/>
  <c r="D1080" i="2"/>
  <c r="F1080" i="2" s="1"/>
  <c r="D1081" i="2"/>
  <c r="F1081" i="2" s="1"/>
  <c r="D1082" i="2"/>
  <c r="F1082" i="2" s="1"/>
  <c r="D1083" i="2"/>
  <c r="F1083" i="2" s="1"/>
  <c r="D1084" i="2"/>
  <c r="F1084" i="2" s="1"/>
  <c r="D1085" i="2"/>
  <c r="F1085" i="2" s="1"/>
  <c r="D1086" i="2"/>
  <c r="F1086" i="2" s="1"/>
  <c r="D1087" i="2"/>
  <c r="F1087" i="2" s="1"/>
  <c r="D1088" i="2"/>
  <c r="F1088" i="2" s="1"/>
  <c r="D1089" i="2"/>
  <c r="F1089" i="2" s="1"/>
  <c r="D1090" i="2"/>
  <c r="F1090" i="2" s="1"/>
  <c r="D1091" i="2"/>
  <c r="F1091" i="2" s="1"/>
  <c r="D1092" i="2"/>
  <c r="F1092" i="2" s="1"/>
  <c r="D1093" i="2"/>
  <c r="F1093" i="2" s="1"/>
  <c r="D1094" i="2"/>
  <c r="F1094" i="2" s="1"/>
  <c r="D1095" i="2"/>
  <c r="F1095" i="2" s="1"/>
  <c r="D1096" i="2"/>
  <c r="F1096" i="2" s="1"/>
  <c r="D1097" i="2"/>
  <c r="F1097" i="2" s="1"/>
  <c r="D1098" i="2"/>
  <c r="F1098" i="2" s="1"/>
  <c r="D1099" i="2"/>
  <c r="F1099" i="2" s="1"/>
  <c r="D1100" i="2"/>
  <c r="F1100" i="2" s="1"/>
  <c r="D1101" i="2"/>
  <c r="F1101" i="2" s="1"/>
  <c r="D1102" i="2"/>
  <c r="F1102" i="2" s="1"/>
  <c r="D1103" i="2"/>
  <c r="F1103" i="2" s="1"/>
  <c r="D1104" i="2"/>
  <c r="F1104" i="2" s="1"/>
  <c r="D1105" i="2"/>
  <c r="F1105" i="2" s="1"/>
  <c r="D1106" i="2"/>
  <c r="F1106" i="2" s="1"/>
  <c r="D1107" i="2"/>
  <c r="F1107" i="2" s="1"/>
  <c r="D1108" i="2"/>
  <c r="F1108" i="2" s="1"/>
  <c r="D1109" i="2"/>
  <c r="F1109" i="2" s="1"/>
  <c r="D1110" i="2"/>
  <c r="F1110" i="2" s="1"/>
  <c r="D1111" i="2"/>
  <c r="F1111" i="2" s="1"/>
  <c r="D1112" i="2"/>
  <c r="F1112" i="2" s="1"/>
  <c r="D1113" i="2"/>
  <c r="F1113" i="2" s="1"/>
  <c r="D1114" i="2"/>
  <c r="F1114" i="2" s="1"/>
  <c r="D1115" i="2"/>
  <c r="F1115" i="2" s="1"/>
  <c r="D1116" i="2"/>
  <c r="F1116" i="2" s="1"/>
  <c r="D1117" i="2"/>
  <c r="F1117" i="2" s="1"/>
  <c r="D1118" i="2"/>
  <c r="F1118" i="2" s="1"/>
  <c r="D1119" i="2"/>
  <c r="F1119" i="2" s="1"/>
  <c r="D1120" i="2"/>
  <c r="F1120" i="2" s="1"/>
  <c r="D1121" i="2"/>
  <c r="F1121" i="2" s="1"/>
  <c r="D1122" i="2"/>
  <c r="F1122" i="2" s="1"/>
  <c r="D1123" i="2"/>
  <c r="F1123" i="2" s="1"/>
  <c r="D1124" i="2"/>
  <c r="F1124" i="2" s="1"/>
  <c r="D1125" i="2"/>
  <c r="F1125" i="2" s="1"/>
  <c r="D1126" i="2"/>
  <c r="F1126" i="2" s="1"/>
  <c r="D1127" i="2"/>
  <c r="F1127" i="2" s="1"/>
  <c r="D1128" i="2"/>
  <c r="F1128" i="2" s="1"/>
  <c r="D1129" i="2"/>
  <c r="F1129" i="2" s="1"/>
  <c r="D1130" i="2"/>
  <c r="F1130" i="2" s="1"/>
  <c r="D1131" i="2"/>
  <c r="F1131" i="2" s="1"/>
  <c r="D1132" i="2"/>
  <c r="F1132" i="2" s="1"/>
  <c r="D1133" i="2"/>
  <c r="F1133" i="2" s="1"/>
  <c r="D1134" i="2"/>
  <c r="F1134" i="2" s="1"/>
  <c r="D1135" i="2"/>
  <c r="F1135" i="2" s="1"/>
  <c r="D1136" i="2"/>
  <c r="F1136" i="2" s="1"/>
  <c r="D1137" i="2"/>
  <c r="F1137" i="2" s="1"/>
  <c r="D1138" i="2"/>
  <c r="F1138" i="2" s="1"/>
  <c r="D1139" i="2"/>
  <c r="F1139" i="2" s="1"/>
  <c r="D1140" i="2"/>
  <c r="F1140" i="2" s="1"/>
  <c r="D1141" i="2"/>
  <c r="F1141" i="2" s="1"/>
  <c r="D1142" i="2"/>
  <c r="F1142" i="2" s="1"/>
  <c r="D1143" i="2"/>
  <c r="F1143" i="2" s="1"/>
  <c r="D1144" i="2"/>
  <c r="F1144" i="2" s="1"/>
  <c r="D1145" i="2"/>
  <c r="F1145" i="2" s="1"/>
  <c r="D1146" i="2"/>
  <c r="F1146" i="2" s="1"/>
  <c r="D1147" i="2"/>
  <c r="F1147" i="2" s="1"/>
  <c r="D1148" i="2"/>
  <c r="F1148" i="2" s="1"/>
  <c r="D1149" i="2"/>
  <c r="F1149" i="2" s="1"/>
  <c r="D1150" i="2"/>
  <c r="F1150" i="2" s="1"/>
  <c r="D1151" i="2"/>
  <c r="F1151" i="2" s="1"/>
  <c r="D1152" i="2"/>
  <c r="F1152" i="2" s="1"/>
  <c r="D1153" i="2"/>
  <c r="F1153" i="2" s="1"/>
  <c r="D1154" i="2"/>
  <c r="F1154" i="2" s="1"/>
  <c r="D1155" i="2"/>
  <c r="F1155" i="2" s="1"/>
  <c r="D1156" i="2"/>
  <c r="F1156" i="2" s="1"/>
  <c r="D1157" i="2"/>
  <c r="F1157" i="2" s="1"/>
  <c r="D1158" i="2"/>
  <c r="F1158" i="2" s="1"/>
  <c r="D1159" i="2"/>
  <c r="F1159" i="2" s="1"/>
  <c r="D1160" i="2"/>
  <c r="F1160" i="2" s="1"/>
  <c r="D1161" i="2"/>
  <c r="F1161" i="2" s="1"/>
  <c r="D1162" i="2"/>
  <c r="F1162" i="2" s="1"/>
  <c r="D1163" i="2"/>
  <c r="F1163" i="2" s="1"/>
  <c r="D1164" i="2"/>
  <c r="F1164" i="2" s="1"/>
  <c r="D1165" i="2"/>
  <c r="F1165" i="2" s="1"/>
  <c r="D1166" i="2"/>
  <c r="F1166" i="2" s="1"/>
  <c r="D1167" i="2"/>
  <c r="F1167" i="2" s="1"/>
  <c r="D1168" i="2"/>
  <c r="F1168" i="2" s="1"/>
  <c r="D1169" i="2"/>
  <c r="F1169" i="2" s="1"/>
  <c r="D1170" i="2"/>
  <c r="F1170" i="2" s="1"/>
  <c r="D1171" i="2"/>
  <c r="F1171" i="2" s="1"/>
  <c r="D1172" i="2"/>
  <c r="F1172" i="2" s="1"/>
  <c r="D1173" i="2"/>
  <c r="F1173" i="2" s="1"/>
  <c r="D1174" i="2"/>
  <c r="F1174" i="2" s="1"/>
  <c r="D1175" i="2"/>
  <c r="F1175" i="2" s="1"/>
  <c r="D1176" i="2"/>
  <c r="F1176" i="2" s="1"/>
  <c r="D1177" i="2"/>
  <c r="F1177" i="2" s="1"/>
  <c r="D1178" i="2"/>
  <c r="F1178" i="2" s="1"/>
  <c r="D1179" i="2"/>
  <c r="F1179" i="2" s="1"/>
  <c r="D1180" i="2"/>
  <c r="F1180" i="2" s="1"/>
  <c r="D1181" i="2"/>
  <c r="F1181" i="2" s="1"/>
  <c r="D1182" i="2"/>
  <c r="F1182" i="2" s="1"/>
  <c r="D1183" i="2"/>
  <c r="F1183" i="2" s="1"/>
  <c r="D1184" i="2"/>
  <c r="F1184" i="2" s="1"/>
  <c r="D1185" i="2"/>
  <c r="F1185" i="2" s="1"/>
  <c r="D1186" i="2"/>
  <c r="F1186" i="2" s="1"/>
  <c r="D1187" i="2"/>
  <c r="F1187" i="2" s="1"/>
  <c r="D1188" i="2"/>
  <c r="F1188" i="2" s="1"/>
  <c r="D1189" i="2"/>
  <c r="F1189" i="2" s="1"/>
  <c r="D1190" i="2"/>
  <c r="F1190" i="2" s="1"/>
  <c r="D1191" i="2"/>
  <c r="F1191" i="2" s="1"/>
  <c r="D1192" i="2"/>
  <c r="F1192" i="2" s="1"/>
  <c r="D1193" i="2"/>
  <c r="F1193" i="2" s="1"/>
  <c r="D1194" i="2"/>
  <c r="F1194" i="2" s="1"/>
  <c r="D1195" i="2"/>
  <c r="F1195" i="2" s="1"/>
  <c r="D1196" i="2"/>
  <c r="F1196" i="2" s="1"/>
  <c r="D1197" i="2"/>
  <c r="F1197" i="2" s="1"/>
  <c r="D1198" i="2"/>
  <c r="F1198" i="2" s="1"/>
  <c r="D1199" i="2"/>
  <c r="F1199" i="2" s="1"/>
  <c r="D1200" i="2"/>
  <c r="F1200" i="2" s="1"/>
  <c r="D1201" i="2"/>
  <c r="F1201" i="2" s="1"/>
  <c r="D1202" i="2"/>
  <c r="F1202" i="2" s="1"/>
  <c r="D1203" i="2"/>
  <c r="F1203" i="2" s="1"/>
  <c r="D1204" i="2"/>
  <c r="F1204" i="2" s="1"/>
  <c r="D1205" i="2"/>
  <c r="F1205" i="2" s="1"/>
  <c r="D1206" i="2"/>
  <c r="F1206" i="2" s="1"/>
  <c r="D1207" i="2"/>
  <c r="F1207" i="2" s="1"/>
  <c r="D1208" i="2"/>
  <c r="F1208" i="2" s="1"/>
  <c r="D1209" i="2"/>
  <c r="F1209" i="2" s="1"/>
  <c r="D1210" i="2"/>
  <c r="F1210" i="2" s="1"/>
  <c r="D1211" i="2"/>
  <c r="F1211" i="2" s="1"/>
  <c r="D1212" i="2"/>
  <c r="F1212" i="2" s="1"/>
  <c r="D1213" i="2"/>
  <c r="F1213" i="2" s="1"/>
  <c r="D1214" i="2"/>
  <c r="F1214" i="2" s="1"/>
  <c r="D1215" i="2"/>
  <c r="F1215" i="2" s="1"/>
  <c r="D1216" i="2"/>
  <c r="F1216" i="2" s="1"/>
  <c r="D1217" i="2"/>
  <c r="F1217" i="2" s="1"/>
  <c r="D1218" i="2"/>
  <c r="F1218" i="2" s="1"/>
  <c r="D1219" i="2"/>
  <c r="F1219" i="2" s="1"/>
  <c r="D1220" i="2"/>
  <c r="F1220" i="2" s="1"/>
  <c r="D1221" i="2"/>
  <c r="F1221" i="2" s="1"/>
  <c r="D1222" i="2"/>
  <c r="F1222" i="2" s="1"/>
  <c r="D1223" i="2"/>
  <c r="F1223" i="2" s="1"/>
  <c r="D1224" i="2"/>
  <c r="F1224" i="2" s="1"/>
  <c r="D1225" i="2"/>
  <c r="F1225" i="2" s="1"/>
  <c r="D1226" i="2"/>
  <c r="F1226" i="2" s="1"/>
  <c r="D1227" i="2"/>
  <c r="F1227" i="2" s="1"/>
  <c r="D1228" i="2"/>
  <c r="F1228" i="2" s="1"/>
  <c r="D1229" i="2"/>
  <c r="F1229" i="2" s="1"/>
  <c r="D1230" i="2"/>
  <c r="F1230" i="2" s="1"/>
  <c r="D1231" i="2"/>
  <c r="F1231" i="2" s="1"/>
  <c r="D1232" i="2"/>
  <c r="F1232" i="2" s="1"/>
  <c r="D1233" i="2"/>
  <c r="F1233" i="2" s="1"/>
  <c r="D1234" i="2"/>
  <c r="F1234" i="2" s="1"/>
  <c r="D1235" i="2"/>
  <c r="F1235" i="2" s="1"/>
  <c r="D1236" i="2"/>
  <c r="F1236" i="2" s="1"/>
  <c r="D1237" i="2"/>
  <c r="F1237" i="2" s="1"/>
  <c r="D1238" i="2"/>
  <c r="F1238" i="2" s="1"/>
  <c r="D1239" i="2"/>
  <c r="F1239" i="2" s="1"/>
  <c r="D1240" i="2"/>
  <c r="F1240" i="2" s="1"/>
  <c r="D1241" i="2"/>
  <c r="F1241" i="2" s="1"/>
  <c r="D1242" i="2"/>
  <c r="F1242" i="2" s="1"/>
  <c r="D1243" i="2"/>
  <c r="F1243" i="2" s="1"/>
  <c r="D1244" i="2"/>
  <c r="F1244" i="2" s="1"/>
  <c r="D1245" i="2"/>
  <c r="F1245" i="2" s="1"/>
  <c r="D1246" i="2"/>
  <c r="F1246" i="2" s="1"/>
  <c r="D1247" i="2"/>
  <c r="F1247" i="2" s="1"/>
  <c r="D1248" i="2"/>
  <c r="F1248" i="2" s="1"/>
  <c r="D1249" i="2"/>
  <c r="F1249" i="2" s="1"/>
  <c r="D1250" i="2"/>
  <c r="F1250" i="2" s="1"/>
  <c r="D1251" i="2"/>
  <c r="F1251" i="2" s="1"/>
  <c r="D1252" i="2"/>
  <c r="F1252" i="2" s="1"/>
  <c r="D1253" i="2"/>
  <c r="F1253" i="2" s="1"/>
  <c r="D1254" i="2"/>
  <c r="F1254" i="2" s="1"/>
  <c r="D1255" i="2"/>
  <c r="F1255" i="2" s="1"/>
  <c r="D1256" i="2"/>
  <c r="F1256" i="2" s="1"/>
  <c r="D1257" i="2"/>
  <c r="F1257" i="2" s="1"/>
  <c r="D1258" i="2"/>
  <c r="F1258" i="2" s="1"/>
  <c r="D1259" i="2"/>
  <c r="F1259" i="2" s="1"/>
  <c r="D1260" i="2"/>
  <c r="F1260" i="2" s="1"/>
  <c r="D1261" i="2"/>
  <c r="F1261" i="2" s="1"/>
  <c r="D1262" i="2"/>
  <c r="F1262" i="2" s="1"/>
  <c r="D1263" i="2"/>
  <c r="F1263" i="2" s="1"/>
  <c r="D1264" i="2"/>
  <c r="F1264" i="2" s="1"/>
  <c r="D1265" i="2"/>
  <c r="F1265" i="2" s="1"/>
  <c r="D1266" i="2"/>
  <c r="F1266" i="2" s="1"/>
  <c r="D1267" i="2"/>
  <c r="F1267" i="2" s="1"/>
  <c r="D1268" i="2"/>
  <c r="F1268" i="2" s="1"/>
  <c r="D1269" i="2"/>
  <c r="F1269" i="2" s="1"/>
  <c r="D1270" i="2"/>
  <c r="F1270" i="2" s="1"/>
  <c r="D1271" i="2"/>
  <c r="F1271" i="2" s="1"/>
  <c r="D1272" i="2"/>
  <c r="F1272" i="2" s="1"/>
  <c r="D1273" i="2"/>
  <c r="F1273" i="2" s="1"/>
  <c r="D1274" i="2"/>
  <c r="F1274" i="2" s="1"/>
  <c r="D1275" i="2"/>
  <c r="F1275" i="2" s="1"/>
  <c r="D1276" i="2"/>
  <c r="F1276" i="2" s="1"/>
  <c r="D1277" i="2"/>
  <c r="F1277" i="2" s="1"/>
  <c r="D1278" i="2"/>
  <c r="F1278" i="2" s="1"/>
  <c r="D1279" i="2"/>
  <c r="F1279" i="2" s="1"/>
  <c r="D1280" i="2"/>
  <c r="F1280" i="2" s="1"/>
  <c r="D1281" i="2"/>
  <c r="F1281" i="2" s="1"/>
  <c r="D1282" i="2"/>
  <c r="F1282" i="2" s="1"/>
  <c r="D1283" i="2"/>
  <c r="F1283" i="2" s="1"/>
  <c r="D1284" i="2"/>
  <c r="F1284" i="2" s="1"/>
  <c r="D1285" i="2"/>
  <c r="F1285" i="2" s="1"/>
  <c r="D1286" i="2"/>
  <c r="F1286" i="2" s="1"/>
  <c r="D1287" i="2"/>
  <c r="F1287" i="2" s="1"/>
  <c r="D1288" i="2"/>
  <c r="F1288" i="2" s="1"/>
  <c r="D1289" i="2"/>
  <c r="F1289" i="2" s="1"/>
  <c r="D1290" i="2"/>
  <c r="F1290" i="2" s="1"/>
  <c r="D1291" i="2"/>
  <c r="F1291" i="2" s="1"/>
  <c r="D1292" i="2"/>
  <c r="F1292" i="2" s="1"/>
  <c r="D1293" i="2"/>
  <c r="F1293" i="2" s="1"/>
  <c r="D1294" i="2"/>
  <c r="F1294" i="2" s="1"/>
  <c r="D1295" i="2"/>
  <c r="F1295" i="2" s="1"/>
  <c r="D1296" i="2"/>
  <c r="F1296" i="2" s="1"/>
  <c r="D1297" i="2"/>
  <c r="F1297" i="2" s="1"/>
  <c r="D1298" i="2"/>
  <c r="F1298" i="2" s="1"/>
  <c r="D1299" i="2"/>
  <c r="F1299" i="2" s="1"/>
  <c r="D1300" i="2"/>
  <c r="F1300" i="2" s="1"/>
  <c r="D1301" i="2"/>
  <c r="F1301" i="2" s="1"/>
  <c r="D1302" i="2"/>
  <c r="F1302" i="2" s="1"/>
  <c r="D1303" i="2"/>
  <c r="F1303" i="2" s="1"/>
  <c r="D1304" i="2"/>
  <c r="F1304" i="2" s="1"/>
  <c r="D1305" i="2"/>
  <c r="F1305" i="2" s="1"/>
  <c r="D1306" i="2"/>
  <c r="F1306" i="2" s="1"/>
  <c r="D1307" i="2"/>
  <c r="F1307" i="2" s="1"/>
  <c r="D1308" i="2"/>
  <c r="F1308" i="2" s="1"/>
  <c r="D1309" i="2"/>
  <c r="F1309" i="2" s="1"/>
  <c r="D1310" i="2"/>
  <c r="F1310" i="2" s="1"/>
  <c r="D1311" i="2"/>
  <c r="F1311" i="2" s="1"/>
  <c r="D1312" i="2"/>
  <c r="F1312" i="2" s="1"/>
  <c r="D1313" i="2"/>
  <c r="F1313" i="2" s="1"/>
  <c r="D1314" i="2"/>
  <c r="F1314" i="2" s="1"/>
  <c r="D1315" i="2"/>
  <c r="F1315" i="2" s="1"/>
  <c r="D1316" i="2"/>
  <c r="F1316" i="2" s="1"/>
  <c r="D1317" i="2"/>
  <c r="F1317" i="2" s="1"/>
  <c r="D1318" i="2"/>
  <c r="F1318" i="2" s="1"/>
  <c r="D1319" i="2"/>
  <c r="F1319" i="2" s="1"/>
  <c r="D1320" i="2"/>
  <c r="F1320" i="2" s="1"/>
  <c r="D1321" i="2"/>
  <c r="F1321" i="2" s="1"/>
  <c r="D1322" i="2"/>
  <c r="F1322" i="2" s="1"/>
  <c r="D1323" i="2"/>
  <c r="F1323" i="2" s="1"/>
  <c r="D1324" i="2"/>
  <c r="F1324" i="2" s="1"/>
  <c r="D1325" i="2"/>
  <c r="F1325" i="2" s="1"/>
  <c r="D1326" i="2"/>
  <c r="F1326" i="2" s="1"/>
  <c r="D1327" i="2"/>
  <c r="F1327" i="2" s="1"/>
  <c r="D1328" i="2"/>
  <c r="F1328" i="2" s="1"/>
  <c r="D1329" i="2"/>
  <c r="F1329" i="2" s="1"/>
  <c r="D1330" i="2"/>
  <c r="F1330" i="2" s="1"/>
  <c r="D1331" i="2"/>
  <c r="F1331" i="2" s="1"/>
  <c r="D1332" i="2"/>
  <c r="F1332" i="2" s="1"/>
  <c r="D1333" i="2"/>
  <c r="F1333" i="2" s="1"/>
  <c r="D1334" i="2"/>
  <c r="F1334" i="2" s="1"/>
  <c r="D1335" i="2"/>
  <c r="F1335" i="2" s="1"/>
  <c r="D1336" i="2"/>
  <c r="F1336" i="2" s="1"/>
  <c r="D1337" i="2"/>
  <c r="F1337" i="2" s="1"/>
  <c r="D1338" i="2"/>
  <c r="F1338" i="2" s="1"/>
  <c r="D1339" i="2"/>
  <c r="F1339" i="2" s="1"/>
  <c r="D1340" i="2"/>
  <c r="F1340" i="2" s="1"/>
  <c r="D1341" i="2"/>
  <c r="F1341" i="2" s="1"/>
  <c r="D1342" i="2"/>
  <c r="F1342" i="2" s="1"/>
  <c r="D1343" i="2"/>
  <c r="F1343" i="2" s="1"/>
  <c r="D1344" i="2"/>
  <c r="F1344" i="2" s="1"/>
  <c r="D1345" i="2"/>
  <c r="F1345" i="2" s="1"/>
  <c r="D1346" i="2"/>
  <c r="F1346" i="2" s="1"/>
  <c r="D1347" i="2"/>
  <c r="F1347" i="2" s="1"/>
  <c r="D1348" i="2"/>
  <c r="F1348" i="2" s="1"/>
  <c r="D1349" i="2"/>
  <c r="F1349" i="2" s="1"/>
  <c r="D1350" i="2"/>
  <c r="F1350" i="2" s="1"/>
  <c r="D1351" i="2"/>
  <c r="F1351" i="2" s="1"/>
  <c r="D1352" i="2"/>
  <c r="F1352" i="2" s="1"/>
  <c r="D1353" i="2"/>
  <c r="F1353" i="2" s="1"/>
  <c r="D1354" i="2"/>
  <c r="F1354" i="2" s="1"/>
  <c r="D1355" i="2"/>
  <c r="F1355" i="2" s="1"/>
  <c r="D1356" i="2"/>
  <c r="F1356" i="2" s="1"/>
  <c r="D1357" i="2"/>
  <c r="F1357" i="2" s="1"/>
  <c r="D1358" i="2"/>
  <c r="F1358" i="2" s="1"/>
  <c r="D1359" i="2"/>
  <c r="F1359" i="2" s="1"/>
  <c r="D1360" i="2"/>
  <c r="F1360" i="2" s="1"/>
  <c r="D1361" i="2"/>
  <c r="F1361" i="2" s="1"/>
  <c r="D1362" i="2"/>
  <c r="F1362" i="2" s="1"/>
  <c r="D1363" i="2"/>
  <c r="F1363" i="2" s="1"/>
  <c r="D1364" i="2"/>
  <c r="F1364" i="2" s="1"/>
  <c r="D1365" i="2"/>
  <c r="F1365" i="2" s="1"/>
  <c r="D1366" i="2"/>
  <c r="F1366" i="2" s="1"/>
  <c r="D1367" i="2"/>
  <c r="F1367" i="2" s="1"/>
  <c r="D1368" i="2"/>
  <c r="F1368" i="2" s="1"/>
  <c r="D1369" i="2"/>
  <c r="F1369" i="2" s="1"/>
  <c r="D1370" i="2"/>
  <c r="F1370" i="2" s="1"/>
  <c r="D1371" i="2"/>
  <c r="F1371" i="2" s="1"/>
  <c r="D1372" i="2"/>
  <c r="F1372" i="2" s="1"/>
  <c r="D1373" i="2"/>
  <c r="F1373" i="2" s="1"/>
  <c r="D1374" i="2"/>
  <c r="F1374" i="2" s="1"/>
  <c r="D1375" i="2"/>
  <c r="F1375" i="2" s="1"/>
  <c r="D1376" i="2"/>
  <c r="F1376" i="2" s="1"/>
  <c r="D1377" i="2"/>
  <c r="F1377" i="2" s="1"/>
  <c r="D1378" i="2"/>
  <c r="F1378" i="2" s="1"/>
  <c r="D1379" i="2"/>
  <c r="F1379" i="2" s="1"/>
  <c r="D1380" i="2"/>
  <c r="F1380" i="2" s="1"/>
  <c r="D1381" i="2"/>
  <c r="F1381" i="2" s="1"/>
  <c r="D1382" i="2"/>
  <c r="F1382" i="2" s="1"/>
  <c r="D1383" i="2"/>
  <c r="F1383" i="2" s="1"/>
  <c r="D1384" i="2"/>
  <c r="F1384" i="2" s="1"/>
  <c r="D1385" i="2"/>
  <c r="F1385" i="2" s="1"/>
  <c r="D1386" i="2"/>
  <c r="F1386" i="2" s="1"/>
  <c r="D1387" i="2"/>
  <c r="F1387" i="2" s="1"/>
  <c r="D1388" i="2"/>
  <c r="F1388" i="2" s="1"/>
  <c r="D1389" i="2"/>
  <c r="F1389" i="2" s="1"/>
  <c r="D1390" i="2"/>
  <c r="F1390" i="2" s="1"/>
  <c r="D1391" i="2"/>
  <c r="F1391" i="2" s="1"/>
  <c r="D1392" i="2"/>
  <c r="F1392" i="2" s="1"/>
  <c r="D1393" i="2"/>
  <c r="F1393" i="2" s="1"/>
  <c r="D1394" i="2"/>
  <c r="F1394" i="2" s="1"/>
  <c r="D1395" i="2"/>
  <c r="F1395" i="2" s="1"/>
  <c r="D1396" i="2"/>
  <c r="F1396" i="2" s="1"/>
  <c r="D1397" i="2"/>
  <c r="F1397" i="2" s="1"/>
  <c r="D1398" i="2"/>
  <c r="F1398" i="2" s="1"/>
  <c r="D1399" i="2"/>
  <c r="F1399" i="2" s="1"/>
  <c r="D1400" i="2"/>
  <c r="F1400" i="2" s="1"/>
  <c r="D1401" i="2"/>
  <c r="F1401" i="2" s="1"/>
  <c r="D1402" i="2"/>
  <c r="F1402" i="2" s="1"/>
  <c r="D1403" i="2"/>
  <c r="F1403" i="2" s="1"/>
  <c r="D1404" i="2"/>
  <c r="F1404" i="2" s="1"/>
  <c r="D1405" i="2"/>
  <c r="F1405" i="2" s="1"/>
  <c r="D1406" i="2"/>
  <c r="F1406" i="2" s="1"/>
  <c r="D1407" i="2"/>
  <c r="F1407" i="2" s="1"/>
  <c r="D1408" i="2"/>
  <c r="F1408" i="2" s="1"/>
  <c r="D1409" i="2"/>
  <c r="F1409" i="2" s="1"/>
  <c r="D1410" i="2"/>
  <c r="F1410" i="2" s="1"/>
  <c r="D1411" i="2"/>
  <c r="F1411" i="2" s="1"/>
  <c r="D1412" i="2"/>
  <c r="F1412" i="2" s="1"/>
  <c r="D1413" i="2"/>
  <c r="F1413" i="2" s="1"/>
  <c r="D1414" i="2"/>
  <c r="F1414" i="2" s="1"/>
  <c r="D1415" i="2"/>
  <c r="F1415" i="2" s="1"/>
  <c r="D1416" i="2"/>
  <c r="F1416" i="2" s="1"/>
  <c r="D1417" i="2"/>
  <c r="F1417" i="2" s="1"/>
  <c r="D1418" i="2"/>
  <c r="F1418" i="2" s="1"/>
  <c r="D1419" i="2"/>
  <c r="F1419" i="2" s="1"/>
  <c r="D1420" i="2"/>
  <c r="F1420" i="2" s="1"/>
  <c r="D1421" i="2"/>
  <c r="F1421" i="2" s="1"/>
  <c r="D1422" i="2"/>
  <c r="F1422" i="2" s="1"/>
  <c r="D1423" i="2"/>
  <c r="F1423" i="2" s="1"/>
  <c r="D1424" i="2"/>
  <c r="F1424" i="2" s="1"/>
  <c r="D1425" i="2"/>
  <c r="F1425" i="2" s="1"/>
  <c r="D1426" i="2"/>
  <c r="F1426" i="2" s="1"/>
  <c r="D1427" i="2"/>
  <c r="F1427" i="2" s="1"/>
  <c r="D1428" i="2"/>
  <c r="F1428" i="2" s="1"/>
  <c r="D1429" i="2"/>
  <c r="F1429" i="2" s="1"/>
  <c r="D1430" i="2"/>
  <c r="F1430" i="2" s="1"/>
  <c r="D1431" i="2"/>
  <c r="F1431" i="2" s="1"/>
  <c r="D1432" i="2"/>
  <c r="F1432" i="2" s="1"/>
  <c r="D1433" i="2"/>
  <c r="F1433" i="2" s="1"/>
  <c r="D1434" i="2"/>
  <c r="F1434" i="2" s="1"/>
  <c r="D1435" i="2"/>
  <c r="F1435" i="2" s="1"/>
  <c r="D1436" i="2"/>
  <c r="F1436" i="2" s="1"/>
  <c r="D1437" i="2"/>
  <c r="F1437" i="2" s="1"/>
  <c r="D1438" i="2"/>
  <c r="F1438" i="2" s="1"/>
  <c r="D1439" i="2"/>
  <c r="F1439" i="2" s="1"/>
  <c r="D1440" i="2"/>
  <c r="F1440" i="2" s="1"/>
  <c r="D1441" i="2"/>
  <c r="F1441" i="2" s="1"/>
  <c r="D1442" i="2"/>
  <c r="F1442" i="2" s="1"/>
  <c r="D1443" i="2"/>
  <c r="F1443" i="2" s="1"/>
  <c r="D1444" i="2"/>
  <c r="F1444" i="2" s="1"/>
  <c r="D1445" i="2"/>
  <c r="F1445" i="2" s="1"/>
  <c r="D1446" i="2"/>
  <c r="F1446" i="2" s="1"/>
  <c r="D1447" i="2"/>
  <c r="F1447" i="2" s="1"/>
  <c r="D1448" i="2"/>
  <c r="F1448" i="2" s="1"/>
  <c r="D1449" i="2"/>
  <c r="F1449" i="2" s="1"/>
  <c r="D1450" i="2"/>
  <c r="F1450" i="2" s="1"/>
  <c r="D1451" i="2"/>
  <c r="F1451" i="2" s="1"/>
  <c r="D1452" i="2"/>
  <c r="F1452" i="2" s="1"/>
  <c r="D1453" i="2"/>
  <c r="F1453" i="2" s="1"/>
  <c r="D1454" i="2"/>
  <c r="F1454" i="2" s="1"/>
  <c r="D1455" i="2"/>
  <c r="F1455" i="2" s="1"/>
  <c r="D1456" i="2"/>
  <c r="F1456" i="2" s="1"/>
  <c r="D1457" i="2"/>
  <c r="F1457" i="2" s="1"/>
  <c r="D1458" i="2"/>
  <c r="F1458" i="2" s="1"/>
  <c r="D1459" i="2"/>
  <c r="F1459" i="2" s="1"/>
  <c r="D1460" i="2"/>
  <c r="F1460" i="2" s="1"/>
  <c r="D1461" i="2"/>
  <c r="F1461" i="2" s="1"/>
  <c r="D1462" i="2"/>
  <c r="F1462" i="2" s="1"/>
  <c r="D1463" i="2"/>
  <c r="F1463" i="2" s="1"/>
  <c r="D1464" i="2"/>
  <c r="F1464" i="2" s="1"/>
  <c r="D1465" i="2"/>
  <c r="F1465" i="2" s="1"/>
  <c r="D1466" i="2"/>
  <c r="F1466" i="2" s="1"/>
  <c r="D1467" i="2"/>
  <c r="F1467" i="2" s="1"/>
  <c r="D1468" i="2"/>
  <c r="F1468" i="2" s="1"/>
  <c r="D1469" i="2"/>
  <c r="F1469" i="2" s="1"/>
  <c r="D1470" i="2"/>
  <c r="F1470" i="2" s="1"/>
  <c r="D1471" i="2"/>
  <c r="F1471" i="2" s="1"/>
  <c r="D1472" i="2"/>
  <c r="F1472" i="2" s="1"/>
  <c r="D1473" i="2"/>
  <c r="F1473" i="2" s="1"/>
  <c r="D1474" i="2"/>
  <c r="F1474" i="2" s="1"/>
  <c r="D1475" i="2"/>
  <c r="F1475" i="2" s="1"/>
  <c r="D1476" i="2"/>
  <c r="F1476" i="2" s="1"/>
  <c r="D1477" i="2"/>
  <c r="F1477" i="2" s="1"/>
  <c r="D1478" i="2"/>
  <c r="F1478" i="2" s="1"/>
  <c r="D1479" i="2"/>
  <c r="F1479" i="2" s="1"/>
  <c r="D1480" i="2"/>
  <c r="F1480" i="2" s="1"/>
  <c r="D1481" i="2"/>
  <c r="F1481" i="2" s="1"/>
  <c r="D1482" i="2"/>
  <c r="F1482" i="2" s="1"/>
  <c r="D1483" i="2"/>
  <c r="F1483" i="2" s="1"/>
  <c r="D1484" i="2"/>
  <c r="F1484" i="2" s="1"/>
  <c r="D1485" i="2"/>
  <c r="F1485" i="2" s="1"/>
  <c r="D1486" i="2"/>
  <c r="F1486" i="2" s="1"/>
  <c r="D1487" i="2"/>
  <c r="F1487" i="2" s="1"/>
  <c r="D1488" i="2"/>
  <c r="F1488" i="2" s="1"/>
  <c r="D1489" i="2"/>
  <c r="F1489" i="2" s="1"/>
  <c r="D1490" i="2"/>
  <c r="F1490" i="2" s="1"/>
  <c r="D1491" i="2"/>
  <c r="F1491" i="2" s="1"/>
  <c r="D1492" i="2"/>
  <c r="F1492" i="2" s="1"/>
  <c r="D1493" i="2"/>
  <c r="F1493" i="2" s="1"/>
  <c r="D1494" i="2"/>
  <c r="F1494" i="2" s="1"/>
  <c r="D1495" i="2"/>
  <c r="F1495" i="2" s="1"/>
  <c r="D1496" i="2"/>
  <c r="F1496" i="2" s="1"/>
  <c r="D1497" i="2"/>
  <c r="F1497" i="2" s="1"/>
  <c r="D1498" i="2"/>
  <c r="F1498" i="2" s="1"/>
  <c r="D1499" i="2"/>
  <c r="F1499" i="2" s="1"/>
  <c r="D1500" i="2"/>
  <c r="F1500" i="2" s="1"/>
  <c r="D1501" i="2"/>
  <c r="F1501" i="2" s="1"/>
  <c r="D1502" i="2"/>
  <c r="F1502" i="2" s="1"/>
  <c r="D1503" i="2"/>
  <c r="F1503" i="2" s="1"/>
  <c r="D1504" i="2"/>
  <c r="F1504" i="2" s="1"/>
  <c r="D1505" i="2"/>
  <c r="F1505" i="2" s="1"/>
  <c r="D1506" i="2"/>
  <c r="F1506" i="2" s="1"/>
  <c r="D1507" i="2"/>
  <c r="F1507" i="2" s="1"/>
  <c r="D1508" i="2"/>
  <c r="F1508" i="2" s="1"/>
  <c r="D1509" i="2"/>
  <c r="F1509" i="2" s="1"/>
  <c r="D1510" i="2"/>
  <c r="F1510" i="2" s="1"/>
  <c r="D1511" i="2"/>
  <c r="F1511" i="2" s="1"/>
  <c r="D1512" i="2"/>
  <c r="F1512" i="2" s="1"/>
  <c r="D1513" i="2"/>
  <c r="F1513" i="2" s="1"/>
  <c r="D1514" i="2"/>
  <c r="F1514" i="2" s="1"/>
  <c r="D1515" i="2"/>
  <c r="F1515" i="2" s="1"/>
  <c r="D1516" i="2"/>
  <c r="F1516" i="2" s="1"/>
  <c r="D1517" i="2"/>
  <c r="F1517" i="2" s="1"/>
  <c r="D1518" i="2"/>
  <c r="F1518" i="2" s="1"/>
  <c r="D1519" i="2"/>
  <c r="F1519" i="2" s="1"/>
  <c r="D1520" i="2"/>
  <c r="F1520" i="2" s="1"/>
  <c r="D1521" i="2"/>
  <c r="F1521" i="2" s="1"/>
  <c r="D1522" i="2"/>
  <c r="F1522" i="2" s="1"/>
  <c r="D1523" i="2"/>
  <c r="F1523" i="2" s="1"/>
  <c r="D1524" i="2"/>
  <c r="F1524" i="2" s="1"/>
  <c r="D1525" i="2"/>
  <c r="F1525" i="2" s="1"/>
  <c r="D1526" i="2"/>
  <c r="F1526" i="2" s="1"/>
  <c r="D1527" i="2"/>
  <c r="F1527" i="2" s="1"/>
  <c r="D1528" i="2"/>
  <c r="F1528" i="2" s="1"/>
  <c r="D1529" i="2"/>
  <c r="F1529" i="2" s="1"/>
  <c r="D1530" i="2"/>
  <c r="F1530" i="2" s="1"/>
  <c r="D1531" i="2"/>
  <c r="F1531" i="2" s="1"/>
  <c r="D1532" i="2"/>
  <c r="F1532" i="2" s="1"/>
  <c r="D1533" i="2"/>
  <c r="F1533" i="2" s="1"/>
  <c r="D1534" i="2"/>
  <c r="F1534" i="2" s="1"/>
  <c r="D1535" i="2"/>
  <c r="F1535" i="2" s="1"/>
  <c r="D1536" i="2"/>
  <c r="F1536" i="2" s="1"/>
  <c r="D1537" i="2"/>
  <c r="F1537" i="2" s="1"/>
  <c r="D1538" i="2"/>
  <c r="F1538" i="2" s="1"/>
  <c r="D1539" i="2"/>
  <c r="F1539" i="2" s="1"/>
  <c r="D1540" i="2"/>
  <c r="F1540" i="2" s="1"/>
  <c r="D1541" i="2"/>
  <c r="F1541" i="2" s="1"/>
  <c r="D1542" i="2"/>
  <c r="F1542" i="2" s="1"/>
  <c r="D1543" i="2"/>
  <c r="F1543" i="2" s="1"/>
  <c r="D1544" i="2"/>
  <c r="F1544" i="2" s="1"/>
  <c r="D1545" i="2"/>
  <c r="F1545" i="2" s="1"/>
  <c r="D1546" i="2"/>
  <c r="F1546" i="2" s="1"/>
  <c r="D1547" i="2"/>
  <c r="F1547" i="2" s="1"/>
  <c r="D1548" i="2"/>
  <c r="F1548" i="2" s="1"/>
  <c r="D1549" i="2"/>
  <c r="F1549" i="2" s="1"/>
  <c r="D1550" i="2"/>
  <c r="F1550" i="2" s="1"/>
  <c r="D1551" i="2"/>
  <c r="F1551" i="2" s="1"/>
  <c r="D1552" i="2"/>
  <c r="F1552" i="2" s="1"/>
  <c r="D1553" i="2"/>
  <c r="F1553" i="2" s="1"/>
  <c r="D1554" i="2"/>
  <c r="F1554" i="2" s="1"/>
  <c r="D1555" i="2"/>
  <c r="F1555" i="2" s="1"/>
  <c r="D1556" i="2"/>
  <c r="F1556" i="2" s="1"/>
  <c r="D1557" i="2"/>
  <c r="F1557" i="2" s="1"/>
  <c r="D1558" i="2"/>
  <c r="F1558" i="2" s="1"/>
  <c r="D1559" i="2"/>
  <c r="F1559" i="2" s="1"/>
  <c r="D1560" i="2"/>
  <c r="F1560" i="2" s="1"/>
  <c r="D1561" i="2"/>
  <c r="F1561" i="2" s="1"/>
  <c r="D1562" i="2"/>
  <c r="F1562" i="2" s="1"/>
  <c r="D1563" i="2"/>
  <c r="F1563" i="2" s="1"/>
  <c r="D1564" i="2"/>
  <c r="F1564" i="2" s="1"/>
  <c r="D1565" i="2"/>
  <c r="F1565" i="2" s="1"/>
  <c r="D1566" i="2"/>
  <c r="F1566" i="2" s="1"/>
  <c r="D1567" i="2"/>
  <c r="F1567" i="2" s="1"/>
  <c r="D1568" i="2"/>
  <c r="F1568" i="2" s="1"/>
  <c r="D1569" i="2"/>
  <c r="F1569" i="2" s="1"/>
  <c r="D1570" i="2"/>
  <c r="F1570" i="2" s="1"/>
  <c r="D1571" i="2"/>
  <c r="F1571" i="2" s="1"/>
  <c r="D1572" i="2"/>
  <c r="F1572" i="2" s="1"/>
  <c r="D1573" i="2"/>
  <c r="F1573" i="2" s="1"/>
  <c r="D1574" i="2"/>
  <c r="F1574" i="2" s="1"/>
  <c r="D1575" i="2"/>
  <c r="F1575" i="2" s="1"/>
  <c r="D1576" i="2"/>
  <c r="F1576" i="2" s="1"/>
  <c r="D1577" i="2"/>
  <c r="F1577" i="2" s="1"/>
  <c r="D1578" i="2"/>
  <c r="F1578" i="2" s="1"/>
  <c r="D1579" i="2"/>
  <c r="F1579" i="2" s="1"/>
  <c r="D1580" i="2"/>
  <c r="F1580" i="2" s="1"/>
  <c r="D1581" i="2"/>
  <c r="F1581" i="2" s="1"/>
  <c r="D1582" i="2"/>
  <c r="F1582" i="2" s="1"/>
  <c r="D1583" i="2"/>
  <c r="F1583" i="2" s="1"/>
  <c r="D1584" i="2"/>
  <c r="F1584" i="2" s="1"/>
  <c r="D1585" i="2"/>
  <c r="F1585" i="2" s="1"/>
  <c r="D1586" i="2"/>
  <c r="F1586" i="2" s="1"/>
  <c r="D1587" i="2"/>
  <c r="F1587" i="2" s="1"/>
  <c r="D1588" i="2"/>
  <c r="F1588" i="2" s="1"/>
  <c r="D1589" i="2"/>
  <c r="F1589" i="2" s="1"/>
  <c r="D1590" i="2"/>
  <c r="F1590" i="2" s="1"/>
  <c r="D1591" i="2"/>
  <c r="F1591" i="2" s="1"/>
  <c r="D1592" i="2"/>
  <c r="F1592" i="2" s="1"/>
  <c r="D1593" i="2"/>
  <c r="F1593" i="2" s="1"/>
  <c r="D1594" i="2"/>
  <c r="F1594" i="2" s="1"/>
  <c r="D1595" i="2"/>
  <c r="F1595" i="2" s="1"/>
  <c r="D1596" i="2"/>
  <c r="F1596" i="2" s="1"/>
  <c r="D1597" i="2"/>
  <c r="F1597" i="2" s="1"/>
  <c r="D1598" i="2"/>
  <c r="F1598" i="2" s="1"/>
  <c r="D1599" i="2"/>
  <c r="F1599" i="2" s="1"/>
  <c r="D1600" i="2"/>
  <c r="F1600" i="2" s="1"/>
  <c r="D1601" i="2"/>
  <c r="F1601" i="2" s="1"/>
  <c r="D1602" i="2"/>
  <c r="F1602" i="2" s="1"/>
  <c r="D1603" i="2"/>
  <c r="F1603" i="2" s="1"/>
  <c r="D1604" i="2"/>
  <c r="F1604" i="2" s="1"/>
  <c r="D1605" i="2"/>
  <c r="F1605" i="2" s="1"/>
  <c r="D1606" i="2"/>
  <c r="F1606" i="2" s="1"/>
  <c r="D1607" i="2"/>
  <c r="F1607" i="2" s="1"/>
  <c r="D1608" i="2"/>
  <c r="F1608" i="2" s="1"/>
  <c r="D1609" i="2"/>
  <c r="F1609" i="2" s="1"/>
  <c r="D1610" i="2"/>
  <c r="F1610" i="2" s="1"/>
  <c r="D1611" i="2"/>
  <c r="F1611" i="2" s="1"/>
  <c r="D1612" i="2"/>
  <c r="F1612" i="2" s="1"/>
  <c r="D1613" i="2"/>
  <c r="F1613" i="2" s="1"/>
  <c r="D1614" i="2"/>
  <c r="F1614" i="2" s="1"/>
  <c r="D1615" i="2"/>
  <c r="F1615" i="2" s="1"/>
  <c r="D1616" i="2"/>
  <c r="F1616" i="2" s="1"/>
  <c r="D1617" i="2"/>
  <c r="F1617" i="2" s="1"/>
  <c r="D1618" i="2"/>
  <c r="F1618" i="2" s="1"/>
  <c r="D1619" i="2"/>
  <c r="F1619" i="2" s="1"/>
  <c r="D1620" i="2"/>
  <c r="F1620" i="2" s="1"/>
  <c r="D1621" i="2"/>
  <c r="F1621" i="2" s="1"/>
  <c r="D1622" i="2"/>
  <c r="F1622" i="2" s="1"/>
  <c r="D1623" i="2"/>
  <c r="F1623" i="2" s="1"/>
  <c r="D1624" i="2"/>
  <c r="F1624" i="2" s="1"/>
  <c r="D1625" i="2"/>
  <c r="F1625" i="2" s="1"/>
  <c r="D1626" i="2"/>
  <c r="F1626" i="2" s="1"/>
  <c r="D1627" i="2"/>
  <c r="F1627" i="2" s="1"/>
  <c r="D1628" i="2"/>
  <c r="F1628" i="2" s="1"/>
  <c r="D1629" i="2"/>
  <c r="F1629" i="2" s="1"/>
  <c r="D1630" i="2"/>
  <c r="F1630" i="2" s="1"/>
  <c r="D1631" i="2"/>
  <c r="F1631" i="2" s="1"/>
  <c r="D1632" i="2"/>
  <c r="F1632" i="2" s="1"/>
  <c r="D1633" i="2"/>
  <c r="F1633" i="2" s="1"/>
  <c r="D1634" i="2"/>
  <c r="F1634" i="2" s="1"/>
  <c r="D1635" i="2"/>
  <c r="F1635" i="2" s="1"/>
  <c r="D1636" i="2"/>
  <c r="F1636" i="2" s="1"/>
  <c r="D1637" i="2"/>
  <c r="F1637" i="2" s="1"/>
  <c r="D1638" i="2"/>
  <c r="F1638" i="2" s="1"/>
  <c r="D1639" i="2"/>
  <c r="F1639" i="2" s="1"/>
  <c r="D1640" i="2"/>
  <c r="F1640" i="2" s="1"/>
  <c r="D1641" i="2"/>
  <c r="F1641" i="2" s="1"/>
  <c r="D1642" i="2"/>
  <c r="F1642" i="2" s="1"/>
  <c r="D1643" i="2"/>
  <c r="F1643" i="2" s="1"/>
  <c r="D1644" i="2"/>
  <c r="F1644" i="2" s="1"/>
  <c r="D1645" i="2"/>
  <c r="F1645" i="2" s="1"/>
  <c r="D1646" i="2"/>
  <c r="F1646" i="2" s="1"/>
  <c r="D1647" i="2"/>
  <c r="F1647" i="2" s="1"/>
  <c r="D1648" i="2"/>
  <c r="F1648" i="2" s="1"/>
  <c r="D1649" i="2"/>
  <c r="F1649" i="2" s="1"/>
  <c r="D1650" i="2"/>
  <c r="F1650" i="2" s="1"/>
  <c r="D1651" i="2"/>
  <c r="F1651" i="2" s="1"/>
  <c r="D1652" i="2"/>
  <c r="F1652" i="2" s="1"/>
  <c r="D1653" i="2"/>
  <c r="F1653" i="2" s="1"/>
  <c r="D1654" i="2"/>
  <c r="F1654" i="2" s="1"/>
  <c r="D1655" i="2"/>
  <c r="F1655" i="2" s="1"/>
  <c r="D1656" i="2"/>
  <c r="F1656" i="2" s="1"/>
  <c r="D1657" i="2"/>
  <c r="F1657" i="2" s="1"/>
  <c r="D1658" i="2"/>
  <c r="F1658" i="2" s="1"/>
  <c r="D1659" i="2"/>
  <c r="F1659" i="2" s="1"/>
  <c r="D1660" i="2"/>
  <c r="F1660" i="2" s="1"/>
  <c r="D1661" i="2"/>
  <c r="F1661" i="2" s="1"/>
  <c r="D1662" i="2"/>
  <c r="F1662" i="2" s="1"/>
  <c r="D1663" i="2"/>
  <c r="F1663" i="2" s="1"/>
  <c r="D1664" i="2"/>
  <c r="F1664" i="2" s="1"/>
  <c r="D1665" i="2"/>
  <c r="F1665" i="2" s="1"/>
  <c r="D1666" i="2"/>
  <c r="F1666" i="2" s="1"/>
  <c r="D1667" i="2"/>
  <c r="F1667" i="2" s="1"/>
  <c r="D1668" i="2"/>
  <c r="F1668" i="2" s="1"/>
  <c r="D1669" i="2"/>
  <c r="F1669" i="2" s="1"/>
  <c r="D1670" i="2"/>
  <c r="F1670" i="2" s="1"/>
  <c r="D1671" i="2"/>
  <c r="F1671" i="2" s="1"/>
  <c r="D1672" i="2"/>
  <c r="F1672" i="2" s="1"/>
  <c r="D1673" i="2"/>
  <c r="F1673" i="2" s="1"/>
  <c r="D1674" i="2"/>
  <c r="F1674" i="2" s="1"/>
  <c r="D1675" i="2"/>
  <c r="F1675" i="2" s="1"/>
  <c r="D1676" i="2"/>
  <c r="F1676" i="2" s="1"/>
  <c r="D1677" i="2"/>
  <c r="F1677" i="2" s="1"/>
  <c r="D1678" i="2"/>
  <c r="F1678" i="2" s="1"/>
  <c r="D1679" i="2"/>
  <c r="F1679" i="2" s="1"/>
  <c r="D1680" i="2"/>
  <c r="F1680" i="2" s="1"/>
  <c r="D1681" i="2"/>
  <c r="F1681" i="2" s="1"/>
  <c r="D1682" i="2"/>
  <c r="F1682" i="2" s="1"/>
  <c r="D1683" i="2"/>
  <c r="F1683" i="2" s="1"/>
  <c r="D1684" i="2"/>
  <c r="F1684" i="2" s="1"/>
  <c r="D1685" i="2"/>
  <c r="F1685" i="2" s="1"/>
  <c r="D1686" i="2"/>
  <c r="F1686" i="2" s="1"/>
  <c r="D1687" i="2"/>
  <c r="F1687" i="2" s="1"/>
  <c r="D1688" i="2"/>
  <c r="F1688" i="2" s="1"/>
  <c r="D1689" i="2"/>
  <c r="F1689" i="2" s="1"/>
  <c r="D1690" i="2"/>
  <c r="F1690" i="2" s="1"/>
  <c r="D1691" i="2"/>
  <c r="F1691" i="2" s="1"/>
  <c r="D1692" i="2"/>
  <c r="F1692" i="2" s="1"/>
  <c r="D1693" i="2"/>
  <c r="F1693" i="2" s="1"/>
  <c r="D1694" i="2"/>
  <c r="F1694" i="2" s="1"/>
  <c r="D1695" i="2"/>
  <c r="F1695" i="2" s="1"/>
  <c r="D1696" i="2"/>
  <c r="F1696" i="2" s="1"/>
  <c r="D1697" i="2"/>
  <c r="F1697" i="2" s="1"/>
  <c r="D1698" i="2"/>
  <c r="F1698" i="2" s="1"/>
  <c r="D1699" i="2"/>
  <c r="F1699" i="2" s="1"/>
  <c r="D1700" i="2"/>
  <c r="F1700" i="2" s="1"/>
  <c r="D1701" i="2"/>
  <c r="F1701" i="2" s="1"/>
  <c r="D1702" i="2"/>
  <c r="F1702" i="2" s="1"/>
  <c r="D1703" i="2"/>
  <c r="F1703" i="2" s="1"/>
  <c r="D1704" i="2"/>
  <c r="F1704" i="2" s="1"/>
  <c r="D1705" i="2"/>
  <c r="F1705" i="2" s="1"/>
  <c r="D1706" i="2"/>
  <c r="F1706" i="2" s="1"/>
  <c r="D1707" i="2"/>
  <c r="F1707" i="2" s="1"/>
  <c r="D1708" i="2"/>
  <c r="F1708" i="2" s="1"/>
  <c r="D1709" i="2"/>
  <c r="F1709" i="2" s="1"/>
  <c r="D1710" i="2"/>
  <c r="F1710" i="2" s="1"/>
  <c r="D1711" i="2"/>
  <c r="F1711" i="2" s="1"/>
  <c r="D1712" i="2"/>
  <c r="F1712" i="2" s="1"/>
  <c r="D1713" i="2"/>
  <c r="F1713" i="2" s="1"/>
  <c r="D1714" i="2"/>
  <c r="F1714" i="2" s="1"/>
  <c r="D1715" i="2"/>
  <c r="F1715" i="2" s="1"/>
  <c r="D1716" i="2"/>
  <c r="F1716" i="2" s="1"/>
  <c r="D1717" i="2"/>
  <c r="F1717" i="2" s="1"/>
  <c r="D1718" i="2"/>
  <c r="F1718" i="2" s="1"/>
  <c r="D1719" i="2"/>
  <c r="F1719" i="2" s="1"/>
  <c r="D1720" i="2"/>
  <c r="F1720" i="2" s="1"/>
  <c r="D1721" i="2"/>
  <c r="F1721" i="2" s="1"/>
  <c r="D1722" i="2"/>
  <c r="F1722" i="2" s="1"/>
  <c r="D1723" i="2"/>
  <c r="F1723" i="2" s="1"/>
  <c r="D1724" i="2"/>
  <c r="F1724" i="2" s="1"/>
  <c r="D1725" i="2"/>
  <c r="F1725" i="2" s="1"/>
  <c r="D1726" i="2"/>
  <c r="F1726" i="2" s="1"/>
  <c r="D1727" i="2"/>
  <c r="F1727" i="2" s="1"/>
  <c r="D1728" i="2"/>
  <c r="F1728" i="2" s="1"/>
  <c r="D1729" i="2"/>
  <c r="F1729" i="2" s="1"/>
  <c r="D1730" i="2"/>
  <c r="F1730" i="2" s="1"/>
  <c r="D1731" i="2"/>
  <c r="F1731" i="2" s="1"/>
  <c r="D1732" i="2"/>
  <c r="F1732" i="2" s="1"/>
  <c r="D1733" i="2"/>
  <c r="F1733" i="2" s="1"/>
  <c r="D1734" i="2"/>
  <c r="F1734" i="2" s="1"/>
  <c r="D1735" i="2"/>
  <c r="F1735" i="2" s="1"/>
  <c r="D1736" i="2"/>
  <c r="F1736" i="2" s="1"/>
  <c r="D1737" i="2"/>
  <c r="F1737" i="2" s="1"/>
  <c r="D1738" i="2"/>
  <c r="F1738" i="2" s="1"/>
  <c r="D1739" i="2"/>
  <c r="F1739" i="2" s="1"/>
  <c r="D1740" i="2"/>
  <c r="F1740" i="2" s="1"/>
  <c r="D1741" i="2"/>
  <c r="F1741" i="2" s="1"/>
  <c r="D1742" i="2"/>
  <c r="F1742" i="2" s="1"/>
  <c r="D1743" i="2"/>
  <c r="F1743" i="2" s="1"/>
  <c r="D1744" i="2"/>
  <c r="F1744" i="2" s="1"/>
  <c r="D1745" i="2"/>
  <c r="F1745" i="2" s="1"/>
  <c r="D1746" i="2"/>
  <c r="F1746" i="2" s="1"/>
  <c r="D1747" i="2"/>
  <c r="F1747" i="2" s="1"/>
  <c r="D1748" i="2"/>
  <c r="F1748" i="2" s="1"/>
  <c r="D1749" i="2"/>
  <c r="F1749" i="2" s="1"/>
  <c r="D1750" i="2"/>
  <c r="F1750" i="2" s="1"/>
  <c r="D1751" i="2"/>
  <c r="F1751" i="2" s="1"/>
  <c r="D1752" i="2"/>
  <c r="F1752" i="2" s="1"/>
  <c r="D1753" i="2"/>
  <c r="F1753" i="2" s="1"/>
  <c r="D1754" i="2"/>
  <c r="F1754" i="2" s="1"/>
  <c r="D1755" i="2"/>
  <c r="F1755" i="2" s="1"/>
  <c r="D1756" i="2"/>
  <c r="F1756" i="2" s="1"/>
  <c r="D1757" i="2"/>
  <c r="F1757" i="2" s="1"/>
  <c r="D1758" i="2"/>
  <c r="F1758" i="2" s="1"/>
  <c r="D1759" i="2"/>
  <c r="F1759" i="2" s="1"/>
  <c r="D1760" i="2"/>
  <c r="F1760" i="2" s="1"/>
  <c r="D1761" i="2"/>
  <c r="F1761" i="2" s="1"/>
  <c r="D1762" i="2"/>
  <c r="F1762" i="2" s="1"/>
  <c r="D1763" i="2"/>
  <c r="F1763" i="2" s="1"/>
  <c r="D1764" i="2"/>
  <c r="F1764" i="2" s="1"/>
  <c r="D1765" i="2"/>
  <c r="F1765" i="2" s="1"/>
  <c r="D1766" i="2"/>
  <c r="F1766" i="2" s="1"/>
  <c r="D1767" i="2"/>
  <c r="F1767" i="2" s="1"/>
  <c r="D1768" i="2"/>
  <c r="F1768" i="2" s="1"/>
  <c r="D1769" i="2"/>
  <c r="F1769" i="2" s="1"/>
  <c r="D1770" i="2"/>
  <c r="F1770" i="2" s="1"/>
  <c r="D1771" i="2"/>
  <c r="F1771" i="2" s="1"/>
  <c r="D1772" i="2"/>
  <c r="F1772" i="2" s="1"/>
  <c r="D1773" i="2"/>
  <c r="F1773" i="2" s="1"/>
  <c r="D1774" i="2"/>
  <c r="F1774" i="2" s="1"/>
  <c r="D1775" i="2"/>
  <c r="F1775" i="2" s="1"/>
  <c r="D1776" i="2"/>
  <c r="F1776" i="2" s="1"/>
  <c r="D1777" i="2"/>
  <c r="F1777" i="2" s="1"/>
  <c r="D1778" i="2"/>
  <c r="F1778" i="2" s="1"/>
  <c r="D1779" i="2"/>
  <c r="F1779" i="2" s="1"/>
  <c r="D1780" i="2"/>
  <c r="F1780" i="2" s="1"/>
  <c r="D1781" i="2"/>
  <c r="F1781" i="2" s="1"/>
  <c r="D1782" i="2"/>
  <c r="F1782" i="2" s="1"/>
  <c r="D1783" i="2"/>
  <c r="F1783" i="2" s="1"/>
  <c r="D1784" i="2"/>
  <c r="F1784" i="2" s="1"/>
  <c r="D1785" i="2"/>
  <c r="F1785" i="2" s="1"/>
  <c r="D1786" i="2"/>
  <c r="F1786" i="2" s="1"/>
  <c r="D1787" i="2"/>
  <c r="F1787" i="2" s="1"/>
  <c r="D1788" i="2"/>
  <c r="F1788" i="2" s="1"/>
  <c r="D1789" i="2"/>
  <c r="F1789" i="2" s="1"/>
  <c r="D1790" i="2"/>
  <c r="F1790" i="2" s="1"/>
  <c r="D1791" i="2"/>
  <c r="F1791" i="2" s="1"/>
  <c r="D1792" i="2"/>
  <c r="F1792" i="2" s="1"/>
  <c r="D1793" i="2"/>
  <c r="F1793" i="2" s="1"/>
  <c r="D1794" i="2"/>
  <c r="F1794" i="2" s="1"/>
  <c r="D1795" i="2"/>
  <c r="F1795" i="2" s="1"/>
  <c r="D1796" i="2"/>
  <c r="F1796" i="2" s="1"/>
  <c r="D1797" i="2"/>
  <c r="F1797" i="2" s="1"/>
  <c r="D1798" i="2"/>
  <c r="F1798" i="2" s="1"/>
  <c r="D1799" i="2"/>
  <c r="F1799" i="2" s="1"/>
  <c r="D1800" i="2"/>
  <c r="F1800" i="2" s="1"/>
  <c r="D1801" i="2"/>
  <c r="F1801" i="2" s="1"/>
  <c r="D1802" i="2"/>
  <c r="F1802" i="2" s="1"/>
  <c r="D1803" i="2"/>
  <c r="F1803" i="2" s="1"/>
  <c r="D1804" i="2"/>
  <c r="F1804" i="2" s="1"/>
  <c r="D1805" i="2"/>
  <c r="F1805" i="2" s="1"/>
  <c r="D1806" i="2"/>
  <c r="F1806" i="2" s="1"/>
  <c r="D1807" i="2"/>
  <c r="F1807" i="2" s="1"/>
  <c r="D1808" i="2"/>
  <c r="F1808" i="2" s="1"/>
  <c r="D1809" i="2"/>
  <c r="F1809" i="2" s="1"/>
  <c r="D1810" i="2"/>
  <c r="F1810" i="2" s="1"/>
  <c r="D1811" i="2"/>
  <c r="F1811" i="2" s="1"/>
  <c r="D1812" i="2"/>
  <c r="F1812" i="2" s="1"/>
  <c r="D1813" i="2"/>
  <c r="F1813" i="2" s="1"/>
  <c r="D1814" i="2"/>
  <c r="F1814" i="2" s="1"/>
  <c r="D1815" i="2"/>
  <c r="F1815" i="2" s="1"/>
  <c r="D1816" i="2"/>
  <c r="F1816" i="2" s="1"/>
  <c r="D1817" i="2"/>
  <c r="F1817" i="2" s="1"/>
  <c r="D1818" i="2"/>
  <c r="F1818" i="2" s="1"/>
  <c r="D1819" i="2"/>
  <c r="F1819" i="2" s="1"/>
  <c r="D1820" i="2"/>
  <c r="F1820" i="2" s="1"/>
  <c r="D1821" i="2"/>
  <c r="F1821" i="2" s="1"/>
  <c r="D1822" i="2"/>
  <c r="F1822" i="2" s="1"/>
  <c r="D1823" i="2"/>
  <c r="F1823" i="2" s="1"/>
  <c r="D1824" i="2"/>
  <c r="F1824" i="2" s="1"/>
  <c r="D1825" i="2"/>
  <c r="F1825" i="2" s="1"/>
  <c r="D1826" i="2"/>
  <c r="F1826" i="2" s="1"/>
  <c r="D1827" i="2"/>
  <c r="F1827" i="2" s="1"/>
  <c r="D1828" i="2"/>
  <c r="F1828" i="2" s="1"/>
  <c r="D1829" i="2"/>
  <c r="F1829" i="2" s="1"/>
  <c r="D1830" i="2"/>
  <c r="F1830" i="2" s="1"/>
  <c r="D1831" i="2"/>
  <c r="F1831" i="2" s="1"/>
  <c r="D1832" i="2"/>
  <c r="F1832" i="2" s="1"/>
  <c r="D1833" i="2"/>
  <c r="F1833" i="2" s="1"/>
  <c r="D1834" i="2"/>
  <c r="F1834" i="2" s="1"/>
  <c r="D1835" i="2"/>
  <c r="F1835" i="2" s="1"/>
  <c r="D1836" i="2"/>
  <c r="F1836" i="2" s="1"/>
  <c r="D1837" i="2"/>
  <c r="F1837" i="2" s="1"/>
  <c r="D1838" i="2"/>
  <c r="F1838" i="2" s="1"/>
  <c r="D1839" i="2"/>
  <c r="F1839" i="2" s="1"/>
  <c r="D1840" i="2"/>
  <c r="F1840" i="2" s="1"/>
  <c r="D1841" i="2"/>
  <c r="F1841" i="2" s="1"/>
  <c r="D1842" i="2"/>
  <c r="F1842" i="2" s="1"/>
  <c r="D1843" i="2"/>
  <c r="F1843" i="2" s="1"/>
  <c r="D1844" i="2"/>
  <c r="F1844" i="2" s="1"/>
  <c r="D1845" i="2"/>
  <c r="F1845" i="2" s="1"/>
  <c r="D1846" i="2"/>
  <c r="F1846" i="2" s="1"/>
  <c r="D1847" i="2"/>
  <c r="F1847" i="2" s="1"/>
  <c r="D1848" i="2"/>
  <c r="F1848" i="2" s="1"/>
  <c r="D1849" i="2"/>
  <c r="F1849" i="2" s="1"/>
  <c r="D1850" i="2"/>
  <c r="F1850" i="2" s="1"/>
  <c r="D1851" i="2"/>
  <c r="F1851" i="2" s="1"/>
  <c r="D1852" i="2"/>
  <c r="F1852" i="2" s="1"/>
  <c r="D1853" i="2"/>
  <c r="F1853" i="2" s="1"/>
  <c r="D1854" i="2"/>
  <c r="F1854" i="2" s="1"/>
  <c r="D1855" i="2"/>
  <c r="F1855" i="2" s="1"/>
  <c r="D1856" i="2"/>
  <c r="F1856" i="2" s="1"/>
  <c r="D1857" i="2"/>
  <c r="F1857" i="2" s="1"/>
  <c r="D1858" i="2"/>
  <c r="F1858" i="2" s="1"/>
  <c r="D1859" i="2"/>
  <c r="F1859" i="2" s="1"/>
  <c r="D1860" i="2"/>
  <c r="F1860" i="2" s="1"/>
  <c r="D1861" i="2"/>
  <c r="F1861" i="2" s="1"/>
  <c r="D1862" i="2"/>
  <c r="F1862" i="2" s="1"/>
  <c r="D1863" i="2"/>
  <c r="F1863" i="2" s="1"/>
  <c r="D1864" i="2"/>
  <c r="F1864" i="2" s="1"/>
  <c r="D1865" i="2"/>
  <c r="F1865" i="2" s="1"/>
  <c r="D1866" i="2"/>
  <c r="F1866" i="2" s="1"/>
  <c r="D1867" i="2"/>
  <c r="F1867" i="2" s="1"/>
  <c r="D1868" i="2"/>
  <c r="F1868" i="2" s="1"/>
  <c r="D1869" i="2"/>
  <c r="F1869" i="2" s="1"/>
  <c r="D1870" i="2"/>
  <c r="F1870" i="2" s="1"/>
  <c r="D1871" i="2"/>
  <c r="F1871" i="2" s="1"/>
  <c r="D1872" i="2"/>
  <c r="F1872" i="2" s="1"/>
  <c r="D1873" i="2"/>
  <c r="F1873" i="2" s="1"/>
  <c r="D1874" i="2"/>
  <c r="F1874" i="2" s="1"/>
  <c r="D1875" i="2"/>
  <c r="F1875" i="2" s="1"/>
  <c r="D1876" i="2"/>
  <c r="F1876" i="2" s="1"/>
  <c r="D1877" i="2"/>
  <c r="F1877" i="2" s="1"/>
  <c r="D1878" i="2"/>
  <c r="F1878" i="2" s="1"/>
  <c r="D1879" i="2"/>
  <c r="F1879" i="2" s="1"/>
  <c r="D1880" i="2"/>
  <c r="F1880" i="2" s="1"/>
  <c r="D1881" i="2"/>
  <c r="F1881" i="2" s="1"/>
  <c r="D1882" i="2"/>
  <c r="F1882" i="2" s="1"/>
  <c r="D1883" i="2"/>
  <c r="F1883" i="2" s="1"/>
  <c r="D1884" i="2"/>
  <c r="F1884" i="2" s="1"/>
  <c r="D1885" i="2"/>
  <c r="F1885" i="2" s="1"/>
  <c r="D1886" i="2"/>
  <c r="F1886" i="2" s="1"/>
  <c r="D1887" i="2"/>
  <c r="F1887" i="2" s="1"/>
  <c r="D1888" i="2"/>
  <c r="F1888" i="2" s="1"/>
  <c r="D1889" i="2"/>
  <c r="F1889" i="2" s="1"/>
  <c r="D1890" i="2"/>
  <c r="F1890" i="2" s="1"/>
  <c r="D1891" i="2"/>
  <c r="F1891" i="2" s="1"/>
  <c r="D1892" i="2"/>
  <c r="F1892" i="2" s="1"/>
  <c r="D1893" i="2"/>
  <c r="F1893" i="2" s="1"/>
  <c r="D1894" i="2"/>
  <c r="F1894" i="2" s="1"/>
  <c r="D1895" i="2"/>
  <c r="F1895" i="2" s="1"/>
  <c r="D1896" i="2"/>
  <c r="F1896" i="2" s="1"/>
  <c r="D1897" i="2"/>
  <c r="F1897" i="2" s="1"/>
  <c r="D1898" i="2"/>
  <c r="F1898" i="2" s="1"/>
  <c r="D1899" i="2"/>
  <c r="F1899" i="2" s="1"/>
  <c r="D1900" i="2"/>
  <c r="F1900" i="2" s="1"/>
  <c r="D1901" i="2"/>
  <c r="F1901" i="2" s="1"/>
  <c r="D1902" i="2"/>
  <c r="F1902" i="2" s="1"/>
  <c r="D1903" i="2"/>
  <c r="F1903" i="2" s="1"/>
  <c r="D1904" i="2"/>
  <c r="F1904" i="2" s="1"/>
  <c r="D1905" i="2"/>
  <c r="F1905" i="2" s="1"/>
  <c r="D1906" i="2"/>
  <c r="F1906" i="2" s="1"/>
  <c r="D1907" i="2"/>
  <c r="F1907" i="2" s="1"/>
  <c r="D1908" i="2"/>
  <c r="F1908" i="2" s="1"/>
  <c r="D1909" i="2"/>
  <c r="F1909" i="2" s="1"/>
  <c r="D1910" i="2"/>
  <c r="F1910" i="2" s="1"/>
  <c r="D1911" i="2"/>
  <c r="F1911" i="2" s="1"/>
  <c r="D1912" i="2"/>
  <c r="F1912" i="2" s="1"/>
  <c r="D1913" i="2"/>
  <c r="F1913" i="2" s="1"/>
  <c r="D1914" i="2"/>
  <c r="F1914" i="2" s="1"/>
  <c r="D1915" i="2"/>
  <c r="F1915" i="2" s="1"/>
  <c r="D1916" i="2"/>
  <c r="F1916" i="2" s="1"/>
  <c r="D1917" i="2"/>
  <c r="F1917" i="2" s="1"/>
  <c r="D1918" i="2"/>
  <c r="F1918" i="2" s="1"/>
  <c r="D1919" i="2"/>
  <c r="F1919" i="2" s="1"/>
  <c r="D1920" i="2"/>
  <c r="F1920" i="2" s="1"/>
  <c r="D1921" i="2"/>
  <c r="F1921" i="2" s="1"/>
  <c r="D1922" i="2"/>
  <c r="F1922" i="2" s="1"/>
  <c r="D1923" i="2"/>
  <c r="F1923" i="2" s="1"/>
  <c r="D1924" i="2"/>
  <c r="F1924" i="2" s="1"/>
  <c r="D1925" i="2"/>
  <c r="F1925" i="2" s="1"/>
  <c r="D1926" i="2"/>
  <c r="F1926" i="2" s="1"/>
  <c r="D1927" i="2"/>
  <c r="F1927" i="2" s="1"/>
  <c r="D1928" i="2"/>
  <c r="F1928" i="2" s="1"/>
  <c r="D1929" i="2"/>
  <c r="F1929" i="2" s="1"/>
  <c r="D1930" i="2"/>
  <c r="F1930" i="2" s="1"/>
  <c r="D1931" i="2"/>
  <c r="F1931" i="2" s="1"/>
  <c r="D1932" i="2"/>
  <c r="F1932" i="2" s="1"/>
  <c r="D1933" i="2"/>
  <c r="F1933" i="2" s="1"/>
  <c r="D1934" i="2"/>
  <c r="F1934" i="2" s="1"/>
  <c r="D1935" i="2"/>
  <c r="F1935" i="2" s="1"/>
  <c r="D1936" i="2"/>
  <c r="F1936" i="2" s="1"/>
  <c r="D1937" i="2"/>
  <c r="F1937" i="2" s="1"/>
  <c r="D1938" i="2"/>
  <c r="F1938" i="2" s="1"/>
  <c r="D1939" i="2"/>
  <c r="F1939" i="2" s="1"/>
  <c r="D1940" i="2"/>
  <c r="F1940" i="2" s="1"/>
  <c r="D1941" i="2"/>
  <c r="F1941" i="2" s="1"/>
  <c r="D1942" i="2"/>
  <c r="F1942" i="2" s="1"/>
  <c r="D1943" i="2"/>
  <c r="F1943" i="2" s="1"/>
  <c r="D1944" i="2"/>
  <c r="F1944" i="2" s="1"/>
  <c r="D1945" i="2"/>
  <c r="F1945" i="2" s="1"/>
  <c r="D1946" i="2"/>
  <c r="F1946" i="2" s="1"/>
  <c r="D1947" i="2"/>
  <c r="F1947" i="2" s="1"/>
  <c r="D1948" i="2"/>
  <c r="F1948" i="2" s="1"/>
  <c r="D1949" i="2"/>
  <c r="F1949" i="2" s="1"/>
  <c r="D1950" i="2"/>
  <c r="F1950" i="2" s="1"/>
  <c r="D1951" i="2"/>
  <c r="F1951" i="2" s="1"/>
  <c r="D1952" i="2"/>
  <c r="F1952" i="2" s="1"/>
  <c r="D1953" i="2"/>
  <c r="F1953" i="2" s="1"/>
  <c r="D1954" i="2"/>
  <c r="F1954" i="2" s="1"/>
  <c r="D1955" i="2"/>
  <c r="F1955" i="2" s="1"/>
  <c r="D1956" i="2"/>
  <c r="F1956" i="2" s="1"/>
  <c r="D1957" i="2"/>
  <c r="F1957" i="2" s="1"/>
  <c r="D1958" i="2"/>
  <c r="F1958" i="2" s="1"/>
  <c r="D1959" i="2"/>
  <c r="F1959" i="2" s="1"/>
  <c r="D1960" i="2"/>
  <c r="F1960" i="2" s="1"/>
  <c r="D1961" i="2"/>
  <c r="F1961" i="2" s="1"/>
  <c r="D1962" i="2"/>
  <c r="F1962" i="2" s="1"/>
  <c r="D1963" i="2"/>
  <c r="F1963" i="2" s="1"/>
  <c r="D1964" i="2"/>
  <c r="F1964" i="2" s="1"/>
  <c r="D1965" i="2"/>
  <c r="F1965" i="2" s="1"/>
  <c r="D1966" i="2"/>
  <c r="F1966" i="2" s="1"/>
  <c r="D1967" i="2"/>
  <c r="F1967" i="2" s="1"/>
  <c r="D1968" i="2"/>
  <c r="F1968" i="2" s="1"/>
  <c r="D1969" i="2"/>
  <c r="F1969" i="2" s="1"/>
  <c r="D1970" i="2"/>
  <c r="F1970" i="2" s="1"/>
  <c r="D1971" i="2"/>
  <c r="F1971" i="2" s="1"/>
  <c r="D1972" i="2"/>
  <c r="F1972" i="2" s="1"/>
  <c r="D1973" i="2"/>
  <c r="F1973" i="2" s="1"/>
  <c r="D1974" i="2"/>
  <c r="F1974" i="2" s="1"/>
  <c r="D1975" i="2"/>
  <c r="F1975" i="2" s="1"/>
  <c r="D1976" i="2"/>
  <c r="F1976" i="2" s="1"/>
  <c r="D1977" i="2"/>
  <c r="F1977" i="2" s="1"/>
  <c r="D1978" i="2"/>
  <c r="F1978" i="2" s="1"/>
  <c r="D1979" i="2"/>
  <c r="F1979" i="2" s="1"/>
  <c r="D1980" i="2"/>
  <c r="F1980" i="2" s="1"/>
  <c r="D1981" i="2"/>
  <c r="F1981" i="2" s="1"/>
  <c r="D1982" i="2"/>
  <c r="F1982" i="2" s="1"/>
  <c r="D1983" i="2"/>
  <c r="F1983" i="2" s="1"/>
  <c r="D1984" i="2"/>
  <c r="F1984" i="2" s="1"/>
  <c r="D1985" i="2"/>
  <c r="F1985" i="2" s="1"/>
  <c r="D1986" i="2"/>
  <c r="F1986" i="2" s="1"/>
  <c r="D1987" i="2"/>
  <c r="F1987" i="2" s="1"/>
  <c r="D1988" i="2"/>
  <c r="F1988" i="2" s="1"/>
  <c r="D1989" i="2"/>
  <c r="F1989" i="2" s="1"/>
  <c r="D1990" i="2"/>
  <c r="F1990" i="2" s="1"/>
  <c r="D1991" i="2"/>
  <c r="F1991" i="2" s="1"/>
  <c r="D1992" i="2"/>
  <c r="F1992" i="2" s="1"/>
  <c r="D1993" i="2"/>
  <c r="F1993" i="2" s="1"/>
  <c r="D1994" i="2"/>
  <c r="F1994" i="2" s="1"/>
  <c r="D1995" i="2"/>
  <c r="F1995" i="2" s="1"/>
  <c r="D1996" i="2"/>
  <c r="F1996" i="2" s="1"/>
  <c r="D1997" i="2"/>
  <c r="F1997" i="2" s="1"/>
  <c r="D1998" i="2"/>
  <c r="F1998" i="2" s="1"/>
  <c r="D1999" i="2"/>
  <c r="F1999" i="2" s="1"/>
  <c r="D2000" i="2"/>
  <c r="F2000" i="2" s="1"/>
  <c r="D2001" i="2"/>
  <c r="F2001" i="2" s="1"/>
  <c r="D2002" i="2"/>
  <c r="F2002" i="2" s="1"/>
  <c r="D2003" i="2"/>
  <c r="F2003" i="2" s="1"/>
  <c r="D2004" i="2"/>
  <c r="F2004" i="2" s="1"/>
  <c r="D2005" i="2"/>
  <c r="F2005" i="2" s="1"/>
  <c r="D2006" i="2"/>
  <c r="F2006" i="2" s="1"/>
  <c r="D2007" i="2"/>
  <c r="F2007" i="2" s="1"/>
  <c r="D2008" i="2"/>
  <c r="F2008" i="2" s="1"/>
  <c r="D2009" i="2"/>
  <c r="F2009" i="2" s="1"/>
  <c r="D2010" i="2"/>
  <c r="F2010" i="2" s="1"/>
  <c r="D2011" i="2"/>
  <c r="F2011" i="2" s="1"/>
  <c r="D2012" i="2"/>
  <c r="F2012" i="2" s="1"/>
  <c r="D2013" i="2"/>
  <c r="F2013" i="2" s="1"/>
  <c r="D2014" i="2"/>
  <c r="F2014" i="2" s="1"/>
  <c r="D2015" i="2"/>
  <c r="F2015" i="2" s="1"/>
  <c r="D2016" i="2"/>
  <c r="F2016" i="2" s="1"/>
  <c r="D2017" i="2"/>
  <c r="F2017" i="2" s="1"/>
  <c r="D2018" i="2"/>
  <c r="F2018" i="2" s="1"/>
  <c r="D2019" i="2"/>
  <c r="F2019" i="2" s="1"/>
  <c r="D2020" i="2"/>
  <c r="F2020" i="2" s="1"/>
  <c r="D2021" i="2"/>
  <c r="F2021" i="2" s="1"/>
  <c r="D2022" i="2"/>
  <c r="F2022" i="2" s="1"/>
  <c r="D2023" i="2"/>
  <c r="F2023" i="2" s="1"/>
  <c r="D2024" i="2"/>
  <c r="F2024" i="2" s="1"/>
  <c r="D2025" i="2"/>
  <c r="F2025" i="2" s="1"/>
  <c r="D2026" i="2"/>
  <c r="F2026" i="2" s="1"/>
  <c r="D2027" i="2"/>
  <c r="F2027" i="2" s="1"/>
  <c r="D2028" i="2"/>
  <c r="F2028" i="2" s="1"/>
  <c r="D2029" i="2"/>
  <c r="F2029" i="2" s="1"/>
  <c r="D2030" i="2"/>
  <c r="F2030" i="2" s="1"/>
  <c r="D2031" i="2"/>
  <c r="F2031" i="2" s="1"/>
  <c r="D2032" i="2"/>
  <c r="F2032" i="2" s="1"/>
  <c r="D2033" i="2"/>
  <c r="F2033" i="2" s="1"/>
  <c r="D2034" i="2"/>
  <c r="F2034" i="2" s="1"/>
  <c r="D2035" i="2"/>
  <c r="F2035" i="2" s="1"/>
  <c r="D2036" i="2"/>
  <c r="F2036" i="2" s="1"/>
  <c r="D2037" i="2"/>
  <c r="F2037" i="2" s="1"/>
  <c r="D2038" i="2"/>
  <c r="F2038" i="2" s="1"/>
  <c r="D2039" i="2"/>
  <c r="F2039" i="2" s="1"/>
  <c r="D2040" i="2"/>
  <c r="F2040" i="2" s="1"/>
  <c r="D2041" i="2"/>
  <c r="F2041" i="2" s="1"/>
  <c r="D2042" i="2"/>
  <c r="F2042" i="2" s="1"/>
  <c r="D2043" i="2"/>
  <c r="F2043" i="2" s="1"/>
  <c r="D2044" i="2"/>
  <c r="F2044" i="2" s="1"/>
  <c r="D2045" i="2"/>
  <c r="F2045" i="2" s="1"/>
  <c r="D2046" i="2"/>
  <c r="F2046" i="2" s="1"/>
  <c r="D2047" i="2"/>
  <c r="F2047" i="2" s="1"/>
  <c r="D2048" i="2"/>
  <c r="F2048" i="2" s="1"/>
  <c r="D2049" i="2"/>
  <c r="F2049" i="2" s="1"/>
  <c r="D2050" i="2"/>
  <c r="F2050" i="2" s="1"/>
  <c r="D2051" i="2"/>
  <c r="F2051" i="2" s="1"/>
  <c r="D2052" i="2"/>
  <c r="F2052" i="2" s="1"/>
  <c r="D2053" i="2"/>
  <c r="F2053" i="2" s="1"/>
  <c r="D2054" i="2"/>
  <c r="F2054" i="2" s="1"/>
  <c r="D2055" i="2"/>
  <c r="F2055" i="2" s="1"/>
  <c r="D2056" i="2"/>
  <c r="F2056" i="2" s="1"/>
  <c r="D2057" i="2"/>
  <c r="F2057" i="2" s="1"/>
  <c r="D2058" i="2"/>
  <c r="F2058" i="2" s="1"/>
  <c r="D2059" i="2"/>
  <c r="F2059" i="2" s="1"/>
  <c r="D2060" i="2"/>
  <c r="F2060" i="2" s="1"/>
  <c r="D2061" i="2"/>
  <c r="F2061" i="2" s="1"/>
  <c r="D2062" i="2"/>
  <c r="F2062" i="2" s="1"/>
  <c r="D2063" i="2"/>
  <c r="F2063" i="2" s="1"/>
  <c r="D2064" i="2"/>
  <c r="F2064" i="2" s="1"/>
  <c r="D2065" i="2"/>
  <c r="F2065" i="2" s="1"/>
  <c r="D2066" i="2"/>
  <c r="F2066" i="2" s="1"/>
  <c r="D2067" i="2"/>
  <c r="F2067" i="2" s="1"/>
  <c r="D2068" i="2"/>
  <c r="F2068" i="2" s="1"/>
  <c r="D2069" i="2"/>
  <c r="F2069" i="2" s="1"/>
  <c r="D2070" i="2"/>
  <c r="F2070" i="2" s="1"/>
  <c r="D2071" i="2"/>
  <c r="F2071" i="2" s="1"/>
  <c r="D2072" i="2"/>
  <c r="F2072" i="2" s="1"/>
  <c r="D2073" i="2"/>
  <c r="F2073" i="2" s="1"/>
  <c r="D2074" i="2"/>
  <c r="F2074" i="2" s="1"/>
  <c r="D2075" i="2"/>
  <c r="F2075" i="2" s="1"/>
  <c r="D2076" i="2"/>
  <c r="F2076" i="2" s="1"/>
  <c r="D2077" i="2"/>
  <c r="F2077" i="2" s="1"/>
  <c r="D2078" i="2"/>
  <c r="F2078" i="2" s="1"/>
  <c r="D2079" i="2"/>
  <c r="F2079" i="2" s="1"/>
  <c r="D2080" i="2"/>
  <c r="F2080" i="2" s="1"/>
  <c r="D2081" i="2"/>
  <c r="F2081" i="2" s="1"/>
  <c r="D2082" i="2"/>
  <c r="F2082" i="2" s="1"/>
  <c r="D2083" i="2"/>
  <c r="F2083" i="2" s="1"/>
  <c r="D2084" i="2"/>
  <c r="F2084" i="2" s="1"/>
  <c r="D2085" i="2"/>
  <c r="F2085" i="2" s="1"/>
  <c r="D2086" i="2"/>
  <c r="F2086" i="2" s="1"/>
  <c r="D2087" i="2"/>
  <c r="F2087" i="2" s="1"/>
  <c r="D2088" i="2"/>
  <c r="F2088" i="2" s="1"/>
  <c r="D2089" i="2"/>
  <c r="F2089" i="2" s="1"/>
  <c r="D2090" i="2"/>
  <c r="F2090" i="2" s="1"/>
  <c r="D2091" i="2"/>
  <c r="F2091" i="2" s="1"/>
  <c r="D2092" i="2"/>
  <c r="F2092" i="2" s="1"/>
  <c r="D2093" i="2"/>
  <c r="F2093" i="2" s="1"/>
  <c r="D2094" i="2"/>
  <c r="F2094" i="2" s="1"/>
  <c r="D2095" i="2"/>
  <c r="F2095" i="2" s="1"/>
  <c r="D2096" i="2"/>
  <c r="F2096" i="2" s="1"/>
  <c r="D2097" i="2"/>
  <c r="F2097" i="2" s="1"/>
  <c r="D2098" i="2"/>
  <c r="F2098" i="2" s="1"/>
  <c r="D2099" i="2"/>
  <c r="F2099" i="2" s="1"/>
  <c r="D2100" i="2"/>
  <c r="F2100" i="2" s="1"/>
  <c r="D2101" i="2"/>
  <c r="F2101" i="2" s="1"/>
  <c r="D2102" i="2"/>
  <c r="F2102" i="2" s="1"/>
  <c r="D2103" i="2"/>
  <c r="F2103" i="2" s="1"/>
  <c r="D2104" i="2"/>
  <c r="F2104" i="2" s="1"/>
  <c r="D2105" i="2"/>
  <c r="F2105" i="2" s="1"/>
  <c r="D2106" i="2"/>
  <c r="F2106" i="2" s="1"/>
  <c r="D2107" i="2"/>
  <c r="F2107" i="2" s="1"/>
  <c r="D2108" i="2"/>
  <c r="F2108" i="2" s="1"/>
  <c r="D2109" i="2"/>
  <c r="F2109" i="2" s="1"/>
  <c r="D2110" i="2"/>
  <c r="F2110" i="2" s="1"/>
  <c r="D2111" i="2"/>
  <c r="F2111" i="2" s="1"/>
  <c r="D2112" i="2"/>
  <c r="F2112" i="2" s="1"/>
  <c r="D2113" i="2"/>
  <c r="F2113" i="2" s="1"/>
  <c r="D2114" i="2"/>
  <c r="F2114" i="2" s="1"/>
  <c r="D2115" i="2"/>
  <c r="F2115" i="2" s="1"/>
  <c r="D2116" i="2"/>
  <c r="F2116" i="2" s="1"/>
  <c r="D2117" i="2"/>
  <c r="F2117" i="2" s="1"/>
  <c r="D2118" i="2"/>
  <c r="F2118" i="2" s="1"/>
  <c r="D2119" i="2"/>
  <c r="F2119" i="2" s="1"/>
  <c r="D2120" i="2"/>
  <c r="F2120" i="2" s="1"/>
  <c r="D2121" i="2"/>
  <c r="F2121" i="2" s="1"/>
  <c r="D2122" i="2"/>
  <c r="F2122" i="2" s="1"/>
  <c r="D2123" i="2"/>
  <c r="F2123" i="2" s="1"/>
  <c r="D2124" i="2"/>
  <c r="F2124" i="2" s="1"/>
  <c r="D2125" i="2"/>
  <c r="F2125" i="2" s="1"/>
  <c r="D2126" i="2"/>
  <c r="F2126" i="2" s="1"/>
  <c r="D2127" i="2"/>
  <c r="F2127" i="2" s="1"/>
  <c r="D2128" i="2"/>
  <c r="F2128" i="2" s="1"/>
  <c r="D2129" i="2"/>
  <c r="F2129" i="2" s="1"/>
  <c r="D2130" i="2"/>
  <c r="F2130" i="2" s="1"/>
  <c r="D2131" i="2"/>
  <c r="F2131" i="2" s="1"/>
  <c r="E3" i="2"/>
  <c r="E10" i="2"/>
  <c r="E4" i="2"/>
  <c r="E11" i="2"/>
  <c r="E9" i="2"/>
  <c r="E2" i="2"/>
  <c r="E12" i="2"/>
  <c r="E5" i="2"/>
  <c r="E3" i="3" l="1"/>
  <c r="E4" i="3"/>
  <c r="E5" i="3"/>
  <c r="E6" i="3"/>
  <c r="E2" i="3"/>
  <c r="C3" i="2"/>
  <c r="K3" i="2" s="1"/>
  <c r="C4" i="2"/>
  <c r="K4" i="2" s="1"/>
  <c r="C5" i="2"/>
  <c r="K5" i="2" s="1"/>
  <c r="C6" i="2"/>
  <c r="K6" i="2" s="1"/>
  <c r="C7" i="2"/>
  <c r="K7" i="2" s="1"/>
  <c r="C8" i="2"/>
  <c r="K8" i="2" s="1"/>
  <c r="C9" i="2"/>
  <c r="K9" i="2" s="1"/>
  <c r="C10" i="2"/>
  <c r="K10" i="2" s="1"/>
  <c r="C11" i="2"/>
  <c r="K11" i="2" s="1"/>
  <c r="C12" i="2"/>
  <c r="K12" i="2" s="1"/>
  <c r="C13" i="2"/>
  <c r="K13" i="2" s="1"/>
  <c r="C14" i="2"/>
  <c r="K14" i="2" s="1"/>
  <c r="C15" i="2"/>
  <c r="K15" i="2" s="1"/>
  <c r="C16" i="2"/>
  <c r="K16" i="2" s="1"/>
  <c r="C17" i="2"/>
  <c r="K17" i="2" s="1"/>
  <c r="C18" i="2"/>
  <c r="K18" i="2" s="1"/>
  <c r="C19" i="2"/>
  <c r="K19" i="2" s="1"/>
  <c r="C20" i="2"/>
  <c r="K20" i="2" s="1"/>
  <c r="C21" i="2"/>
  <c r="K21" i="2" s="1"/>
  <c r="C22" i="2"/>
  <c r="K22" i="2" s="1"/>
  <c r="C23" i="2"/>
  <c r="K23" i="2" s="1"/>
  <c r="C24" i="2"/>
  <c r="K24" i="2" s="1"/>
  <c r="C25" i="2"/>
  <c r="K25" i="2" s="1"/>
  <c r="C26" i="2"/>
  <c r="K26" i="2" s="1"/>
  <c r="C27" i="2"/>
  <c r="K27" i="2" s="1"/>
  <c r="C28" i="2"/>
  <c r="K28" i="2" s="1"/>
  <c r="C29" i="2"/>
  <c r="K29" i="2" s="1"/>
  <c r="C30" i="2"/>
  <c r="K30" i="2" s="1"/>
  <c r="C31" i="2"/>
  <c r="K31" i="2" s="1"/>
  <c r="C32" i="2"/>
  <c r="K32" i="2" s="1"/>
  <c r="C33" i="2"/>
  <c r="K33" i="2" s="1"/>
  <c r="C34" i="2"/>
  <c r="K34" i="2" s="1"/>
  <c r="C35" i="2"/>
  <c r="K35" i="2" s="1"/>
  <c r="C36" i="2"/>
  <c r="K36" i="2" s="1"/>
  <c r="C37" i="2"/>
  <c r="K37" i="2" s="1"/>
  <c r="C38" i="2"/>
  <c r="K38" i="2" s="1"/>
  <c r="C39" i="2"/>
  <c r="K39" i="2" s="1"/>
  <c r="C40" i="2"/>
  <c r="K40" i="2" s="1"/>
  <c r="C41" i="2"/>
  <c r="K41" i="2" s="1"/>
  <c r="C42" i="2"/>
  <c r="K42" i="2" s="1"/>
  <c r="C43" i="2"/>
  <c r="K43" i="2" s="1"/>
  <c r="C44" i="2"/>
  <c r="K44" i="2" s="1"/>
  <c r="C45" i="2"/>
  <c r="K45" i="2" s="1"/>
  <c r="C46" i="2"/>
  <c r="K46" i="2" s="1"/>
  <c r="C47" i="2"/>
  <c r="K47" i="2" s="1"/>
  <c r="C48" i="2"/>
  <c r="K48" i="2" s="1"/>
  <c r="C49" i="2"/>
  <c r="K49" i="2" s="1"/>
  <c r="C50" i="2"/>
  <c r="K50" i="2" s="1"/>
  <c r="C51" i="2"/>
  <c r="K51" i="2" s="1"/>
  <c r="C52" i="2"/>
  <c r="K52" i="2" s="1"/>
  <c r="C53" i="2"/>
  <c r="K53" i="2" s="1"/>
  <c r="C54" i="2"/>
  <c r="K54" i="2" s="1"/>
  <c r="C55" i="2"/>
  <c r="K55" i="2" s="1"/>
  <c r="C56" i="2"/>
  <c r="K56" i="2" s="1"/>
  <c r="C57" i="2"/>
  <c r="K57" i="2" s="1"/>
  <c r="C58" i="2"/>
  <c r="K58" i="2" s="1"/>
  <c r="C59" i="2"/>
  <c r="K59" i="2" s="1"/>
  <c r="C60" i="2"/>
  <c r="K60" i="2" s="1"/>
  <c r="C61" i="2"/>
  <c r="K61" i="2" s="1"/>
  <c r="C62" i="2"/>
  <c r="K62" i="2" s="1"/>
  <c r="C63" i="2"/>
  <c r="K63" i="2" s="1"/>
  <c r="C64" i="2"/>
  <c r="K64" i="2" s="1"/>
  <c r="C65" i="2"/>
  <c r="K65" i="2" s="1"/>
  <c r="C66" i="2"/>
  <c r="K66" i="2" s="1"/>
  <c r="C67" i="2"/>
  <c r="K67" i="2" s="1"/>
  <c r="C68" i="2"/>
  <c r="K68" i="2" s="1"/>
  <c r="C69" i="2"/>
  <c r="K69" i="2" s="1"/>
  <c r="C70" i="2"/>
  <c r="K70" i="2" s="1"/>
  <c r="C71" i="2"/>
  <c r="K71" i="2" s="1"/>
  <c r="C72" i="2"/>
  <c r="K72" i="2" s="1"/>
  <c r="C73" i="2"/>
  <c r="K73" i="2" s="1"/>
  <c r="C74" i="2"/>
  <c r="K74" i="2" s="1"/>
  <c r="C75" i="2"/>
  <c r="K75" i="2" s="1"/>
  <c r="C76" i="2"/>
  <c r="K76" i="2" s="1"/>
  <c r="C77" i="2"/>
  <c r="K77" i="2" s="1"/>
  <c r="C78" i="2"/>
  <c r="K78" i="2" s="1"/>
  <c r="C79" i="2"/>
  <c r="K79" i="2" s="1"/>
  <c r="C80" i="2"/>
  <c r="K80" i="2" s="1"/>
  <c r="C81" i="2"/>
  <c r="K81" i="2" s="1"/>
  <c r="C82" i="2"/>
  <c r="K82" i="2" s="1"/>
  <c r="C83" i="2"/>
  <c r="K83" i="2" s="1"/>
  <c r="C84" i="2"/>
  <c r="K84" i="2" s="1"/>
  <c r="C85" i="2"/>
  <c r="K85" i="2" s="1"/>
  <c r="C86" i="2"/>
  <c r="K86" i="2" s="1"/>
  <c r="C87" i="2"/>
  <c r="K87" i="2" s="1"/>
  <c r="C88" i="2"/>
  <c r="K88" i="2" s="1"/>
  <c r="C89" i="2"/>
  <c r="K89" i="2" s="1"/>
  <c r="C90" i="2"/>
  <c r="K90" i="2" s="1"/>
  <c r="C91" i="2"/>
  <c r="K91" i="2" s="1"/>
  <c r="C92" i="2"/>
  <c r="K92" i="2" s="1"/>
  <c r="C93" i="2"/>
  <c r="K93" i="2" s="1"/>
  <c r="C94" i="2"/>
  <c r="K94" i="2" s="1"/>
  <c r="C95" i="2"/>
  <c r="K95" i="2" s="1"/>
  <c r="C96" i="2"/>
  <c r="K96" i="2" s="1"/>
  <c r="C97" i="2"/>
  <c r="K97" i="2" s="1"/>
  <c r="C98" i="2"/>
  <c r="K98" i="2" s="1"/>
  <c r="C99" i="2"/>
  <c r="K99" i="2" s="1"/>
  <c r="C100" i="2"/>
  <c r="K100" i="2" s="1"/>
  <c r="C101" i="2"/>
  <c r="K101" i="2" s="1"/>
  <c r="C102" i="2"/>
  <c r="K102" i="2" s="1"/>
  <c r="C103" i="2"/>
  <c r="K103" i="2" s="1"/>
  <c r="C104" i="2"/>
  <c r="K104" i="2" s="1"/>
  <c r="C105" i="2"/>
  <c r="K105" i="2" s="1"/>
  <c r="C106" i="2"/>
  <c r="K106" i="2" s="1"/>
  <c r="C107" i="2"/>
  <c r="K107" i="2" s="1"/>
  <c r="C108" i="2"/>
  <c r="K108" i="2" s="1"/>
  <c r="C109" i="2"/>
  <c r="K109" i="2" s="1"/>
  <c r="C110" i="2"/>
  <c r="K110" i="2" s="1"/>
  <c r="C111" i="2"/>
  <c r="K111" i="2" s="1"/>
  <c r="C112" i="2"/>
  <c r="K112" i="2" s="1"/>
  <c r="C113" i="2"/>
  <c r="K113" i="2" s="1"/>
  <c r="C114" i="2"/>
  <c r="K114" i="2" s="1"/>
  <c r="C115" i="2"/>
  <c r="K115" i="2" s="1"/>
  <c r="C116" i="2"/>
  <c r="K116" i="2" s="1"/>
  <c r="C117" i="2"/>
  <c r="K117" i="2" s="1"/>
  <c r="C118" i="2"/>
  <c r="K118" i="2" s="1"/>
  <c r="C119" i="2"/>
  <c r="K119" i="2" s="1"/>
  <c r="C120" i="2"/>
  <c r="K120" i="2" s="1"/>
  <c r="C121" i="2"/>
  <c r="K121" i="2" s="1"/>
  <c r="C122" i="2"/>
  <c r="K122" i="2" s="1"/>
  <c r="C123" i="2"/>
  <c r="K123" i="2" s="1"/>
  <c r="C124" i="2"/>
  <c r="K124" i="2" s="1"/>
  <c r="C125" i="2"/>
  <c r="K125" i="2" s="1"/>
  <c r="C126" i="2"/>
  <c r="K126" i="2" s="1"/>
  <c r="C127" i="2"/>
  <c r="K127" i="2" s="1"/>
  <c r="C128" i="2"/>
  <c r="K128" i="2" s="1"/>
  <c r="C129" i="2"/>
  <c r="K129" i="2" s="1"/>
  <c r="C130" i="2"/>
  <c r="K130" i="2" s="1"/>
  <c r="C131" i="2"/>
  <c r="K131" i="2" s="1"/>
  <c r="C132" i="2"/>
  <c r="K132" i="2" s="1"/>
  <c r="C133" i="2"/>
  <c r="K133" i="2" s="1"/>
  <c r="C134" i="2"/>
  <c r="K134" i="2" s="1"/>
  <c r="C135" i="2"/>
  <c r="K135" i="2" s="1"/>
  <c r="C136" i="2"/>
  <c r="K136" i="2" s="1"/>
  <c r="C137" i="2"/>
  <c r="K137" i="2" s="1"/>
  <c r="C138" i="2"/>
  <c r="K138" i="2" s="1"/>
  <c r="C139" i="2"/>
  <c r="K139" i="2" s="1"/>
  <c r="C140" i="2"/>
  <c r="K140" i="2" s="1"/>
  <c r="C141" i="2"/>
  <c r="K141" i="2" s="1"/>
  <c r="C142" i="2"/>
  <c r="K142" i="2" s="1"/>
  <c r="C143" i="2"/>
  <c r="K143" i="2" s="1"/>
  <c r="C144" i="2"/>
  <c r="K144" i="2" s="1"/>
  <c r="C145" i="2"/>
  <c r="K145" i="2" s="1"/>
  <c r="C146" i="2"/>
  <c r="K146" i="2" s="1"/>
  <c r="C147" i="2"/>
  <c r="K147" i="2" s="1"/>
  <c r="C148" i="2"/>
  <c r="K148" i="2" s="1"/>
  <c r="C149" i="2"/>
  <c r="K149" i="2" s="1"/>
  <c r="C150" i="2"/>
  <c r="K150" i="2" s="1"/>
  <c r="C151" i="2"/>
  <c r="K151" i="2" s="1"/>
  <c r="C152" i="2"/>
  <c r="K152" i="2" s="1"/>
  <c r="C153" i="2"/>
  <c r="K153" i="2" s="1"/>
  <c r="C154" i="2"/>
  <c r="K154" i="2" s="1"/>
  <c r="C155" i="2"/>
  <c r="K155" i="2" s="1"/>
  <c r="C156" i="2"/>
  <c r="K156" i="2" s="1"/>
  <c r="C157" i="2"/>
  <c r="K157" i="2" s="1"/>
  <c r="C158" i="2"/>
  <c r="K158" i="2" s="1"/>
  <c r="C159" i="2"/>
  <c r="K159" i="2" s="1"/>
  <c r="C160" i="2"/>
  <c r="K160" i="2" s="1"/>
  <c r="C161" i="2"/>
  <c r="K161" i="2" s="1"/>
  <c r="C162" i="2"/>
  <c r="K162" i="2" s="1"/>
  <c r="C163" i="2"/>
  <c r="K163" i="2" s="1"/>
  <c r="C164" i="2"/>
  <c r="K164" i="2" s="1"/>
  <c r="C165" i="2"/>
  <c r="K165" i="2" s="1"/>
  <c r="C166" i="2"/>
  <c r="K166" i="2" s="1"/>
  <c r="C167" i="2"/>
  <c r="K167" i="2" s="1"/>
  <c r="C168" i="2"/>
  <c r="K168" i="2" s="1"/>
  <c r="C169" i="2"/>
  <c r="K169" i="2" s="1"/>
  <c r="C170" i="2"/>
  <c r="K170" i="2" s="1"/>
  <c r="C171" i="2"/>
  <c r="K171" i="2" s="1"/>
  <c r="C172" i="2"/>
  <c r="K172" i="2" s="1"/>
  <c r="C173" i="2"/>
  <c r="K173" i="2" s="1"/>
  <c r="C174" i="2"/>
  <c r="K174" i="2" s="1"/>
  <c r="C175" i="2"/>
  <c r="K175" i="2" s="1"/>
  <c r="C176" i="2"/>
  <c r="K176" i="2" s="1"/>
  <c r="C177" i="2"/>
  <c r="K177" i="2" s="1"/>
  <c r="C178" i="2"/>
  <c r="K178" i="2" s="1"/>
  <c r="C179" i="2"/>
  <c r="K179" i="2" s="1"/>
  <c r="C180" i="2"/>
  <c r="K180" i="2" s="1"/>
  <c r="C181" i="2"/>
  <c r="K181" i="2" s="1"/>
  <c r="C182" i="2"/>
  <c r="K182" i="2" s="1"/>
  <c r="C183" i="2"/>
  <c r="K183" i="2" s="1"/>
  <c r="C184" i="2"/>
  <c r="K184" i="2" s="1"/>
  <c r="C185" i="2"/>
  <c r="K185" i="2" s="1"/>
  <c r="C186" i="2"/>
  <c r="K186" i="2" s="1"/>
  <c r="C187" i="2"/>
  <c r="K187" i="2" s="1"/>
  <c r="C188" i="2"/>
  <c r="K188" i="2" s="1"/>
  <c r="C189" i="2"/>
  <c r="K189" i="2" s="1"/>
  <c r="C190" i="2"/>
  <c r="K190" i="2" s="1"/>
  <c r="C191" i="2"/>
  <c r="K191" i="2" s="1"/>
  <c r="C192" i="2"/>
  <c r="K192" i="2" s="1"/>
  <c r="C193" i="2"/>
  <c r="K193" i="2" s="1"/>
  <c r="C194" i="2"/>
  <c r="K194" i="2" s="1"/>
  <c r="C195" i="2"/>
  <c r="K195" i="2" s="1"/>
  <c r="C196" i="2"/>
  <c r="K196" i="2" s="1"/>
  <c r="C197" i="2"/>
  <c r="K197" i="2" s="1"/>
  <c r="C198" i="2"/>
  <c r="K198" i="2" s="1"/>
  <c r="C199" i="2"/>
  <c r="K199" i="2" s="1"/>
  <c r="C200" i="2"/>
  <c r="K200" i="2" s="1"/>
  <c r="C201" i="2"/>
  <c r="K201" i="2" s="1"/>
  <c r="C202" i="2"/>
  <c r="K202" i="2" s="1"/>
  <c r="C203" i="2"/>
  <c r="K203" i="2" s="1"/>
  <c r="C204" i="2"/>
  <c r="K204" i="2" s="1"/>
  <c r="C205" i="2"/>
  <c r="K205" i="2" s="1"/>
  <c r="C206" i="2"/>
  <c r="K206" i="2" s="1"/>
  <c r="C207" i="2"/>
  <c r="K207" i="2" s="1"/>
  <c r="C208" i="2"/>
  <c r="K208" i="2" s="1"/>
  <c r="C209" i="2"/>
  <c r="K209" i="2" s="1"/>
  <c r="C210" i="2"/>
  <c r="K210" i="2" s="1"/>
  <c r="C211" i="2"/>
  <c r="K211" i="2" s="1"/>
  <c r="C212" i="2"/>
  <c r="K212" i="2" s="1"/>
  <c r="C213" i="2"/>
  <c r="K213" i="2" s="1"/>
  <c r="C214" i="2"/>
  <c r="K214" i="2" s="1"/>
  <c r="C215" i="2"/>
  <c r="K215" i="2" s="1"/>
  <c r="C216" i="2"/>
  <c r="K216" i="2" s="1"/>
  <c r="C217" i="2"/>
  <c r="K217" i="2" s="1"/>
  <c r="C218" i="2"/>
  <c r="K218" i="2" s="1"/>
  <c r="C219" i="2"/>
  <c r="K219" i="2" s="1"/>
  <c r="C220" i="2"/>
  <c r="K220" i="2" s="1"/>
  <c r="C221" i="2"/>
  <c r="K221" i="2" s="1"/>
  <c r="C222" i="2"/>
  <c r="K222" i="2" s="1"/>
  <c r="C223" i="2"/>
  <c r="K223" i="2" s="1"/>
  <c r="C224" i="2"/>
  <c r="K224" i="2" s="1"/>
  <c r="C225" i="2"/>
  <c r="K225" i="2" s="1"/>
  <c r="C226" i="2"/>
  <c r="K226" i="2" s="1"/>
  <c r="C227" i="2"/>
  <c r="K227" i="2" s="1"/>
  <c r="C228" i="2"/>
  <c r="K228" i="2" s="1"/>
  <c r="C229" i="2"/>
  <c r="K229" i="2" s="1"/>
  <c r="C230" i="2"/>
  <c r="K230" i="2" s="1"/>
  <c r="C231" i="2"/>
  <c r="K231" i="2" s="1"/>
  <c r="C232" i="2"/>
  <c r="K232" i="2" s="1"/>
  <c r="C233" i="2"/>
  <c r="K233" i="2" s="1"/>
  <c r="C234" i="2"/>
  <c r="K234" i="2" s="1"/>
  <c r="C235" i="2"/>
  <c r="K235" i="2" s="1"/>
  <c r="C236" i="2"/>
  <c r="K236" i="2" s="1"/>
  <c r="C237" i="2"/>
  <c r="K237" i="2" s="1"/>
  <c r="C238" i="2"/>
  <c r="K238" i="2" s="1"/>
  <c r="C239" i="2"/>
  <c r="K239" i="2" s="1"/>
  <c r="C240" i="2"/>
  <c r="K240" i="2" s="1"/>
  <c r="C241" i="2"/>
  <c r="K241" i="2" s="1"/>
  <c r="C242" i="2"/>
  <c r="K242" i="2" s="1"/>
  <c r="C243" i="2"/>
  <c r="K243" i="2" s="1"/>
  <c r="C244" i="2"/>
  <c r="K244" i="2" s="1"/>
  <c r="C245" i="2"/>
  <c r="K245" i="2" s="1"/>
  <c r="C246" i="2"/>
  <c r="K246" i="2" s="1"/>
  <c r="C247" i="2"/>
  <c r="K247" i="2" s="1"/>
  <c r="C248" i="2"/>
  <c r="K248" i="2" s="1"/>
  <c r="C249" i="2"/>
  <c r="K249" i="2" s="1"/>
  <c r="C250" i="2"/>
  <c r="K250" i="2" s="1"/>
  <c r="C251" i="2"/>
  <c r="K251" i="2" s="1"/>
  <c r="C252" i="2"/>
  <c r="K252" i="2" s="1"/>
  <c r="C253" i="2"/>
  <c r="K253" i="2" s="1"/>
  <c r="C254" i="2"/>
  <c r="K254" i="2" s="1"/>
  <c r="C255" i="2"/>
  <c r="K255" i="2" s="1"/>
  <c r="C256" i="2"/>
  <c r="K256" i="2" s="1"/>
  <c r="C257" i="2"/>
  <c r="K257" i="2" s="1"/>
  <c r="C258" i="2"/>
  <c r="K258" i="2" s="1"/>
  <c r="C259" i="2"/>
  <c r="K259" i="2" s="1"/>
  <c r="C260" i="2"/>
  <c r="K260" i="2" s="1"/>
  <c r="C261" i="2"/>
  <c r="K261" i="2" s="1"/>
  <c r="C262" i="2"/>
  <c r="K262" i="2" s="1"/>
  <c r="C263" i="2"/>
  <c r="K263" i="2" s="1"/>
  <c r="C264" i="2"/>
  <c r="K264" i="2" s="1"/>
  <c r="C265" i="2"/>
  <c r="K265" i="2" s="1"/>
  <c r="C266" i="2"/>
  <c r="K266" i="2" s="1"/>
  <c r="C267" i="2"/>
  <c r="K267" i="2" s="1"/>
  <c r="C268" i="2"/>
  <c r="K268" i="2" s="1"/>
  <c r="C269" i="2"/>
  <c r="K269" i="2" s="1"/>
  <c r="C270" i="2"/>
  <c r="K270" i="2" s="1"/>
  <c r="C271" i="2"/>
  <c r="K271" i="2" s="1"/>
  <c r="C272" i="2"/>
  <c r="K272" i="2" s="1"/>
  <c r="C273" i="2"/>
  <c r="K273" i="2" s="1"/>
  <c r="C274" i="2"/>
  <c r="K274" i="2" s="1"/>
  <c r="C275" i="2"/>
  <c r="K275" i="2" s="1"/>
  <c r="C276" i="2"/>
  <c r="K276" i="2" s="1"/>
  <c r="C277" i="2"/>
  <c r="K277" i="2" s="1"/>
  <c r="C278" i="2"/>
  <c r="K278" i="2" s="1"/>
  <c r="C279" i="2"/>
  <c r="K279" i="2" s="1"/>
  <c r="C280" i="2"/>
  <c r="K280" i="2" s="1"/>
  <c r="C281" i="2"/>
  <c r="K281" i="2" s="1"/>
  <c r="C282" i="2"/>
  <c r="K282" i="2" s="1"/>
  <c r="C283" i="2"/>
  <c r="K283" i="2" s="1"/>
  <c r="C284" i="2"/>
  <c r="K284" i="2" s="1"/>
  <c r="C285" i="2"/>
  <c r="K285" i="2" s="1"/>
  <c r="C286" i="2"/>
  <c r="K286" i="2" s="1"/>
  <c r="C287" i="2"/>
  <c r="K287" i="2" s="1"/>
  <c r="C288" i="2"/>
  <c r="K288" i="2" s="1"/>
  <c r="C289" i="2"/>
  <c r="K289" i="2" s="1"/>
  <c r="C290" i="2"/>
  <c r="K290" i="2" s="1"/>
  <c r="C291" i="2"/>
  <c r="K291" i="2" s="1"/>
  <c r="C292" i="2"/>
  <c r="K292" i="2" s="1"/>
  <c r="C293" i="2"/>
  <c r="K293" i="2" s="1"/>
  <c r="C294" i="2"/>
  <c r="K294" i="2" s="1"/>
  <c r="C295" i="2"/>
  <c r="K295" i="2" s="1"/>
  <c r="C296" i="2"/>
  <c r="K296" i="2" s="1"/>
  <c r="C297" i="2"/>
  <c r="K297" i="2" s="1"/>
  <c r="C298" i="2"/>
  <c r="K298" i="2" s="1"/>
  <c r="C299" i="2"/>
  <c r="K299" i="2" s="1"/>
  <c r="C300" i="2"/>
  <c r="K300" i="2" s="1"/>
  <c r="C301" i="2"/>
  <c r="K301" i="2" s="1"/>
  <c r="C302" i="2"/>
  <c r="K302" i="2" s="1"/>
  <c r="C303" i="2"/>
  <c r="K303" i="2" s="1"/>
  <c r="C304" i="2"/>
  <c r="K304" i="2" s="1"/>
  <c r="C305" i="2"/>
  <c r="K305" i="2" s="1"/>
  <c r="C306" i="2"/>
  <c r="K306" i="2" s="1"/>
  <c r="C307" i="2"/>
  <c r="K307" i="2" s="1"/>
  <c r="C308" i="2"/>
  <c r="K308" i="2" s="1"/>
  <c r="C309" i="2"/>
  <c r="K309" i="2" s="1"/>
  <c r="C310" i="2"/>
  <c r="K310" i="2" s="1"/>
  <c r="C311" i="2"/>
  <c r="K311" i="2" s="1"/>
  <c r="C312" i="2"/>
  <c r="K312" i="2" s="1"/>
  <c r="C313" i="2"/>
  <c r="K313" i="2" s="1"/>
  <c r="C314" i="2"/>
  <c r="K314" i="2" s="1"/>
  <c r="C315" i="2"/>
  <c r="K315" i="2" s="1"/>
  <c r="C316" i="2"/>
  <c r="K316" i="2" s="1"/>
  <c r="C317" i="2"/>
  <c r="K317" i="2" s="1"/>
  <c r="C318" i="2"/>
  <c r="K318" i="2" s="1"/>
  <c r="C319" i="2"/>
  <c r="K319" i="2" s="1"/>
  <c r="C320" i="2"/>
  <c r="K320" i="2" s="1"/>
  <c r="C321" i="2"/>
  <c r="K321" i="2" s="1"/>
  <c r="C322" i="2"/>
  <c r="K322" i="2" s="1"/>
  <c r="C323" i="2"/>
  <c r="K323" i="2" s="1"/>
  <c r="C324" i="2"/>
  <c r="K324" i="2" s="1"/>
  <c r="C325" i="2"/>
  <c r="K325" i="2" s="1"/>
  <c r="C326" i="2"/>
  <c r="K326" i="2" s="1"/>
  <c r="C327" i="2"/>
  <c r="K327" i="2" s="1"/>
  <c r="C328" i="2"/>
  <c r="K328" i="2" s="1"/>
  <c r="C329" i="2"/>
  <c r="K329" i="2" s="1"/>
  <c r="C330" i="2"/>
  <c r="K330" i="2" s="1"/>
  <c r="C331" i="2"/>
  <c r="K331" i="2" s="1"/>
  <c r="C332" i="2"/>
  <c r="K332" i="2" s="1"/>
  <c r="C333" i="2"/>
  <c r="K333" i="2" s="1"/>
  <c r="C334" i="2"/>
  <c r="K334" i="2" s="1"/>
  <c r="C335" i="2"/>
  <c r="K335" i="2" s="1"/>
  <c r="C336" i="2"/>
  <c r="K336" i="2" s="1"/>
  <c r="C337" i="2"/>
  <c r="K337" i="2" s="1"/>
  <c r="C338" i="2"/>
  <c r="K338" i="2" s="1"/>
  <c r="C339" i="2"/>
  <c r="K339" i="2" s="1"/>
  <c r="C340" i="2"/>
  <c r="K340" i="2" s="1"/>
  <c r="C341" i="2"/>
  <c r="K341" i="2" s="1"/>
  <c r="C342" i="2"/>
  <c r="K342" i="2" s="1"/>
  <c r="C343" i="2"/>
  <c r="K343" i="2" s="1"/>
  <c r="C344" i="2"/>
  <c r="K344" i="2" s="1"/>
  <c r="C345" i="2"/>
  <c r="K345" i="2" s="1"/>
  <c r="C346" i="2"/>
  <c r="K346" i="2" s="1"/>
  <c r="C347" i="2"/>
  <c r="K347" i="2" s="1"/>
  <c r="C348" i="2"/>
  <c r="K348" i="2" s="1"/>
  <c r="C349" i="2"/>
  <c r="K349" i="2" s="1"/>
  <c r="C350" i="2"/>
  <c r="K350" i="2" s="1"/>
  <c r="C351" i="2"/>
  <c r="K351" i="2" s="1"/>
  <c r="C352" i="2"/>
  <c r="K352" i="2" s="1"/>
  <c r="C353" i="2"/>
  <c r="K353" i="2" s="1"/>
  <c r="C354" i="2"/>
  <c r="K354" i="2" s="1"/>
  <c r="C355" i="2"/>
  <c r="K355" i="2" s="1"/>
  <c r="C356" i="2"/>
  <c r="K356" i="2" s="1"/>
  <c r="C357" i="2"/>
  <c r="K357" i="2" s="1"/>
  <c r="C358" i="2"/>
  <c r="K358" i="2" s="1"/>
  <c r="C359" i="2"/>
  <c r="K359" i="2" s="1"/>
  <c r="C360" i="2"/>
  <c r="K360" i="2" s="1"/>
  <c r="C361" i="2"/>
  <c r="K361" i="2" s="1"/>
  <c r="C362" i="2"/>
  <c r="K362" i="2" s="1"/>
  <c r="C363" i="2"/>
  <c r="K363" i="2" s="1"/>
  <c r="C364" i="2"/>
  <c r="K364" i="2" s="1"/>
  <c r="C365" i="2"/>
  <c r="K365" i="2" s="1"/>
  <c r="C366" i="2"/>
  <c r="K366" i="2" s="1"/>
  <c r="C367" i="2"/>
  <c r="K367" i="2" s="1"/>
  <c r="C368" i="2"/>
  <c r="K368" i="2" s="1"/>
  <c r="C369" i="2"/>
  <c r="K369" i="2" s="1"/>
  <c r="C370" i="2"/>
  <c r="K370" i="2" s="1"/>
  <c r="C371" i="2"/>
  <c r="K371" i="2" s="1"/>
  <c r="C372" i="2"/>
  <c r="K372" i="2" s="1"/>
  <c r="C373" i="2"/>
  <c r="K373" i="2" s="1"/>
  <c r="C374" i="2"/>
  <c r="K374" i="2" s="1"/>
  <c r="C375" i="2"/>
  <c r="K375" i="2" s="1"/>
  <c r="C376" i="2"/>
  <c r="K376" i="2" s="1"/>
  <c r="C377" i="2"/>
  <c r="K377" i="2" s="1"/>
  <c r="C378" i="2"/>
  <c r="K378" i="2" s="1"/>
  <c r="C379" i="2"/>
  <c r="K379" i="2" s="1"/>
  <c r="C380" i="2"/>
  <c r="K380" i="2" s="1"/>
  <c r="C381" i="2"/>
  <c r="K381" i="2" s="1"/>
  <c r="C382" i="2"/>
  <c r="K382" i="2" s="1"/>
  <c r="C383" i="2"/>
  <c r="K383" i="2" s="1"/>
  <c r="C384" i="2"/>
  <c r="K384" i="2" s="1"/>
  <c r="C385" i="2"/>
  <c r="K385" i="2" s="1"/>
  <c r="C386" i="2"/>
  <c r="K386" i="2" s="1"/>
  <c r="C387" i="2"/>
  <c r="K387" i="2" s="1"/>
  <c r="C388" i="2"/>
  <c r="K388" i="2" s="1"/>
  <c r="C389" i="2"/>
  <c r="K389" i="2" s="1"/>
  <c r="C390" i="2"/>
  <c r="K390" i="2" s="1"/>
  <c r="C391" i="2"/>
  <c r="K391" i="2" s="1"/>
  <c r="C392" i="2"/>
  <c r="K392" i="2" s="1"/>
  <c r="C393" i="2"/>
  <c r="K393" i="2" s="1"/>
  <c r="C394" i="2"/>
  <c r="K394" i="2" s="1"/>
  <c r="C395" i="2"/>
  <c r="K395" i="2" s="1"/>
  <c r="C396" i="2"/>
  <c r="K396" i="2" s="1"/>
  <c r="C397" i="2"/>
  <c r="K397" i="2" s="1"/>
  <c r="C398" i="2"/>
  <c r="K398" i="2" s="1"/>
  <c r="C399" i="2"/>
  <c r="K399" i="2" s="1"/>
  <c r="C400" i="2"/>
  <c r="K400" i="2" s="1"/>
  <c r="C401" i="2"/>
  <c r="K401" i="2" s="1"/>
  <c r="C402" i="2"/>
  <c r="K402" i="2" s="1"/>
  <c r="C403" i="2"/>
  <c r="K403" i="2" s="1"/>
  <c r="C404" i="2"/>
  <c r="K404" i="2" s="1"/>
  <c r="C405" i="2"/>
  <c r="K405" i="2" s="1"/>
  <c r="C406" i="2"/>
  <c r="K406" i="2" s="1"/>
  <c r="C407" i="2"/>
  <c r="K407" i="2" s="1"/>
  <c r="C408" i="2"/>
  <c r="K408" i="2" s="1"/>
  <c r="C409" i="2"/>
  <c r="K409" i="2" s="1"/>
  <c r="C410" i="2"/>
  <c r="K410" i="2" s="1"/>
  <c r="C411" i="2"/>
  <c r="K411" i="2" s="1"/>
  <c r="C412" i="2"/>
  <c r="K412" i="2" s="1"/>
  <c r="C413" i="2"/>
  <c r="K413" i="2" s="1"/>
  <c r="C414" i="2"/>
  <c r="K414" i="2" s="1"/>
  <c r="C415" i="2"/>
  <c r="K415" i="2" s="1"/>
  <c r="C416" i="2"/>
  <c r="K416" i="2" s="1"/>
  <c r="C417" i="2"/>
  <c r="K417" i="2" s="1"/>
  <c r="C418" i="2"/>
  <c r="K418" i="2" s="1"/>
  <c r="C419" i="2"/>
  <c r="K419" i="2" s="1"/>
  <c r="C420" i="2"/>
  <c r="K420" i="2" s="1"/>
  <c r="C421" i="2"/>
  <c r="K421" i="2" s="1"/>
  <c r="C422" i="2"/>
  <c r="K422" i="2" s="1"/>
  <c r="C423" i="2"/>
  <c r="K423" i="2" s="1"/>
  <c r="C424" i="2"/>
  <c r="K424" i="2" s="1"/>
  <c r="C425" i="2"/>
  <c r="K425" i="2" s="1"/>
  <c r="C426" i="2"/>
  <c r="K426" i="2" s="1"/>
  <c r="C427" i="2"/>
  <c r="K427" i="2" s="1"/>
  <c r="C428" i="2"/>
  <c r="K428" i="2" s="1"/>
  <c r="C429" i="2"/>
  <c r="K429" i="2" s="1"/>
  <c r="C430" i="2"/>
  <c r="K430" i="2" s="1"/>
  <c r="C431" i="2"/>
  <c r="K431" i="2" s="1"/>
  <c r="C432" i="2"/>
  <c r="K432" i="2" s="1"/>
  <c r="C433" i="2"/>
  <c r="K433" i="2" s="1"/>
  <c r="C434" i="2"/>
  <c r="K434" i="2" s="1"/>
  <c r="C435" i="2"/>
  <c r="K435" i="2" s="1"/>
  <c r="C436" i="2"/>
  <c r="K436" i="2" s="1"/>
  <c r="C437" i="2"/>
  <c r="K437" i="2" s="1"/>
  <c r="C438" i="2"/>
  <c r="K438" i="2" s="1"/>
  <c r="C439" i="2"/>
  <c r="K439" i="2" s="1"/>
  <c r="C440" i="2"/>
  <c r="K440" i="2" s="1"/>
  <c r="C441" i="2"/>
  <c r="K441" i="2" s="1"/>
  <c r="C442" i="2"/>
  <c r="K442" i="2" s="1"/>
  <c r="C443" i="2"/>
  <c r="K443" i="2" s="1"/>
  <c r="C444" i="2"/>
  <c r="K444" i="2" s="1"/>
  <c r="C445" i="2"/>
  <c r="K445" i="2" s="1"/>
  <c r="C446" i="2"/>
  <c r="K446" i="2" s="1"/>
  <c r="C447" i="2"/>
  <c r="K447" i="2" s="1"/>
  <c r="C448" i="2"/>
  <c r="K448" i="2" s="1"/>
  <c r="C449" i="2"/>
  <c r="K449" i="2" s="1"/>
  <c r="C450" i="2"/>
  <c r="K450" i="2" s="1"/>
  <c r="C451" i="2"/>
  <c r="K451" i="2" s="1"/>
  <c r="C452" i="2"/>
  <c r="K452" i="2" s="1"/>
  <c r="C453" i="2"/>
  <c r="K453" i="2" s="1"/>
  <c r="C454" i="2"/>
  <c r="K454" i="2" s="1"/>
  <c r="C455" i="2"/>
  <c r="K455" i="2" s="1"/>
  <c r="C456" i="2"/>
  <c r="K456" i="2" s="1"/>
  <c r="C457" i="2"/>
  <c r="K457" i="2" s="1"/>
  <c r="C458" i="2"/>
  <c r="K458" i="2" s="1"/>
  <c r="C459" i="2"/>
  <c r="K459" i="2" s="1"/>
  <c r="C460" i="2"/>
  <c r="K460" i="2" s="1"/>
  <c r="C461" i="2"/>
  <c r="K461" i="2" s="1"/>
  <c r="C462" i="2"/>
  <c r="K462" i="2" s="1"/>
  <c r="C463" i="2"/>
  <c r="K463" i="2" s="1"/>
  <c r="C464" i="2"/>
  <c r="K464" i="2" s="1"/>
  <c r="C465" i="2"/>
  <c r="K465" i="2" s="1"/>
  <c r="C466" i="2"/>
  <c r="K466" i="2" s="1"/>
  <c r="C467" i="2"/>
  <c r="K467" i="2" s="1"/>
  <c r="C468" i="2"/>
  <c r="K468" i="2" s="1"/>
  <c r="C469" i="2"/>
  <c r="K469" i="2" s="1"/>
  <c r="C470" i="2"/>
  <c r="K470" i="2" s="1"/>
  <c r="C471" i="2"/>
  <c r="K471" i="2" s="1"/>
  <c r="C472" i="2"/>
  <c r="K472" i="2" s="1"/>
  <c r="C473" i="2"/>
  <c r="K473" i="2" s="1"/>
  <c r="C474" i="2"/>
  <c r="K474" i="2" s="1"/>
  <c r="C475" i="2"/>
  <c r="K475" i="2" s="1"/>
  <c r="C476" i="2"/>
  <c r="K476" i="2" s="1"/>
  <c r="C477" i="2"/>
  <c r="K477" i="2" s="1"/>
  <c r="C478" i="2"/>
  <c r="K478" i="2" s="1"/>
  <c r="C479" i="2"/>
  <c r="K479" i="2" s="1"/>
  <c r="C480" i="2"/>
  <c r="K480" i="2" s="1"/>
  <c r="C481" i="2"/>
  <c r="K481" i="2" s="1"/>
  <c r="C482" i="2"/>
  <c r="K482" i="2" s="1"/>
  <c r="C483" i="2"/>
  <c r="K483" i="2" s="1"/>
  <c r="C484" i="2"/>
  <c r="K484" i="2" s="1"/>
  <c r="C485" i="2"/>
  <c r="K485" i="2" s="1"/>
  <c r="C486" i="2"/>
  <c r="K486" i="2" s="1"/>
  <c r="C487" i="2"/>
  <c r="K487" i="2" s="1"/>
  <c r="C488" i="2"/>
  <c r="K488" i="2" s="1"/>
  <c r="C489" i="2"/>
  <c r="K489" i="2" s="1"/>
  <c r="C490" i="2"/>
  <c r="K490" i="2" s="1"/>
  <c r="C491" i="2"/>
  <c r="K491" i="2" s="1"/>
  <c r="C492" i="2"/>
  <c r="K492" i="2" s="1"/>
  <c r="C493" i="2"/>
  <c r="K493" i="2" s="1"/>
  <c r="C494" i="2"/>
  <c r="K494" i="2" s="1"/>
  <c r="C495" i="2"/>
  <c r="K495" i="2" s="1"/>
  <c r="C496" i="2"/>
  <c r="K496" i="2" s="1"/>
  <c r="C497" i="2"/>
  <c r="K497" i="2" s="1"/>
  <c r="C498" i="2"/>
  <c r="K498" i="2" s="1"/>
  <c r="C499" i="2"/>
  <c r="K499" i="2" s="1"/>
  <c r="C500" i="2"/>
  <c r="K500" i="2" s="1"/>
  <c r="C501" i="2"/>
  <c r="K501" i="2" s="1"/>
  <c r="C502" i="2"/>
  <c r="K502" i="2" s="1"/>
  <c r="C503" i="2"/>
  <c r="K503" i="2" s="1"/>
  <c r="C504" i="2"/>
  <c r="K504" i="2" s="1"/>
  <c r="C505" i="2"/>
  <c r="K505" i="2" s="1"/>
  <c r="C506" i="2"/>
  <c r="K506" i="2" s="1"/>
  <c r="C507" i="2"/>
  <c r="K507" i="2" s="1"/>
  <c r="C508" i="2"/>
  <c r="K508" i="2" s="1"/>
  <c r="C509" i="2"/>
  <c r="K509" i="2" s="1"/>
  <c r="C510" i="2"/>
  <c r="K510" i="2" s="1"/>
  <c r="C511" i="2"/>
  <c r="K511" i="2" s="1"/>
  <c r="C512" i="2"/>
  <c r="K512" i="2" s="1"/>
  <c r="C513" i="2"/>
  <c r="K513" i="2" s="1"/>
  <c r="C514" i="2"/>
  <c r="K514" i="2" s="1"/>
  <c r="C515" i="2"/>
  <c r="K515" i="2" s="1"/>
  <c r="C516" i="2"/>
  <c r="K516" i="2" s="1"/>
  <c r="C517" i="2"/>
  <c r="K517" i="2" s="1"/>
  <c r="C518" i="2"/>
  <c r="K518" i="2" s="1"/>
  <c r="C519" i="2"/>
  <c r="K519" i="2" s="1"/>
  <c r="C520" i="2"/>
  <c r="K520" i="2" s="1"/>
  <c r="C521" i="2"/>
  <c r="K521" i="2" s="1"/>
  <c r="C522" i="2"/>
  <c r="K522" i="2" s="1"/>
  <c r="C523" i="2"/>
  <c r="K523" i="2" s="1"/>
  <c r="C524" i="2"/>
  <c r="K524" i="2" s="1"/>
  <c r="C525" i="2"/>
  <c r="K525" i="2" s="1"/>
  <c r="C526" i="2"/>
  <c r="K526" i="2" s="1"/>
  <c r="C527" i="2"/>
  <c r="K527" i="2" s="1"/>
  <c r="C528" i="2"/>
  <c r="K528" i="2" s="1"/>
  <c r="C529" i="2"/>
  <c r="K529" i="2" s="1"/>
  <c r="C530" i="2"/>
  <c r="K530" i="2" s="1"/>
  <c r="C531" i="2"/>
  <c r="K531" i="2" s="1"/>
  <c r="C532" i="2"/>
  <c r="K532" i="2" s="1"/>
  <c r="C533" i="2"/>
  <c r="K533" i="2" s="1"/>
  <c r="C534" i="2"/>
  <c r="K534" i="2" s="1"/>
  <c r="C535" i="2"/>
  <c r="K535" i="2" s="1"/>
  <c r="C536" i="2"/>
  <c r="K536" i="2" s="1"/>
  <c r="C537" i="2"/>
  <c r="K537" i="2" s="1"/>
  <c r="C538" i="2"/>
  <c r="K538" i="2" s="1"/>
  <c r="C539" i="2"/>
  <c r="K539" i="2" s="1"/>
  <c r="C540" i="2"/>
  <c r="K540" i="2" s="1"/>
  <c r="C541" i="2"/>
  <c r="K541" i="2" s="1"/>
  <c r="C542" i="2"/>
  <c r="K542" i="2" s="1"/>
  <c r="C543" i="2"/>
  <c r="K543" i="2" s="1"/>
  <c r="C544" i="2"/>
  <c r="K544" i="2" s="1"/>
  <c r="C545" i="2"/>
  <c r="K545" i="2" s="1"/>
  <c r="C546" i="2"/>
  <c r="K546" i="2" s="1"/>
  <c r="C547" i="2"/>
  <c r="K547" i="2" s="1"/>
  <c r="C548" i="2"/>
  <c r="K548" i="2" s="1"/>
  <c r="C549" i="2"/>
  <c r="K549" i="2" s="1"/>
  <c r="C550" i="2"/>
  <c r="K550" i="2" s="1"/>
  <c r="C551" i="2"/>
  <c r="K551" i="2" s="1"/>
  <c r="C552" i="2"/>
  <c r="K552" i="2" s="1"/>
  <c r="C553" i="2"/>
  <c r="K553" i="2" s="1"/>
  <c r="C554" i="2"/>
  <c r="K554" i="2" s="1"/>
  <c r="C555" i="2"/>
  <c r="K555" i="2" s="1"/>
  <c r="C556" i="2"/>
  <c r="K556" i="2" s="1"/>
  <c r="C557" i="2"/>
  <c r="K557" i="2" s="1"/>
  <c r="C558" i="2"/>
  <c r="K558" i="2" s="1"/>
  <c r="C559" i="2"/>
  <c r="K559" i="2" s="1"/>
  <c r="C560" i="2"/>
  <c r="K560" i="2" s="1"/>
  <c r="C561" i="2"/>
  <c r="K561" i="2" s="1"/>
  <c r="C562" i="2"/>
  <c r="K562" i="2" s="1"/>
  <c r="C563" i="2"/>
  <c r="K563" i="2" s="1"/>
  <c r="C564" i="2"/>
  <c r="K564" i="2" s="1"/>
  <c r="C565" i="2"/>
  <c r="K565" i="2" s="1"/>
  <c r="C566" i="2"/>
  <c r="K566" i="2" s="1"/>
  <c r="C567" i="2"/>
  <c r="K567" i="2" s="1"/>
  <c r="C568" i="2"/>
  <c r="K568" i="2" s="1"/>
  <c r="C569" i="2"/>
  <c r="K569" i="2" s="1"/>
  <c r="C570" i="2"/>
  <c r="K570" i="2" s="1"/>
  <c r="C571" i="2"/>
  <c r="K571" i="2" s="1"/>
  <c r="C572" i="2"/>
  <c r="K572" i="2" s="1"/>
  <c r="C573" i="2"/>
  <c r="K573" i="2" s="1"/>
  <c r="C574" i="2"/>
  <c r="K574" i="2" s="1"/>
  <c r="C575" i="2"/>
  <c r="K575" i="2" s="1"/>
  <c r="C576" i="2"/>
  <c r="K576" i="2" s="1"/>
  <c r="C577" i="2"/>
  <c r="K577" i="2" s="1"/>
  <c r="C578" i="2"/>
  <c r="K578" i="2" s="1"/>
  <c r="C579" i="2"/>
  <c r="K579" i="2" s="1"/>
  <c r="C580" i="2"/>
  <c r="K580" i="2" s="1"/>
  <c r="C581" i="2"/>
  <c r="K581" i="2" s="1"/>
  <c r="C582" i="2"/>
  <c r="K582" i="2" s="1"/>
  <c r="C583" i="2"/>
  <c r="K583" i="2" s="1"/>
  <c r="C584" i="2"/>
  <c r="K584" i="2" s="1"/>
  <c r="C585" i="2"/>
  <c r="K585" i="2" s="1"/>
  <c r="C586" i="2"/>
  <c r="K586" i="2" s="1"/>
  <c r="C587" i="2"/>
  <c r="K587" i="2" s="1"/>
  <c r="C588" i="2"/>
  <c r="K588" i="2" s="1"/>
  <c r="C589" i="2"/>
  <c r="K589" i="2" s="1"/>
  <c r="C590" i="2"/>
  <c r="K590" i="2" s="1"/>
  <c r="C591" i="2"/>
  <c r="K591" i="2" s="1"/>
  <c r="C592" i="2"/>
  <c r="K592" i="2" s="1"/>
  <c r="C593" i="2"/>
  <c r="K593" i="2" s="1"/>
  <c r="C594" i="2"/>
  <c r="K594" i="2" s="1"/>
  <c r="C595" i="2"/>
  <c r="K595" i="2" s="1"/>
  <c r="C596" i="2"/>
  <c r="K596" i="2" s="1"/>
  <c r="C597" i="2"/>
  <c r="K597" i="2" s="1"/>
  <c r="C598" i="2"/>
  <c r="K598" i="2" s="1"/>
  <c r="C599" i="2"/>
  <c r="K599" i="2" s="1"/>
  <c r="C600" i="2"/>
  <c r="K600" i="2" s="1"/>
  <c r="C601" i="2"/>
  <c r="K601" i="2" s="1"/>
  <c r="C602" i="2"/>
  <c r="K602" i="2" s="1"/>
  <c r="C603" i="2"/>
  <c r="K603" i="2" s="1"/>
  <c r="C604" i="2"/>
  <c r="K604" i="2" s="1"/>
  <c r="C605" i="2"/>
  <c r="K605" i="2" s="1"/>
  <c r="C606" i="2"/>
  <c r="K606" i="2" s="1"/>
  <c r="C607" i="2"/>
  <c r="K607" i="2" s="1"/>
  <c r="C608" i="2"/>
  <c r="K608" i="2" s="1"/>
  <c r="C609" i="2"/>
  <c r="K609" i="2" s="1"/>
  <c r="C610" i="2"/>
  <c r="K610" i="2" s="1"/>
  <c r="C611" i="2"/>
  <c r="K611" i="2" s="1"/>
  <c r="C612" i="2"/>
  <c r="K612" i="2" s="1"/>
  <c r="C613" i="2"/>
  <c r="K613" i="2" s="1"/>
  <c r="C614" i="2"/>
  <c r="K614" i="2" s="1"/>
  <c r="C615" i="2"/>
  <c r="K615" i="2" s="1"/>
  <c r="C616" i="2"/>
  <c r="K616" i="2" s="1"/>
  <c r="C617" i="2"/>
  <c r="K617" i="2" s="1"/>
  <c r="C618" i="2"/>
  <c r="K618" i="2" s="1"/>
  <c r="C619" i="2"/>
  <c r="K619" i="2" s="1"/>
  <c r="C620" i="2"/>
  <c r="K620" i="2" s="1"/>
  <c r="C621" i="2"/>
  <c r="K621" i="2" s="1"/>
  <c r="C622" i="2"/>
  <c r="K622" i="2" s="1"/>
  <c r="C623" i="2"/>
  <c r="K623" i="2" s="1"/>
  <c r="C624" i="2"/>
  <c r="K624" i="2" s="1"/>
  <c r="C625" i="2"/>
  <c r="K625" i="2" s="1"/>
  <c r="C626" i="2"/>
  <c r="K626" i="2" s="1"/>
  <c r="C627" i="2"/>
  <c r="K627" i="2" s="1"/>
  <c r="C628" i="2"/>
  <c r="K628" i="2" s="1"/>
  <c r="C629" i="2"/>
  <c r="K629" i="2" s="1"/>
  <c r="C630" i="2"/>
  <c r="K630" i="2" s="1"/>
  <c r="C631" i="2"/>
  <c r="K631" i="2" s="1"/>
  <c r="C632" i="2"/>
  <c r="K632" i="2" s="1"/>
  <c r="C633" i="2"/>
  <c r="K633" i="2" s="1"/>
  <c r="C634" i="2"/>
  <c r="K634" i="2" s="1"/>
  <c r="C635" i="2"/>
  <c r="K635" i="2" s="1"/>
  <c r="C636" i="2"/>
  <c r="K636" i="2" s="1"/>
  <c r="C637" i="2"/>
  <c r="K637" i="2" s="1"/>
  <c r="C638" i="2"/>
  <c r="K638" i="2" s="1"/>
  <c r="C639" i="2"/>
  <c r="K639" i="2" s="1"/>
  <c r="C640" i="2"/>
  <c r="K640" i="2" s="1"/>
  <c r="C641" i="2"/>
  <c r="K641" i="2" s="1"/>
  <c r="C642" i="2"/>
  <c r="K642" i="2" s="1"/>
  <c r="C643" i="2"/>
  <c r="K643" i="2" s="1"/>
  <c r="C644" i="2"/>
  <c r="K644" i="2" s="1"/>
  <c r="C645" i="2"/>
  <c r="K645" i="2" s="1"/>
  <c r="C646" i="2"/>
  <c r="K646" i="2" s="1"/>
  <c r="C647" i="2"/>
  <c r="K647" i="2" s="1"/>
  <c r="C648" i="2"/>
  <c r="K648" i="2" s="1"/>
  <c r="C649" i="2"/>
  <c r="K649" i="2" s="1"/>
  <c r="C650" i="2"/>
  <c r="K650" i="2" s="1"/>
  <c r="C651" i="2"/>
  <c r="K651" i="2" s="1"/>
  <c r="C652" i="2"/>
  <c r="K652" i="2" s="1"/>
  <c r="C653" i="2"/>
  <c r="K653" i="2" s="1"/>
  <c r="C654" i="2"/>
  <c r="K654" i="2" s="1"/>
  <c r="C655" i="2"/>
  <c r="K655" i="2" s="1"/>
  <c r="C656" i="2"/>
  <c r="K656" i="2" s="1"/>
  <c r="C657" i="2"/>
  <c r="K657" i="2" s="1"/>
  <c r="C658" i="2"/>
  <c r="K658" i="2" s="1"/>
  <c r="C659" i="2"/>
  <c r="K659" i="2" s="1"/>
  <c r="C660" i="2"/>
  <c r="K660" i="2" s="1"/>
  <c r="C661" i="2"/>
  <c r="K661" i="2" s="1"/>
  <c r="C662" i="2"/>
  <c r="K662" i="2" s="1"/>
  <c r="C663" i="2"/>
  <c r="K663" i="2" s="1"/>
  <c r="C664" i="2"/>
  <c r="K664" i="2" s="1"/>
  <c r="C665" i="2"/>
  <c r="K665" i="2" s="1"/>
  <c r="C666" i="2"/>
  <c r="K666" i="2" s="1"/>
  <c r="C667" i="2"/>
  <c r="K667" i="2" s="1"/>
  <c r="C668" i="2"/>
  <c r="K668" i="2" s="1"/>
  <c r="C669" i="2"/>
  <c r="K669" i="2" s="1"/>
  <c r="C670" i="2"/>
  <c r="K670" i="2" s="1"/>
  <c r="C671" i="2"/>
  <c r="K671" i="2" s="1"/>
  <c r="C672" i="2"/>
  <c r="K672" i="2" s="1"/>
  <c r="C673" i="2"/>
  <c r="K673" i="2" s="1"/>
  <c r="C674" i="2"/>
  <c r="K674" i="2" s="1"/>
  <c r="C675" i="2"/>
  <c r="K675" i="2" s="1"/>
  <c r="C676" i="2"/>
  <c r="K676" i="2" s="1"/>
  <c r="C677" i="2"/>
  <c r="K677" i="2" s="1"/>
  <c r="C678" i="2"/>
  <c r="K678" i="2" s="1"/>
  <c r="C679" i="2"/>
  <c r="K679" i="2" s="1"/>
  <c r="C680" i="2"/>
  <c r="K680" i="2" s="1"/>
  <c r="C681" i="2"/>
  <c r="K681" i="2" s="1"/>
  <c r="C682" i="2"/>
  <c r="K682" i="2" s="1"/>
  <c r="C683" i="2"/>
  <c r="K683" i="2" s="1"/>
  <c r="C684" i="2"/>
  <c r="K684" i="2" s="1"/>
  <c r="C685" i="2"/>
  <c r="K685" i="2" s="1"/>
  <c r="C686" i="2"/>
  <c r="K686" i="2" s="1"/>
  <c r="C687" i="2"/>
  <c r="K687" i="2" s="1"/>
  <c r="C688" i="2"/>
  <c r="K688" i="2" s="1"/>
  <c r="C689" i="2"/>
  <c r="K689" i="2" s="1"/>
  <c r="C690" i="2"/>
  <c r="K690" i="2" s="1"/>
  <c r="C691" i="2"/>
  <c r="K691" i="2" s="1"/>
  <c r="C692" i="2"/>
  <c r="K692" i="2" s="1"/>
  <c r="C693" i="2"/>
  <c r="K693" i="2" s="1"/>
  <c r="C694" i="2"/>
  <c r="K694" i="2" s="1"/>
  <c r="C695" i="2"/>
  <c r="K695" i="2" s="1"/>
  <c r="C696" i="2"/>
  <c r="K696" i="2" s="1"/>
  <c r="C697" i="2"/>
  <c r="K697" i="2" s="1"/>
  <c r="C698" i="2"/>
  <c r="K698" i="2" s="1"/>
  <c r="C699" i="2"/>
  <c r="K699" i="2" s="1"/>
  <c r="C700" i="2"/>
  <c r="K700" i="2" s="1"/>
  <c r="C701" i="2"/>
  <c r="K701" i="2" s="1"/>
  <c r="C702" i="2"/>
  <c r="K702" i="2" s="1"/>
  <c r="C703" i="2"/>
  <c r="K703" i="2" s="1"/>
  <c r="C704" i="2"/>
  <c r="K704" i="2" s="1"/>
  <c r="C705" i="2"/>
  <c r="K705" i="2" s="1"/>
  <c r="C706" i="2"/>
  <c r="K706" i="2" s="1"/>
  <c r="C707" i="2"/>
  <c r="K707" i="2" s="1"/>
  <c r="C708" i="2"/>
  <c r="K708" i="2" s="1"/>
  <c r="C709" i="2"/>
  <c r="K709" i="2" s="1"/>
  <c r="C710" i="2"/>
  <c r="K710" i="2" s="1"/>
  <c r="C711" i="2"/>
  <c r="K711" i="2" s="1"/>
  <c r="C712" i="2"/>
  <c r="K712" i="2" s="1"/>
  <c r="C713" i="2"/>
  <c r="K713" i="2" s="1"/>
  <c r="C714" i="2"/>
  <c r="K714" i="2" s="1"/>
  <c r="C715" i="2"/>
  <c r="K715" i="2" s="1"/>
  <c r="C716" i="2"/>
  <c r="K716" i="2" s="1"/>
  <c r="C717" i="2"/>
  <c r="K717" i="2" s="1"/>
  <c r="C718" i="2"/>
  <c r="K718" i="2" s="1"/>
  <c r="C719" i="2"/>
  <c r="K719" i="2" s="1"/>
  <c r="C720" i="2"/>
  <c r="K720" i="2" s="1"/>
  <c r="C721" i="2"/>
  <c r="K721" i="2" s="1"/>
  <c r="C722" i="2"/>
  <c r="K722" i="2" s="1"/>
  <c r="C723" i="2"/>
  <c r="K723" i="2" s="1"/>
  <c r="C724" i="2"/>
  <c r="K724" i="2" s="1"/>
  <c r="C725" i="2"/>
  <c r="K725" i="2" s="1"/>
  <c r="C726" i="2"/>
  <c r="K726" i="2" s="1"/>
  <c r="C727" i="2"/>
  <c r="K727" i="2" s="1"/>
  <c r="C728" i="2"/>
  <c r="K728" i="2" s="1"/>
  <c r="C729" i="2"/>
  <c r="K729" i="2" s="1"/>
  <c r="C730" i="2"/>
  <c r="K730" i="2" s="1"/>
  <c r="C731" i="2"/>
  <c r="K731" i="2" s="1"/>
  <c r="C732" i="2"/>
  <c r="K732" i="2" s="1"/>
  <c r="C733" i="2"/>
  <c r="K733" i="2" s="1"/>
  <c r="C734" i="2"/>
  <c r="K734" i="2" s="1"/>
  <c r="C735" i="2"/>
  <c r="K735" i="2" s="1"/>
  <c r="C736" i="2"/>
  <c r="K736" i="2" s="1"/>
  <c r="C737" i="2"/>
  <c r="K737" i="2" s="1"/>
  <c r="C738" i="2"/>
  <c r="K738" i="2" s="1"/>
  <c r="C739" i="2"/>
  <c r="K739" i="2" s="1"/>
  <c r="C740" i="2"/>
  <c r="K740" i="2" s="1"/>
  <c r="C741" i="2"/>
  <c r="K741" i="2" s="1"/>
  <c r="C742" i="2"/>
  <c r="K742" i="2" s="1"/>
  <c r="C743" i="2"/>
  <c r="K743" i="2" s="1"/>
  <c r="C744" i="2"/>
  <c r="K744" i="2" s="1"/>
  <c r="C745" i="2"/>
  <c r="K745" i="2" s="1"/>
  <c r="C746" i="2"/>
  <c r="K746" i="2" s="1"/>
  <c r="C747" i="2"/>
  <c r="K747" i="2" s="1"/>
  <c r="C748" i="2"/>
  <c r="K748" i="2" s="1"/>
  <c r="C749" i="2"/>
  <c r="K749" i="2" s="1"/>
  <c r="C750" i="2"/>
  <c r="K750" i="2" s="1"/>
  <c r="C751" i="2"/>
  <c r="K751" i="2" s="1"/>
  <c r="C752" i="2"/>
  <c r="K752" i="2" s="1"/>
  <c r="C753" i="2"/>
  <c r="K753" i="2" s="1"/>
  <c r="C754" i="2"/>
  <c r="K754" i="2" s="1"/>
  <c r="C755" i="2"/>
  <c r="K755" i="2" s="1"/>
  <c r="C756" i="2"/>
  <c r="K756" i="2" s="1"/>
  <c r="C757" i="2"/>
  <c r="K757" i="2" s="1"/>
  <c r="C758" i="2"/>
  <c r="K758" i="2" s="1"/>
  <c r="C759" i="2"/>
  <c r="K759" i="2" s="1"/>
  <c r="C760" i="2"/>
  <c r="K760" i="2" s="1"/>
  <c r="C761" i="2"/>
  <c r="K761" i="2" s="1"/>
  <c r="C762" i="2"/>
  <c r="K762" i="2" s="1"/>
  <c r="C763" i="2"/>
  <c r="K763" i="2" s="1"/>
  <c r="C764" i="2"/>
  <c r="K764" i="2" s="1"/>
  <c r="C765" i="2"/>
  <c r="K765" i="2" s="1"/>
  <c r="C766" i="2"/>
  <c r="K766" i="2" s="1"/>
  <c r="C767" i="2"/>
  <c r="K767" i="2" s="1"/>
  <c r="C768" i="2"/>
  <c r="K768" i="2" s="1"/>
  <c r="C769" i="2"/>
  <c r="K769" i="2" s="1"/>
  <c r="C770" i="2"/>
  <c r="K770" i="2" s="1"/>
  <c r="C771" i="2"/>
  <c r="K771" i="2" s="1"/>
  <c r="C772" i="2"/>
  <c r="K772" i="2" s="1"/>
  <c r="C773" i="2"/>
  <c r="K773" i="2" s="1"/>
  <c r="C774" i="2"/>
  <c r="K774" i="2" s="1"/>
  <c r="C775" i="2"/>
  <c r="K775" i="2" s="1"/>
  <c r="C776" i="2"/>
  <c r="K776" i="2" s="1"/>
  <c r="C777" i="2"/>
  <c r="K777" i="2" s="1"/>
  <c r="C778" i="2"/>
  <c r="K778" i="2" s="1"/>
  <c r="C779" i="2"/>
  <c r="K779" i="2" s="1"/>
  <c r="C780" i="2"/>
  <c r="K780" i="2" s="1"/>
  <c r="C781" i="2"/>
  <c r="K781" i="2" s="1"/>
  <c r="C782" i="2"/>
  <c r="K782" i="2" s="1"/>
  <c r="C783" i="2"/>
  <c r="K783" i="2" s="1"/>
  <c r="C784" i="2"/>
  <c r="K784" i="2" s="1"/>
  <c r="C785" i="2"/>
  <c r="K785" i="2" s="1"/>
  <c r="C786" i="2"/>
  <c r="K786" i="2" s="1"/>
  <c r="C787" i="2"/>
  <c r="K787" i="2" s="1"/>
  <c r="C788" i="2"/>
  <c r="K788" i="2" s="1"/>
  <c r="C789" i="2"/>
  <c r="K789" i="2" s="1"/>
  <c r="C790" i="2"/>
  <c r="K790" i="2" s="1"/>
  <c r="C791" i="2"/>
  <c r="K791" i="2" s="1"/>
  <c r="C792" i="2"/>
  <c r="K792" i="2" s="1"/>
  <c r="C793" i="2"/>
  <c r="K793" i="2" s="1"/>
  <c r="C794" i="2"/>
  <c r="K794" i="2" s="1"/>
  <c r="C795" i="2"/>
  <c r="K795" i="2" s="1"/>
  <c r="C796" i="2"/>
  <c r="K796" i="2" s="1"/>
  <c r="C797" i="2"/>
  <c r="K797" i="2" s="1"/>
  <c r="C798" i="2"/>
  <c r="K798" i="2" s="1"/>
  <c r="C799" i="2"/>
  <c r="K799" i="2" s="1"/>
  <c r="C800" i="2"/>
  <c r="K800" i="2" s="1"/>
  <c r="C801" i="2"/>
  <c r="K801" i="2" s="1"/>
  <c r="C802" i="2"/>
  <c r="K802" i="2" s="1"/>
  <c r="C803" i="2"/>
  <c r="K803" i="2" s="1"/>
  <c r="C804" i="2"/>
  <c r="K804" i="2" s="1"/>
  <c r="C805" i="2"/>
  <c r="K805" i="2" s="1"/>
  <c r="C806" i="2"/>
  <c r="K806" i="2" s="1"/>
  <c r="C807" i="2"/>
  <c r="K807" i="2" s="1"/>
  <c r="C808" i="2"/>
  <c r="K808" i="2" s="1"/>
  <c r="C809" i="2"/>
  <c r="K809" i="2" s="1"/>
  <c r="C810" i="2"/>
  <c r="K810" i="2" s="1"/>
  <c r="C811" i="2"/>
  <c r="K811" i="2" s="1"/>
  <c r="C812" i="2"/>
  <c r="K812" i="2" s="1"/>
  <c r="C813" i="2"/>
  <c r="K813" i="2" s="1"/>
  <c r="C814" i="2"/>
  <c r="K814" i="2" s="1"/>
  <c r="C815" i="2"/>
  <c r="K815" i="2" s="1"/>
  <c r="C816" i="2"/>
  <c r="K816" i="2" s="1"/>
  <c r="C817" i="2"/>
  <c r="K817" i="2" s="1"/>
  <c r="C818" i="2"/>
  <c r="K818" i="2" s="1"/>
  <c r="C819" i="2"/>
  <c r="K819" i="2" s="1"/>
  <c r="C820" i="2"/>
  <c r="K820" i="2" s="1"/>
  <c r="C821" i="2"/>
  <c r="K821" i="2" s="1"/>
  <c r="C822" i="2"/>
  <c r="K822" i="2" s="1"/>
  <c r="C823" i="2"/>
  <c r="K823" i="2" s="1"/>
  <c r="C824" i="2"/>
  <c r="K824" i="2" s="1"/>
  <c r="C825" i="2"/>
  <c r="K825" i="2" s="1"/>
  <c r="C826" i="2"/>
  <c r="K826" i="2" s="1"/>
  <c r="C827" i="2"/>
  <c r="K827" i="2" s="1"/>
  <c r="C828" i="2"/>
  <c r="K828" i="2" s="1"/>
  <c r="C829" i="2"/>
  <c r="K829" i="2" s="1"/>
  <c r="C830" i="2"/>
  <c r="K830" i="2" s="1"/>
  <c r="C831" i="2"/>
  <c r="K831" i="2" s="1"/>
  <c r="C832" i="2"/>
  <c r="K832" i="2" s="1"/>
  <c r="C833" i="2"/>
  <c r="K833" i="2" s="1"/>
  <c r="C834" i="2"/>
  <c r="K834" i="2" s="1"/>
  <c r="C835" i="2"/>
  <c r="K835" i="2" s="1"/>
  <c r="C836" i="2"/>
  <c r="K836" i="2" s="1"/>
  <c r="C837" i="2"/>
  <c r="K837" i="2" s="1"/>
  <c r="C838" i="2"/>
  <c r="K838" i="2" s="1"/>
  <c r="C839" i="2"/>
  <c r="K839" i="2" s="1"/>
  <c r="C840" i="2"/>
  <c r="K840" i="2" s="1"/>
  <c r="C841" i="2"/>
  <c r="K841" i="2" s="1"/>
  <c r="C842" i="2"/>
  <c r="K842" i="2" s="1"/>
  <c r="C843" i="2"/>
  <c r="K843" i="2" s="1"/>
  <c r="C844" i="2"/>
  <c r="K844" i="2" s="1"/>
  <c r="C845" i="2"/>
  <c r="K845" i="2" s="1"/>
  <c r="C846" i="2"/>
  <c r="K846" i="2" s="1"/>
  <c r="C847" i="2"/>
  <c r="K847" i="2" s="1"/>
  <c r="C848" i="2"/>
  <c r="K848" i="2" s="1"/>
  <c r="C849" i="2"/>
  <c r="K849" i="2" s="1"/>
  <c r="C850" i="2"/>
  <c r="K850" i="2" s="1"/>
  <c r="C851" i="2"/>
  <c r="K851" i="2" s="1"/>
  <c r="C852" i="2"/>
  <c r="K852" i="2" s="1"/>
  <c r="C853" i="2"/>
  <c r="K853" i="2" s="1"/>
  <c r="C854" i="2"/>
  <c r="K854" i="2" s="1"/>
  <c r="C855" i="2"/>
  <c r="K855" i="2" s="1"/>
  <c r="C856" i="2"/>
  <c r="K856" i="2" s="1"/>
  <c r="C857" i="2"/>
  <c r="K857" i="2" s="1"/>
  <c r="C858" i="2"/>
  <c r="K858" i="2" s="1"/>
  <c r="C859" i="2"/>
  <c r="K859" i="2" s="1"/>
  <c r="C860" i="2"/>
  <c r="K860" i="2" s="1"/>
  <c r="C861" i="2"/>
  <c r="K861" i="2" s="1"/>
  <c r="C862" i="2"/>
  <c r="K862" i="2" s="1"/>
  <c r="C863" i="2"/>
  <c r="K863" i="2" s="1"/>
  <c r="C864" i="2"/>
  <c r="K864" i="2" s="1"/>
  <c r="C865" i="2"/>
  <c r="K865" i="2" s="1"/>
  <c r="C866" i="2"/>
  <c r="K866" i="2" s="1"/>
  <c r="C867" i="2"/>
  <c r="K867" i="2" s="1"/>
  <c r="C868" i="2"/>
  <c r="K868" i="2" s="1"/>
  <c r="C869" i="2"/>
  <c r="K869" i="2" s="1"/>
  <c r="C870" i="2"/>
  <c r="K870" i="2" s="1"/>
  <c r="C871" i="2"/>
  <c r="K871" i="2" s="1"/>
  <c r="C872" i="2"/>
  <c r="K872" i="2" s="1"/>
  <c r="C873" i="2"/>
  <c r="K873" i="2" s="1"/>
  <c r="C874" i="2"/>
  <c r="K874" i="2" s="1"/>
  <c r="C875" i="2"/>
  <c r="K875" i="2" s="1"/>
  <c r="C876" i="2"/>
  <c r="K876" i="2" s="1"/>
  <c r="C877" i="2"/>
  <c r="K877" i="2" s="1"/>
  <c r="C878" i="2"/>
  <c r="K878" i="2" s="1"/>
  <c r="C879" i="2"/>
  <c r="K879" i="2" s="1"/>
  <c r="C880" i="2"/>
  <c r="K880" i="2" s="1"/>
  <c r="C881" i="2"/>
  <c r="K881" i="2" s="1"/>
  <c r="C882" i="2"/>
  <c r="K882" i="2" s="1"/>
  <c r="C883" i="2"/>
  <c r="K883" i="2" s="1"/>
  <c r="C884" i="2"/>
  <c r="K884" i="2" s="1"/>
  <c r="C885" i="2"/>
  <c r="K885" i="2" s="1"/>
  <c r="C886" i="2"/>
  <c r="K886" i="2" s="1"/>
  <c r="C887" i="2"/>
  <c r="K887" i="2" s="1"/>
  <c r="C888" i="2"/>
  <c r="K888" i="2" s="1"/>
  <c r="C889" i="2"/>
  <c r="K889" i="2" s="1"/>
  <c r="C890" i="2"/>
  <c r="K890" i="2" s="1"/>
  <c r="C891" i="2"/>
  <c r="K891" i="2" s="1"/>
  <c r="C892" i="2"/>
  <c r="K892" i="2" s="1"/>
  <c r="C893" i="2"/>
  <c r="K893" i="2" s="1"/>
  <c r="C894" i="2"/>
  <c r="K894" i="2" s="1"/>
  <c r="C895" i="2"/>
  <c r="K895" i="2" s="1"/>
  <c r="C896" i="2"/>
  <c r="K896" i="2" s="1"/>
  <c r="C897" i="2"/>
  <c r="K897" i="2" s="1"/>
  <c r="C898" i="2"/>
  <c r="K898" i="2" s="1"/>
  <c r="C899" i="2"/>
  <c r="K899" i="2" s="1"/>
  <c r="C900" i="2"/>
  <c r="K900" i="2" s="1"/>
  <c r="C901" i="2"/>
  <c r="K901" i="2" s="1"/>
  <c r="C902" i="2"/>
  <c r="K902" i="2" s="1"/>
  <c r="C903" i="2"/>
  <c r="K903" i="2" s="1"/>
  <c r="C904" i="2"/>
  <c r="K904" i="2" s="1"/>
  <c r="C905" i="2"/>
  <c r="K905" i="2" s="1"/>
  <c r="C906" i="2"/>
  <c r="K906" i="2" s="1"/>
  <c r="C907" i="2"/>
  <c r="K907" i="2" s="1"/>
  <c r="C908" i="2"/>
  <c r="K908" i="2" s="1"/>
  <c r="C909" i="2"/>
  <c r="K909" i="2" s="1"/>
  <c r="C910" i="2"/>
  <c r="K910" i="2" s="1"/>
  <c r="C911" i="2"/>
  <c r="K911" i="2" s="1"/>
  <c r="C912" i="2"/>
  <c r="K912" i="2" s="1"/>
  <c r="C913" i="2"/>
  <c r="K913" i="2" s="1"/>
  <c r="C914" i="2"/>
  <c r="K914" i="2" s="1"/>
  <c r="C915" i="2"/>
  <c r="K915" i="2" s="1"/>
  <c r="C916" i="2"/>
  <c r="K916" i="2" s="1"/>
  <c r="C917" i="2"/>
  <c r="K917" i="2" s="1"/>
  <c r="C918" i="2"/>
  <c r="K918" i="2" s="1"/>
  <c r="C919" i="2"/>
  <c r="K919" i="2" s="1"/>
  <c r="C920" i="2"/>
  <c r="K920" i="2" s="1"/>
  <c r="C921" i="2"/>
  <c r="K921" i="2" s="1"/>
  <c r="C922" i="2"/>
  <c r="K922" i="2" s="1"/>
  <c r="C923" i="2"/>
  <c r="K923" i="2" s="1"/>
  <c r="C924" i="2"/>
  <c r="K924" i="2" s="1"/>
  <c r="C925" i="2"/>
  <c r="K925" i="2" s="1"/>
  <c r="C926" i="2"/>
  <c r="K926" i="2" s="1"/>
  <c r="C927" i="2"/>
  <c r="K927" i="2" s="1"/>
  <c r="C928" i="2"/>
  <c r="K928" i="2" s="1"/>
  <c r="C929" i="2"/>
  <c r="K929" i="2" s="1"/>
  <c r="C930" i="2"/>
  <c r="K930" i="2" s="1"/>
  <c r="C931" i="2"/>
  <c r="K931" i="2" s="1"/>
  <c r="C932" i="2"/>
  <c r="K932" i="2" s="1"/>
  <c r="C933" i="2"/>
  <c r="K933" i="2" s="1"/>
  <c r="C934" i="2"/>
  <c r="K934" i="2" s="1"/>
  <c r="C935" i="2"/>
  <c r="K935" i="2" s="1"/>
  <c r="C936" i="2"/>
  <c r="K936" i="2" s="1"/>
  <c r="C937" i="2"/>
  <c r="K937" i="2" s="1"/>
  <c r="C938" i="2"/>
  <c r="K938" i="2" s="1"/>
  <c r="C939" i="2"/>
  <c r="K939" i="2" s="1"/>
  <c r="C940" i="2"/>
  <c r="K940" i="2" s="1"/>
  <c r="C941" i="2"/>
  <c r="K941" i="2" s="1"/>
  <c r="C942" i="2"/>
  <c r="K942" i="2" s="1"/>
  <c r="C943" i="2"/>
  <c r="K943" i="2" s="1"/>
  <c r="C944" i="2"/>
  <c r="K944" i="2" s="1"/>
  <c r="C945" i="2"/>
  <c r="K945" i="2" s="1"/>
  <c r="C946" i="2"/>
  <c r="K946" i="2" s="1"/>
  <c r="C947" i="2"/>
  <c r="K947" i="2" s="1"/>
  <c r="C948" i="2"/>
  <c r="K948" i="2" s="1"/>
  <c r="C949" i="2"/>
  <c r="K949" i="2" s="1"/>
  <c r="C950" i="2"/>
  <c r="K950" i="2" s="1"/>
  <c r="C951" i="2"/>
  <c r="K951" i="2" s="1"/>
  <c r="C952" i="2"/>
  <c r="K952" i="2" s="1"/>
  <c r="C953" i="2"/>
  <c r="K953" i="2" s="1"/>
  <c r="C954" i="2"/>
  <c r="K954" i="2" s="1"/>
  <c r="C955" i="2"/>
  <c r="K955" i="2" s="1"/>
  <c r="C956" i="2"/>
  <c r="K956" i="2" s="1"/>
  <c r="C957" i="2"/>
  <c r="K957" i="2" s="1"/>
  <c r="C958" i="2"/>
  <c r="K958" i="2" s="1"/>
  <c r="C959" i="2"/>
  <c r="K959" i="2" s="1"/>
  <c r="C960" i="2"/>
  <c r="K960" i="2" s="1"/>
  <c r="C961" i="2"/>
  <c r="K961" i="2" s="1"/>
  <c r="C962" i="2"/>
  <c r="K962" i="2" s="1"/>
  <c r="C963" i="2"/>
  <c r="K963" i="2" s="1"/>
  <c r="C964" i="2"/>
  <c r="K964" i="2" s="1"/>
  <c r="C965" i="2"/>
  <c r="K965" i="2" s="1"/>
  <c r="C966" i="2"/>
  <c r="K966" i="2" s="1"/>
  <c r="C967" i="2"/>
  <c r="K967" i="2" s="1"/>
  <c r="C968" i="2"/>
  <c r="K968" i="2" s="1"/>
  <c r="C969" i="2"/>
  <c r="K969" i="2" s="1"/>
  <c r="C970" i="2"/>
  <c r="K970" i="2" s="1"/>
  <c r="C971" i="2"/>
  <c r="K971" i="2" s="1"/>
  <c r="C972" i="2"/>
  <c r="K972" i="2" s="1"/>
  <c r="C973" i="2"/>
  <c r="K973" i="2" s="1"/>
  <c r="C974" i="2"/>
  <c r="K974" i="2" s="1"/>
  <c r="C975" i="2"/>
  <c r="K975" i="2" s="1"/>
  <c r="C976" i="2"/>
  <c r="K976" i="2" s="1"/>
  <c r="C977" i="2"/>
  <c r="K977" i="2" s="1"/>
  <c r="C978" i="2"/>
  <c r="K978" i="2" s="1"/>
  <c r="C979" i="2"/>
  <c r="K979" i="2" s="1"/>
  <c r="C980" i="2"/>
  <c r="K980" i="2" s="1"/>
  <c r="C981" i="2"/>
  <c r="K981" i="2" s="1"/>
  <c r="C982" i="2"/>
  <c r="K982" i="2" s="1"/>
  <c r="C983" i="2"/>
  <c r="K983" i="2" s="1"/>
  <c r="C984" i="2"/>
  <c r="K984" i="2" s="1"/>
  <c r="C985" i="2"/>
  <c r="K985" i="2" s="1"/>
  <c r="C986" i="2"/>
  <c r="K986" i="2" s="1"/>
  <c r="C987" i="2"/>
  <c r="K987" i="2" s="1"/>
  <c r="C988" i="2"/>
  <c r="K988" i="2" s="1"/>
  <c r="C989" i="2"/>
  <c r="K989" i="2" s="1"/>
  <c r="C990" i="2"/>
  <c r="K990" i="2" s="1"/>
  <c r="C991" i="2"/>
  <c r="K991" i="2" s="1"/>
  <c r="C992" i="2"/>
  <c r="K992" i="2" s="1"/>
  <c r="C993" i="2"/>
  <c r="K993" i="2" s="1"/>
  <c r="C994" i="2"/>
  <c r="K994" i="2" s="1"/>
  <c r="C995" i="2"/>
  <c r="K995" i="2" s="1"/>
  <c r="C996" i="2"/>
  <c r="K996" i="2" s="1"/>
  <c r="C997" i="2"/>
  <c r="K997" i="2" s="1"/>
  <c r="C998" i="2"/>
  <c r="K998" i="2" s="1"/>
  <c r="C999" i="2"/>
  <c r="K999" i="2" s="1"/>
  <c r="C1000" i="2"/>
  <c r="K1000" i="2" s="1"/>
  <c r="C1001" i="2"/>
  <c r="K1001" i="2" s="1"/>
  <c r="C1002" i="2"/>
  <c r="K1002" i="2" s="1"/>
  <c r="C1003" i="2"/>
  <c r="K1003" i="2" s="1"/>
  <c r="C1004" i="2"/>
  <c r="K1004" i="2" s="1"/>
  <c r="C1005" i="2"/>
  <c r="K1005" i="2" s="1"/>
  <c r="C1006" i="2"/>
  <c r="K1006" i="2" s="1"/>
  <c r="C1007" i="2"/>
  <c r="K1007" i="2" s="1"/>
  <c r="C1008" i="2"/>
  <c r="K1008" i="2" s="1"/>
  <c r="C1009" i="2"/>
  <c r="K1009" i="2" s="1"/>
  <c r="C1010" i="2"/>
  <c r="K1010" i="2" s="1"/>
  <c r="C1011" i="2"/>
  <c r="K1011" i="2" s="1"/>
  <c r="C1012" i="2"/>
  <c r="K1012" i="2" s="1"/>
  <c r="C1013" i="2"/>
  <c r="K1013" i="2" s="1"/>
  <c r="C1014" i="2"/>
  <c r="K1014" i="2" s="1"/>
  <c r="C1015" i="2"/>
  <c r="K1015" i="2" s="1"/>
  <c r="C1016" i="2"/>
  <c r="K1016" i="2" s="1"/>
  <c r="C1017" i="2"/>
  <c r="K1017" i="2" s="1"/>
  <c r="C1018" i="2"/>
  <c r="K1018" i="2" s="1"/>
  <c r="C1019" i="2"/>
  <c r="K1019" i="2" s="1"/>
  <c r="C1020" i="2"/>
  <c r="K1020" i="2" s="1"/>
  <c r="C1021" i="2"/>
  <c r="K1021" i="2" s="1"/>
  <c r="C1022" i="2"/>
  <c r="K1022" i="2" s="1"/>
  <c r="C1023" i="2"/>
  <c r="K1023" i="2" s="1"/>
  <c r="C1024" i="2"/>
  <c r="K1024" i="2" s="1"/>
  <c r="C1025" i="2"/>
  <c r="K1025" i="2" s="1"/>
  <c r="C1026" i="2"/>
  <c r="K1026" i="2" s="1"/>
  <c r="C1027" i="2"/>
  <c r="K1027" i="2" s="1"/>
  <c r="C1028" i="2"/>
  <c r="K1028" i="2" s="1"/>
  <c r="C1029" i="2"/>
  <c r="K1029" i="2" s="1"/>
  <c r="C1030" i="2"/>
  <c r="K1030" i="2" s="1"/>
  <c r="C1031" i="2"/>
  <c r="K1031" i="2" s="1"/>
  <c r="C1032" i="2"/>
  <c r="K1032" i="2" s="1"/>
  <c r="C1033" i="2"/>
  <c r="K1033" i="2" s="1"/>
  <c r="C1034" i="2"/>
  <c r="K1034" i="2" s="1"/>
  <c r="C1035" i="2"/>
  <c r="K1035" i="2" s="1"/>
  <c r="C1036" i="2"/>
  <c r="K1036" i="2" s="1"/>
  <c r="C1037" i="2"/>
  <c r="K1037" i="2" s="1"/>
  <c r="C1038" i="2"/>
  <c r="K1038" i="2" s="1"/>
  <c r="C1039" i="2"/>
  <c r="K1039" i="2" s="1"/>
  <c r="C1040" i="2"/>
  <c r="K1040" i="2" s="1"/>
  <c r="C1041" i="2"/>
  <c r="K1041" i="2" s="1"/>
  <c r="C1042" i="2"/>
  <c r="K1042" i="2" s="1"/>
  <c r="C1043" i="2"/>
  <c r="K1043" i="2" s="1"/>
  <c r="C1044" i="2"/>
  <c r="K1044" i="2" s="1"/>
  <c r="C1045" i="2"/>
  <c r="K1045" i="2" s="1"/>
  <c r="C1046" i="2"/>
  <c r="K1046" i="2" s="1"/>
  <c r="C1047" i="2"/>
  <c r="K1047" i="2" s="1"/>
  <c r="C1048" i="2"/>
  <c r="K1048" i="2" s="1"/>
  <c r="C1049" i="2"/>
  <c r="K1049" i="2" s="1"/>
  <c r="C1050" i="2"/>
  <c r="K1050" i="2" s="1"/>
  <c r="C1051" i="2"/>
  <c r="K1051" i="2" s="1"/>
  <c r="C1052" i="2"/>
  <c r="K1052" i="2" s="1"/>
  <c r="C1053" i="2"/>
  <c r="K1053" i="2" s="1"/>
  <c r="C1054" i="2"/>
  <c r="K1054" i="2" s="1"/>
  <c r="C1055" i="2"/>
  <c r="K1055" i="2" s="1"/>
  <c r="C1056" i="2"/>
  <c r="K1056" i="2" s="1"/>
  <c r="C1057" i="2"/>
  <c r="K1057" i="2" s="1"/>
  <c r="C1058" i="2"/>
  <c r="K1058" i="2" s="1"/>
  <c r="C1059" i="2"/>
  <c r="K1059" i="2" s="1"/>
  <c r="C1060" i="2"/>
  <c r="K1060" i="2" s="1"/>
  <c r="C1061" i="2"/>
  <c r="K1061" i="2" s="1"/>
  <c r="C1062" i="2"/>
  <c r="K1062" i="2" s="1"/>
  <c r="C1063" i="2"/>
  <c r="K1063" i="2" s="1"/>
  <c r="C1064" i="2"/>
  <c r="K1064" i="2" s="1"/>
  <c r="C1065" i="2"/>
  <c r="K1065" i="2" s="1"/>
  <c r="C1066" i="2"/>
  <c r="K1066" i="2" s="1"/>
  <c r="C1067" i="2"/>
  <c r="K1067" i="2" s="1"/>
  <c r="C1068" i="2"/>
  <c r="K1068" i="2" s="1"/>
  <c r="C1069" i="2"/>
  <c r="K1069" i="2" s="1"/>
  <c r="C1070" i="2"/>
  <c r="K1070" i="2" s="1"/>
  <c r="C1071" i="2"/>
  <c r="K1071" i="2" s="1"/>
  <c r="C1072" i="2"/>
  <c r="K1072" i="2" s="1"/>
  <c r="C1073" i="2"/>
  <c r="K1073" i="2" s="1"/>
  <c r="C1074" i="2"/>
  <c r="K1074" i="2" s="1"/>
  <c r="C1075" i="2"/>
  <c r="K1075" i="2" s="1"/>
  <c r="C1076" i="2"/>
  <c r="K1076" i="2" s="1"/>
  <c r="C1077" i="2"/>
  <c r="K1077" i="2" s="1"/>
  <c r="C1078" i="2"/>
  <c r="K1078" i="2" s="1"/>
  <c r="C1079" i="2"/>
  <c r="K1079" i="2" s="1"/>
  <c r="C1080" i="2"/>
  <c r="K1080" i="2" s="1"/>
  <c r="C1081" i="2"/>
  <c r="K1081" i="2" s="1"/>
  <c r="C1082" i="2"/>
  <c r="K1082" i="2" s="1"/>
  <c r="C1083" i="2"/>
  <c r="K1083" i="2" s="1"/>
  <c r="C1084" i="2"/>
  <c r="K1084" i="2" s="1"/>
  <c r="C1085" i="2"/>
  <c r="K1085" i="2" s="1"/>
  <c r="C1086" i="2"/>
  <c r="K1086" i="2" s="1"/>
  <c r="C1087" i="2"/>
  <c r="K1087" i="2" s="1"/>
  <c r="C1088" i="2"/>
  <c r="K1088" i="2" s="1"/>
  <c r="C1089" i="2"/>
  <c r="K1089" i="2" s="1"/>
  <c r="C1090" i="2"/>
  <c r="K1090" i="2" s="1"/>
  <c r="C1091" i="2"/>
  <c r="K1091" i="2" s="1"/>
  <c r="C1092" i="2"/>
  <c r="K1092" i="2" s="1"/>
  <c r="C1093" i="2"/>
  <c r="K1093" i="2" s="1"/>
  <c r="C1094" i="2"/>
  <c r="K1094" i="2" s="1"/>
  <c r="C1095" i="2"/>
  <c r="K1095" i="2" s="1"/>
  <c r="C1096" i="2"/>
  <c r="K1096" i="2" s="1"/>
  <c r="C1097" i="2"/>
  <c r="K1097" i="2" s="1"/>
  <c r="C1098" i="2"/>
  <c r="K1098" i="2" s="1"/>
  <c r="C1099" i="2"/>
  <c r="K1099" i="2" s="1"/>
  <c r="C1100" i="2"/>
  <c r="K1100" i="2" s="1"/>
  <c r="C1101" i="2"/>
  <c r="K1101" i="2" s="1"/>
  <c r="C1102" i="2"/>
  <c r="K1102" i="2" s="1"/>
  <c r="C1103" i="2"/>
  <c r="K1103" i="2" s="1"/>
  <c r="C1104" i="2"/>
  <c r="K1104" i="2" s="1"/>
  <c r="C1105" i="2"/>
  <c r="K1105" i="2" s="1"/>
  <c r="C1106" i="2"/>
  <c r="K1106" i="2" s="1"/>
  <c r="C1107" i="2"/>
  <c r="K1107" i="2" s="1"/>
  <c r="C1108" i="2"/>
  <c r="K1108" i="2" s="1"/>
  <c r="C1109" i="2"/>
  <c r="K1109" i="2" s="1"/>
  <c r="C1110" i="2"/>
  <c r="K1110" i="2" s="1"/>
  <c r="C1111" i="2"/>
  <c r="K1111" i="2" s="1"/>
  <c r="C1112" i="2"/>
  <c r="K1112" i="2" s="1"/>
  <c r="C1113" i="2"/>
  <c r="K1113" i="2" s="1"/>
  <c r="C1114" i="2"/>
  <c r="K1114" i="2" s="1"/>
  <c r="C1115" i="2"/>
  <c r="K1115" i="2" s="1"/>
  <c r="C1116" i="2"/>
  <c r="K1116" i="2" s="1"/>
  <c r="C1117" i="2"/>
  <c r="K1117" i="2" s="1"/>
  <c r="C1118" i="2"/>
  <c r="K1118" i="2" s="1"/>
  <c r="C1119" i="2"/>
  <c r="K1119" i="2" s="1"/>
  <c r="C1120" i="2"/>
  <c r="K1120" i="2" s="1"/>
  <c r="C1121" i="2"/>
  <c r="K1121" i="2" s="1"/>
  <c r="C1122" i="2"/>
  <c r="K1122" i="2" s="1"/>
  <c r="C1123" i="2"/>
  <c r="K1123" i="2" s="1"/>
  <c r="C1124" i="2"/>
  <c r="K1124" i="2" s="1"/>
  <c r="C1125" i="2"/>
  <c r="K1125" i="2" s="1"/>
  <c r="C1126" i="2"/>
  <c r="K1126" i="2" s="1"/>
  <c r="C1127" i="2"/>
  <c r="K1127" i="2" s="1"/>
  <c r="C1128" i="2"/>
  <c r="K1128" i="2" s="1"/>
  <c r="C1129" i="2"/>
  <c r="K1129" i="2" s="1"/>
  <c r="C1130" i="2"/>
  <c r="K1130" i="2" s="1"/>
  <c r="C1131" i="2"/>
  <c r="K1131" i="2" s="1"/>
  <c r="C1132" i="2"/>
  <c r="K1132" i="2" s="1"/>
  <c r="C1133" i="2"/>
  <c r="K1133" i="2" s="1"/>
  <c r="C1134" i="2"/>
  <c r="K1134" i="2" s="1"/>
  <c r="C1135" i="2"/>
  <c r="K1135" i="2" s="1"/>
  <c r="C1136" i="2"/>
  <c r="K1136" i="2" s="1"/>
  <c r="C1137" i="2"/>
  <c r="K1137" i="2" s="1"/>
  <c r="C1138" i="2"/>
  <c r="K1138" i="2" s="1"/>
  <c r="C1139" i="2"/>
  <c r="K1139" i="2" s="1"/>
  <c r="C1140" i="2"/>
  <c r="K1140" i="2" s="1"/>
  <c r="C1141" i="2"/>
  <c r="K1141" i="2" s="1"/>
  <c r="C1142" i="2"/>
  <c r="K1142" i="2" s="1"/>
  <c r="C1143" i="2"/>
  <c r="K1143" i="2" s="1"/>
  <c r="C1144" i="2"/>
  <c r="K1144" i="2" s="1"/>
  <c r="C1145" i="2"/>
  <c r="K1145" i="2" s="1"/>
  <c r="C1146" i="2"/>
  <c r="K1146" i="2" s="1"/>
  <c r="C1147" i="2"/>
  <c r="K1147" i="2" s="1"/>
  <c r="C1148" i="2"/>
  <c r="K1148" i="2" s="1"/>
  <c r="C1149" i="2"/>
  <c r="K1149" i="2" s="1"/>
  <c r="C1150" i="2"/>
  <c r="K1150" i="2" s="1"/>
  <c r="C1151" i="2"/>
  <c r="K1151" i="2" s="1"/>
  <c r="C1152" i="2"/>
  <c r="K1152" i="2" s="1"/>
  <c r="C1153" i="2"/>
  <c r="K1153" i="2" s="1"/>
  <c r="C1154" i="2"/>
  <c r="K1154" i="2" s="1"/>
  <c r="C1155" i="2"/>
  <c r="K1155" i="2" s="1"/>
  <c r="C1156" i="2"/>
  <c r="K1156" i="2" s="1"/>
  <c r="C1157" i="2"/>
  <c r="K1157" i="2" s="1"/>
  <c r="C1158" i="2"/>
  <c r="K1158" i="2" s="1"/>
  <c r="C1159" i="2"/>
  <c r="K1159" i="2" s="1"/>
  <c r="C1160" i="2"/>
  <c r="K1160" i="2" s="1"/>
  <c r="C1161" i="2"/>
  <c r="K1161" i="2" s="1"/>
  <c r="C1162" i="2"/>
  <c r="K1162" i="2" s="1"/>
  <c r="C1163" i="2"/>
  <c r="K1163" i="2" s="1"/>
  <c r="C1164" i="2"/>
  <c r="K1164" i="2" s="1"/>
  <c r="C1165" i="2"/>
  <c r="K1165" i="2" s="1"/>
  <c r="C1166" i="2"/>
  <c r="K1166" i="2" s="1"/>
  <c r="C1167" i="2"/>
  <c r="K1167" i="2" s="1"/>
  <c r="C1168" i="2"/>
  <c r="K1168" i="2" s="1"/>
  <c r="C1169" i="2"/>
  <c r="K1169" i="2" s="1"/>
  <c r="C1170" i="2"/>
  <c r="K1170" i="2" s="1"/>
  <c r="C1171" i="2"/>
  <c r="K1171" i="2" s="1"/>
  <c r="C1172" i="2"/>
  <c r="K1172" i="2" s="1"/>
  <c r="C1173" i="2"/>
  <c r="K1173" i="2" s="1"/>
  <c r="C1174" i="2"/>
  <c r="K1174" i="2" s="1"/>
  <c r="C1175" i="2"/>
  <c r="K1175" i="2" s="1"/>
  <c r="C1176" i="2"/>
  <c r="K1176" i="2" s="1"/>
  <c r="C1177" i="2"/>
  <c r="K1177" i="2" s="1"/>
  <c r="C1178" i="2"/>
  <c r="K1178" i="2" s="1"/>
  <c r="C1179" i="2"/>
  <c r="K1179" i="2" s="1"/>
  <c r="C1180" i="2"/>
  <c r="K1180" i="2" s="1"/>
  <c r="C1181" i="2"/>
  <c r="K1181" i="2" s="1"/>
  <c r="C1182" i="2"/>
  <c r="K1182" i="2" s="1"/>
  <c r="C1183" i="2"/>
  <c r="K1183" i="2" s="1"/>
  <c r="C1184" i="2"/>
  <c r="K1184" i="2" s="1"/>
  <c r="C1185" i="2"/>
  <c r="K1185" i="2" s="1"/>
  <c r="C1186" i="2"/>
  <c r="K1186" i="2" s="1"/>
  <c r="C1187" i="2"/>
  <c r="K1187" i="2" s="1"/>
  <c r="C1188" i="2"/>
  <c r="K1188" i="2" s="1"/>
  <c r="C1189" i="2"/>
  <c r="K1189" i="2" s="1"/>
  <c r="C1190" i="2"/>
  <c r="K1190" i="2" s="1"/>
  <c r="C1191" i="2"/>
  <c r="K1191" i="2" s="1"/>
  <c r="C1192" i="2"/>
  <c r="K1192" i="2" s="1"/>
  <c r="C1193" i="2"/>
  <c r="K1193" i="2" s="1"/>
  <c r="C1194" i="2"/>
  <c r="K1194" i="2" s="1"/>
  <c r="C1195" i="2"/>
  <c r="K1195" i="2" s="1"/>
  <c r="C1196" i="2"/>
  <c r="K1196" i="2" s="1"/>
  <c r="C1197" i="2"/>
  <c r="K1197" i="2" s="1"/>
  <c r="C1198" i="2"/>
  <c r="K1198" i="2" s="1"/>
  <c r="C1199" i="2"/>
  <c r="K1199" i="2" s="1"/>
  <c r="C1200" i="2"/>
  <c r="K1200" i="2" s="1"/>
  <c r="C1201" i="2"/>
  <c r="K1201" i="2" s="1"/>
  <c r="C1202" i="2"/>
  <c r="K1202" i="2" s="1"/>
  <c r="C1203" i="2"/>
  <c r="K1203" i="2" s="1"/>
  <c r="C1204" i="2"/>
  <c r="K1204" i="2" s="1"/>
  <c r="C1205" i="2"/>
  <c r="K1205" i="2" s="1"/>
  <c r="C1206" i="2"/>
  <c r="K1206" i="2" s="1"/>
  <c r="C1207" i="2"/>
  <c r="K1207" i="2" s="1"/>
  <c r="C1208" i="2"/>
  <c r="K1208" i="2" s="1"/>
  <c r="C1209" i="2"/>
  <c r="K1209" i="2" s="1"/>
  <c r="C1210" i="2"/>
  <c r="K1210" i="2" s="1"/>
  <c r="C1211" i="2"/>
  <c r="K1211" i="2" s="1"/>
  <c r="C1212" i="2"/>
  <c r="K1212" i="2" s="1"/>
  <c r="C1213" i="2"/>
  <c r="K1213" i="2" s="1"/>
  <c r="C1214" i="2"/>
  <c r="K1214" i="2" s="1"/>
  <c r="C1215" i="2"/>
  <c r="K1215" i="2" s="1"/>
  <c r="C1216" i="2"/>
  <c r="K1216" i="2" s="1"/>
  <c r="C1217" i="2"/>
  <c r="K1217" i="2" s="1"/>
  <c r="C1218" i="2"/>
  <c r="K1218" i="2" s="1"/>
  <c r="C1219" i="2"/>
  <c r="K1219" i="2" s="1"/>
  <c r="C1220" i="2"/>
  <c r="K1220" i="2" s="1"/>
  <c r="C1221" i="2"/>
  <c r="K1221" i="2" s="1"/>
  <c r="C1222" i="2"/>
  <c r="K1222" i="2" s="1"/>
  <c r="C1223" i="2"/>
  <c r="K1223" i="2" s="1"/>
  <c r="C1224" i="2"/>
  <c r="K1224" i="2" s="1"/>
  <c r="C1225" i="2"/>
  <c r="K1225" i="2" s="1"/>
  <c r="C1226" i="2"/>
  <c r="K1226" i="2" s="1"/>
  <c r="C1227" i="2"/>
  <c r="K1227" i="2" s="1"/>
  <c r="C1228" i="2"/>
  <c r="K1228" i="2" s="1"/>
  <c r="C1229" i="2"/>
  <c r="K1229" i="2" s="1"/>
  <c r="C1230" i="2"/>
  <c r="K1230" i="2" s="1"/>
  <c r="C1231" i="2"/>
  <c r="K1231" i="2" s="1"/>
  <c r="C1232" i="2"/>
  <c r="K1232" i="2" s="1"/>
  <c r="C1233" i="2"/>
  <c r="K1233" i="2" s="1"/>
  <c r="C1234" i="2"/>
  <c r="K1234" i="2" s="1"/>
  <c r="C1235" i="2"/>
  <c r="K1235" i="2" s="1"/>
  <c r="C1236" i="2"/>
  <c r="K1236" i="2" s="1"/>
  <c r="C1237" i="2"/>
  <c r="K1237" i="2" s="1"/>
  <c r="C1238" i="2"/>
  <c r="K1238" i="2" s="1"/>
  <c r="C1239" i="2"/>
  <c r="K1239" i="2" s="1"/>
  <c r="C1240" i="2"/>
  <c r="K1240" i="2" s="1"/>
  <c r="C1241" i="2"/>
  <c r="K1241" i="2" s="1"/>
  <c r="C1242" i="2"/>
  <c r="K1242" i="2" s="1"/>
  <c r="C1243" i="2"/>
  <c r="K1243" i="2" s="1"/>
  <c r="C1244" i="2"/>
  <c r="K1244" i="2" s="1"/>
  <c r="C1245" i="2"/>
  <c r="K1245" i="2" s="1"/>
  <c r="C1246" i="2"/>
  <c r="K1246" i="2" s="1"/>
  <c r="C1247" i="2"/>
  <c r="K1247" i="2" s="1"/>
  <c r="C1248" i="2"/>
  <c r="K1248" i="2" s="1"/>
  <c r="C1249" i="2"/>
  <c r="K1249" i="2" s="1"/>
  <c r="C1250" i="2"/>
  <c r="K1250" i="2" s="1"/>
  <c r="C1251" i="2"/>
  <c r="K1251" i="2" s="1"/>
  <c r="C1252" i="2"/>
  <c r="K1252" i="2" s="1"/>
  <c r="C1253" i="2"/>
  <c r="K1253" i="2" s="1"/>
  <c r="C1254" i="2"/>
  <c r="K1254" i="2" s="1"/>
  <c r="C1255" i="2"/>
  <c r="K1255" i="2" s="1"/>
  <c r="C1256" i="2"/>
  <c r="K1256" i="2" s="1"/>
  <c r="C1257" i="2"/>
  <c r="K1257" i="2" s="1"/>
  <c r="C1258" i="2"/>
  <c r="K1258" i="2" s="1"/>
  <c r="C1259" i="2"/>
  <c r="K1259" i="2" s="1"/>
  <c r="C1260" i="2"/>
  <c r="K1260" i="2" s="1"/>
  <c r="C1261" i="2"/>
  <c r="K1261" i="2" s="1"/>
  <c r="C1262" i="2"/>
  <c r="K1262" i="2" s="1"/>
  <c r="C1263" i="2"/>
  <c r="K1263" i="2" s="1"/>
  <c r="C1264" i="2"/>
  <c r="K1264" i="2" s="1"/>
  <c r="C1265" i="2"/>
  <c r="K1265" i="2" s="1"/>
  <c r="C1266" i="2"/>
  <c r="K1266" i="2" s="1"/>
  <c r="C1267" i="2"/>
  <c r="K1267" i="2" s="1"/>
  <c r="C1268" i="2"/>
  <c r="K1268" i="2" s="1"/>
  <c r="C1269" i="2"/>
  <c r="K1269" i="2" s="1"/>
  <c r="C1270" i="2"/>
  <c r="K1270" i="2" s="1"/>
  <c r="C1271" i="2"/>
  <c r="K1271" i="2" s="1"/>
  <c r="C1272" i="2"/>
  <c r="K1272" i="2" s="1"/>
  <c r="C1273" i="2"/>
  <c r="K1273" i="2" s="1"/>
  <c r="C1274" i="2"/>
  <c r="K1274" i="2" s="1"/>
  <c r="C1275" i="2"/>
  <c r="K1275" i="2" s="1"/>
  <c r="C1276" i="2"/>
  <c r="K1276" i="2" s="1"/>
  <c r="C1277" i="2"/>
  <c r="K1277" i="2" s="1"/>
  <c r="C1278" i="2"/>
  <c r="K1278" i="2" s="1"/>
  <c r="C1279" i="2"/>
  <c r="K1279" i="2" s="1"/>
  <c r="C1280" i="2"/>
  <c r="K1280" i="2" s="1"/>
  <c r="C1281" i="2"/>
  <c r="K1281" i="2" s="1"/>
  <c r="C1282" i="2"/>
  <c r="K1282" i="2" s="1"/>
  <c r="C1283" i="2"/>
  <c r="K1283" i="2" s="1"/>
  <c r="C1284" i="2"/>
  <c r="K1284" i="2" s="1"/>
  <c r="C1285" i="2"/>
  <c r="K1285" i="2" s="1"/>
  <c r="C1286" i="2"/>
  <c r="K1286" i="2" s="1"/>
  <c r="C1287" i="2"/>
  <c r="K1287" i="2" s="1"/>
  <c r="C1288" i="2"/>
  <c r="K1288" i="2" s="1"/>
  <c r="C1289" i="2"/>
  <c r="K1289" i="2" s="1"/>
  <c r="C1290" i="2"/>
  <c r="K1290" i="2" s="1"/>
  <c r="C1291" i="2"/>
  <c r="K1291" i="2" s="1"/>
  <c r="C1292" i="2"/>
  <c r="K1292" i="2" s="1"/>
  <c r="C1293" i="2"/>
  <c r="K1293" i="2" s="1"/>
  <c r="C1294" i="2"/>
  <c r="K1294" i="2" s="1"/>
  <c r="C1295" i="2"/>
  <c r="K1295" i="2" s="1"/>
  <c r="C1296" i="2"/>
  <c r="K1296" i="2" s="1"/>
  <c r="C1297" i="2"/>
  <c r="K1297" i="2" s="1"/>
  <c r="C1298" i="2"/>
  <c r="K1298" i="2" s="1"/>
  <c r="C1299" i="2"/>
  <c r="K1299" i="2" s="1"/>
  <c r="C1300" i="2"/>
  <c r="K1300" i="2" s="1"/>
  <c r="C1301" i="2"/>
  <c r="K1301" i="2" s="1"/>
  <c r="C1302" i="2"/>
  <c r="K1302" i="2" s="1"/>
  <c r="C1303" i="2"/>
  <c r="K1303" i="2" s="1"/>
  <c r="C1304" i="2"/>
  <c r="K1304" i="2" s="1"/>
  <c r="C1305" i="2"/>
  <c r="K1305" i="2" s="1"/>
  <c r="C1306" i="2"/>
  <c r="K1306" i="2" s="1"/>
  <c r="C1307" i="2"/>
  <c r="K1307" i="2" s="1"/>
  <c r="C1308" i="2"/>
  <c r="K1308" i="2" s="1"/>
  <c r="C1309" i="2"/>
  <c r="K1309" i="2" s="1"/>
  <c r="C1310" i="2"/>
  <c r="K1310" i="2" s="1"/>
  <c r="C1311" i="2"/>
  <c r="K1311" i="2" s="1"/>
  <c r="C1312" i="2"/>
  <c r="K1312" i="2" s="1"/>
  <c r="C1313" i="2"/>
  <c r="K1313" i="2" s="1"/>
  <c r="C1314" i="2"/>
  <c r="K1314" i="2" s="1"/>
  <c r="C1315" i="2"/>
  <c r="K1315" i="2" s="1"/>
  <c r="C1316" i="2"/>
  <c r="K1316" i="2" s="1"/>
  <c r="C1317" i="2"/>
  <c r="K1317" i="2" s="1"/>
  <c r="C1318" i="2"/>
  <c r="K1318" i="2" s="1"/>
  <c r="C1319" i="2"/>
  <c r="K1319" i="2" s="1"/>
  <c r="C1320" i="2"/>
  <c r="K1320" i="2" s="1"/>
  <c r="C1321" i="2"/>
  <c r="K1321" i="2" s="1"/>
  <c r="C1322" i="2"/>
  <c r="K1322" i="2" s="1"/>
  <c r="C1323" i="2"/>
  <c r="K1323" i="2" s="1"/>
  <c r="C1324" i="2"/>
  <c r="K1324" i="2" s="1"/>
  <c r="C1325" i="2"/>
  <c r="K1325" i="2" s="1"/>
  <c r="C1326" i="2"/>
  <c r="K1326" i="2" s="1"/>
  <c r="C1327" i="2"/>
  <c r="K1327" i="2" s="1"/>
  <c r="C1328" i="2"/>
  <c r="K1328" i="2" s="1"/>
  <c r="C1329" i="2"/>
  <c r="K1329" i="2" s="1"/>
  <c r="C1330" i="2"/>
  <c r="K1330" i="2" s="1"/>
  <c r="C1331" i="2"/>
  <c r="K1331" i="2" s="1"/>
  <c r="C1332" i="2"/>
  <c r="K1332" i="2" s="1"/>
  <c r="C1333" i="2"/>
  <c r="K1333" i="2" s="1"/>
  <c r="C1334" i="2"/>
  <c r="K1334" i="2" s="1"/>
  <c r="C1335" i="2"/>
  <c r="K1335" i="2" s="1"/>
  <c r="C1336" i="2"/>
  <c r="K1336" i="2" s="1"/>
  <c r="C1337" i="2"/>
  <c r="K1337" i="2" s="1"/>
  <c r="C1338" i="2"/>
  <c r="K1338" i="2" s="1"/>
  <c r="C1339" i="2"/>
  <c r="K1339" i="2" s="1"/>
  <c r="C1340" i="2"/>
  <c r="K1340" i="2" s="1"/>
  <c r="C1341" i="2"/>
  <c r="K1341" i="2" s="1"/>
  <c r="C1342" i="2"/>
  <c r="K1342" i="2" s="1"/>
  <c r="C1343" i="2"/>
  <c r="K1343" i="2" s="1"/>
  <c r="C1344" i="2"/>
  <c r="K1344" i="2" s="1"/>
  <c r="C1345" i="2"/>
  <c r="K1345" i="2" s="1"/>
  <c r="C1346" i="2"/>
  <c r="K1346" i="2" s="1"/>
  <c r="C1347" i="2"/>
  <c r="K1347" i="2" s="1"/>
  <c r="C1348" i="2"/>
  <c r="K1348" i="2" s="1"/>
  <c r="C1349" i="2"/>
  <c r="K1349" i="2" s="1"/>
  <c r="C1350" i="2"/>
  <c r="K1350" i="2" s="1"/>
  <c r="C1351" i="2"/>
  <c r="K1351" i="2" s="1"/>
  <c r="C1352" i="2"/>
  <c r="K1352" i="2" s="1"/>
  <c r="C1353" i="2"/>
  <c r="K1353" i="2" s="1"/>
  <c r="C1354" i="2"/>
  <c r="K1354" i="2" s="1"/>
  <c r="C1355" i="2"/>
  <c r="K1355" i="2" s="1"/>
  <c r="C1356" i="2"/>
  <c r="K1356" i="2" s="1"/>
  <c r="C1357" i="2"/>
  <c r="K1357" i="2" s="1"/>
  <c r="C1358" i="2"/>
  <c r="K1358" i="2" s="1"/>
  <c r="C1359" i="2"/>
  <c r="K1359" i="2" s="1"/>
  <c r="C1360" i="2"/>
  <c r="K1360" i="2" s="1"/>
  <c r="C1361" i="2"/>
  <c r="K1361" i="2" s="1"/>
  <c r="C1362" i="2"/>
  <c r="K1362" i="2" s="1"/>
  <c r="C1363" i="2"/>
  <c r="K1363" i="2" s="1"/>
  <c r="C1364" i="2"/>
  <c r="K1364" i="2" s="1"/>
  <c r="C1365" i="2"/>
  <c r="K1365" i="2" s="1"/>
  <c r="C1366" i="2"/>
  <c r="K1366" i="2" s="1"/>
  <c r="C1367" i="2"/>
  <c r="K1367" i="2" s="1"/>
  <c r="C1368" i="2"/>
  <c r="K1368" i="2" s="1"/>
  <c r="C1369" i="2"/>
  <c r="K1369" i="2" s="1"/>
  <c r="C1370" i="2"/>
  <c r="K1370" i="2" s="1"/>
  <c r="C1371" i="2"/>
  <c r="K1371" i="2" s="1"/>
  <c r="C1372" i="2"/>
  <c r="K1372" i="2" s="1"/>
  <c r="C1373" i="2"/>
  <c r="K1373" i="2" s="1"/>
  <c r="C1374" i="2"/>
  <c r="K1374" i="2" s="1"/>
  <c r="C1375" i="2"/>
  <c r="K1375" i="2" s="1"/>
  <c r="C1376" i="2"/>
  <c r="K1376" i="2" s="1"/>
  <c r="C1377" i="2"/>
  <c r="K1377" i="2" s="1"/>
  <c r="C1378" i="2"/>
  <c r="K1378" i="2" s="1"/>
  <c r="C1379" i="2"/>
  <c r="K1379" i="2" s="1"/>
  <c r="C1380" i="2"/>
  <c r="K1380" i="2" s="1"/>
  <c r="C1381" i="2"/>
  <c r="K1381" i="2" s="1"/>
  <c r="C1382" i="2"/>
  <c r="K1382" i="2" s="1"/>
  <c r="C1383" i="2"/>
  <c r="K1383" i="2" s="1"/>
  <c r="C1384" i="2"/>
  <c r="K1384" i="2" s="1"/>
  <c r="C1385" i="2"/>
  <c r="K1385" i="2" s="1"/>
  <c r="C1386" i="2"/>
  <c r="K1386" i="2" s="1"/>
  <c r="C1387" i="2"/>
  <c r="K1387" i="2" s="1"/>
  <c r="C1388" i="2"/>
  <c r="K1388" i="2" s="1"/>
  <c r="C1389" i="2"/>
  <c r="K1389" i="2" s="1"/>
  <c r="C1390" i="2"/>
  <c r="K1390" i="2" s="1"/>
  <c r="C1391" i="2"/>
  <c r="K1391" i="2" s="1"/>
  <c r="C1392" i="2"/>
  <c r="K1392" i="2" s="1"/>
  <c r="C1393" i="2"/>
  <c r="K1393" i="2" s="1"/>
  <c r="C1394" i="2"/>
  <c r="K1394" i="2" s="1"/>
  <c r="C1395" i="2"/>
  <c r="K1395" i="2" s="1"/>
  <c r="C1396" i="2"/>
  <c r="K1396" i="2" s="1"/>
  <c r="C1397" i="2"/>
  <c r="K1397" i="2" s="1"/>
  <c r="C1398" i="2"/>
  <c r="K1398" i="2" s="1"/>
  <c r="C1399" i="2"/>
  <c r="K1399" i="2" s="1"/>
  <c r="C1400" i="2"/>
  <c r="K1400" i="2" s="1"/>
  <c r="C1401" i="2"/>
  <c r="K1401" i="2" s="1"/>
  <c r="C1402" i="2"/>
  <c r="K1402" i="2" s="1"/>
  <c r="C1403" i="2"/>
  <c r="K1403" i="2" s="1"/>
  <c r="C1404" i="2"/>
  <c r="K1404" i="2" s="1"/>
  <c r="C1405" i="2"/>
  <c r="K1405" i="2" s="1"/>
  <c r="C1406" i="2"/>
  <c r="K1406" i="2" s="1"/>
  <c r="C1407" i="2"/>
  <c r="K1407" i="2" s="1"/>
  <c r="C1408" i="2"/>
  <c r="K1408" i="2" s="1"/>
  <c r="C1409" i="2"/>
  <c r="K1409" i="2" s="1"/>
  <c r="C1410" i="2"/>
  <c r="K1410" i="2" s="1"/>
  <c r="C1411" i="2"/>
  <c r="K1411" i="2" s="1"/>
  <c r="C1412" i="2"/>
  <c r="K1412" i="2" s="1"/>
  <c r="C1413" i="2"/>
  <c r="K1413" i="2" s="1"/>
  <c r="C1414" i="2"/>
  <c r="K1414" i="2" s="1"/>
  <c r="C1415" i="2"/>
  <c r="K1415" i="2" s="1"/>
  <c r="C1416" i="2"/>
  <c r="K1416" i="2" s="1"/>
  <c r="C1417" i="2"/>
  <c r="K1417" i="2" s="1"/>
  <c r="C1418" i="2"/>
  <c r="K1418" i="2" s="1"/>
  <c r="C1419" i="2"/>
  <c r="K1419" i="2" s="1"/>
  <c r="C1420" i="2"/>
  <c r="K1420" i="2" s="1"/>
  <c r="C1421" i="2"/>
  <c r="K1421" i="2" s="1"/>
  <c r="C1422" i="2"/>
  <c r="K1422" i="2" s="1"/>
  <c r="C1423" i="2"/>
  <c r="K1423" i="2" s="1"/>
  <c r="C1424" i="2"/>
  <c r="K1424" i="2" s="1"/>
  <c r="C1425" i="2"/>
  <c r="K1425" i="2" s="1"/>
  <c r="C1426" i="2"/>
  <c r="K1426" i="2" s="1"/>
  <c r="C1427" i="2"/>
  <c r="K1427" i="2" s="1"/>
  <c r="C1428" i="2"/>
  <c r="K1428" i="2" s="1"/>
  <c r="C1429" i="2"/>
  <c r="K1429" i="2" s="1"/>
  <c r="C1430" i="2"/>
  <c r="K1430" i="2" s="1"/>
  <c r="C1431" i="2"/>
  <c r="K1431" i="2" s="1"/>
  <c r="C1432" i="2"/>
  <c r="K1432" i="2" s="1"/>
  <c r="C1433" i="2"/>
  <c r="K1433" i="2" s="1"/>
  <c r="C1434" i="2"/>
  <c r="K1434" i="2" s="1"/>
  <c r="C1435" i="2"/>
  <c r="K1435" i="2" s="1"/>
  <c r="C1436" i="2"/>
  <c r="K1436" i="2" s="1"/>
  <c r="C1437" i="2"/>
  <c r="K1437" i="2" s="1"/>
  <c r="C1438" i="2"/>
  <c r="K1438" i="2" s="1"/>
  <c r="C1439" i="2"/>
  <c r="K1439" i="2" s="1"/>
  <c r="C1440" i="2"/>
  <c r="K1440" i="2" s="1"/>
  <c r="C1441" i="2"/>
  <c r="K1441" i="2" s="1"/>
  <c r="C1442" i="2"/>
  <c r="K1442" i="2" s="1"/>
  <c r="C1443" i="2"/>
  <c r="K1443" i="2" s="1"/>
  <c r="C1444" i="2"/>
  <c r="K1444" i="2" s="1"/>
  <c r="C1445" i="2"/>
  <c r="K1445" i="2" s="1"/>
  <c r="C1446" i="2"/>
  <c r="K1446" i="2" s="1"/>
  <c r="C1447" i="2"/>
  <c r="K1447" i="2" s="1"/>
  <c r="C1448" i="2"/>
  <c r="K1448" i="2" s="1"/>
  <c r="C1449" i="2"/>
  <c r="K1449" i="2" s="1"/>
  <c r="C1450" i="2"/>
  <c r="K1450" i="2" s="1"/>
  <c r="C1451" i="2"/>
  <c r="K1451" i="2" s="1"/>
  <c r="C1452" i="2"/>
  <c r="K1452" i="2" s="1"/>
  <c r="C1453" i="2"/>
  <c r="K1453" i="2" s="1"/>
  <c r="C1454" i="2"/>
  <c r="K1454" i="2" s="1"/>
  <c r="C1455" i="2"/>
  <c r="K1455" i="2" s="1"/>
  <c r="C1456" i="2"/>
  <c r="K1456" i="2" s="1"/>
  <c r="C1457" i="2"/>
  <c r="K1457" i="2" s="1"/>
  <c r="C1458" i="2"/>
  <c r="K1458" i="2" s="1"/>
  <c r="C1459" i="2"/>
  <c r="K1459" i="2" s="1"/>
  <c r="C1460" i="2"/>
  <c r="K1460" i="2" s="1"/>
  <c r="C1461" i="2"/>
  <c r="K1461" i="2" s="1"/>
  <c r="C1462" i="2"/>
  <c r="K1462" i="2" s="1"/>
  <c r="C1463" i="2"/>
  <c r="K1463" i="2" s="1"/>
  <c r="C1464" i="2"/>
  <c r="K1464" i="2" s="1"/>
  <c r="C1465" i="2"/>
  <c r="K1465" i="2" s="1"/>
  <c r="C1466" i="2"/>
  <c r="K1466" i="2" s="1"/>
  <c r="C1467" i="2"/>
  <c r="K1467" i="2" s="1"/>
  <c r="C1468" i="2"/>
  <c r="K1468" i="2" s="1"/>
  <c r="C1469" i="2"/>
  <c r="K1469" i="2" s="1"/>
  <c r="C1470" i="2"/>
  <c r="K1470" i="2" s="1"/>
  <c r="C1471" i="2"/>
  <c r="K1471" i="2" s="1"/>
  <c r="C1472" i="2"/>
  <c r="K1472" i="2" s="1"/>
  <c r="C1473" i="2"/>
  <c r="K1473" i="2" s="1"/>
  <c r="C1474" i="2"/>
  <c r="K1474" i="2" s="1"/>
  <c r="C1475" i="2"/>
  <c r="K1475" i="2" s="1"/>
  <c r="C1476" i="2"/>
  <c r="K1476" i="2" s="1"/>
  <c r="C1477" i="2"/>
  <c r="K1477" i="2" s="1"/>
  <c r="C1478" i="2"/>
  <c r="K1478" i="2" s="1"/>
  <c r="C1479" i="2"/>
  <c r="K1479" i="2" s="1"/>
  <c r="C1480" i="2"/>
  <c r="K1480" i="2" s="1"/>
  <c r="C1481" i="2"/>
  <c r="K1481" i="2" s="1"/>
  <c r="C1482" i="2"/>
  <c r="K1482" i="2" s="1"/>
  <c r="C1483" i="2"/>
  <c r="K1483" i="2" s="1"/>
  <c r="C1484" i="2"/>
  <c r="K1484" i="2" s="1"/>
  <c r="C1485" i="2"/>
  <c r="K1485" i="2" s="1"/>
  <c r="C1486" i="2"/>
  <c r="K1486" i="2" s="1"/>
  <c r="C1487" i="2"/>
  <c r="K1487" i="2" s="1"/>
  <c r="C1488" i="2"/>
  <c r="K1488" i="2" s="1"/>
  <c r="C1489" i="2"/>
  <c r="K1489" i="2" s="1"/>
  <c r="C1490" i="2"/>
  <c r="K1490" i="2" s="1"/>
  <c r="C1491" i="2"/>
  <c r="K1491" i="2" s="1"/>
  <c r="C1492" i="2"/>
  <c r="K1492" i="2" s="1"/>
  <c r="C1493" i="2"/>
  <c r="K1493" i="2" s="1"/>
  <c r="C1494" i="2"/>
  <c r="K1494" i="2" s="1"/>
  <c r="C1495" i="2"/>
  <c r="K1495" i="2" s="1"/>
  <c r="C1496" i="2"/>
  <c r="K1496" i="2" s="1"/>
  <c r="C1497" i="2"/>
  <c r="K1497" i="2" s="1"/>
  <c r="C1498" i="2"/>
  <c r="K1498" i="2" s="1"/>
  <c r="C1499" i="2"/>
  <c r="K1499" i="2" s="1"/>
  <c r="C1500" i="2"/>
  <c r="K1500" i="2" s="1"/>
  <c r="C1501" i="2"/>
  <c r="K1501" i="2" s="1"/>
  <c r="C1502" i="2"/>
  <c r="K1502" i="2" s="1"/>
  <c r="C1503" i="2"/>
  <c r="K1503" i="2" s="1"/>
  <c r="C1504" i="2"/>
  <c r="K1504" i="2" s="1"/>
  <c r="C1505" i="2"/>
  <c r="K1505" i="2" s="1"/>
  <c r="C1506" i="2"/>
  <c r="K1506" i="2" s="1"/>
  <c r="C1507" i="2"/>
  <c r="K1507" i="2" s="1"/>
  <c r="C1508" i="2"/>
  <c r="K1508" i="2" s="1"/>
  <c r="C1509" i="2"/>
  <c r="K1509" i="2" s="1"/>
  <c r="C1510" i="2"/>
  <c r="K1510" i="2" s="1"/>
  <c r="C1511" i="2"/>
  <c r="K1511" i="2" s="1"/>
  <c r="C1512" i="2"/>
  <c r="K1512" i="2" s="1"/>
  <c r="C1513" i="2"/>
  <c r="K1513" i="2" s="1"/>
  <c r="C1514" i="2"/>
  <c r="K1514" i="2" s="1"/>
  <c r="C1515" i="2"/>
  <c r="K1515" i="2" s="1"/>
  <c r="C1516" i="2"/>
  <c r="K1516" i="2" s="1"/>
  <c r="C1517" i="2"/>
  <c r="K1517" i="2" s="1"/>
  <c r="C1518" i="2"/>
  <c r="K1518" i="2" s="1"/>
  <c r="C1519" i="2"/>
  <c r="K1519" i="2" s="1"/>
  <c r="C1520" i="2"/>
  <c r="K1520" i="2" s="1"/>
  <c r="C1521" i="2"/>
  <c r="K1521" i="2" s="1"/>
  <c r="C1522" i="2"/>
  <c r="K1522" i="2" s="1"/>
  <c r="C1523" i="2"/>
  <c r="K1523" i="2" s="1"/>
  <c r="C1524" i="2"/>
  <c r="K1524" i="2" s="1"/>
  <c r="C1525" i="2"/>
  <c r="K1525" i="2" s="1"/>
  <c r="C1526" i="2"/>
  <c r="K1526" i="2" s="1"/>
  <c r="C1527" i="2"/>
  <c r="K1527" i="2" s="1"/>
  <c r="C1528" i="2"/>
  <c r="K1528" i="2" s="1"/>
  <c r="C1529" i="2"/>
  <c r="K1529" i="2" s="1"/>
  <c r="C1530" i="2"/>
  <c r="K1530" i="2" s="1"/>
  <c r="C1531" i="2"/>
  <c r="K1531" i="2" s="1"/>
  <c r="C1532" i="2"/>
  <c r="K1532" i="2" s="1"/>
  <c r="C1533" i="2"/>
  <c r="K1533" i="2" s="1"/>
  <c r="C1534" i="2"/>
  <c r="K1534" i="2" s="1"/>
  <c r="C1535" i="2"/>
  <c r="K1535" i="2" s="1"/>
  <c r="C1536" i="2"/>
  <c r="K1536" i="2" s="1"/>
  <c r="C1537" i="2"/>
  <c r="K1537" i="2" s="1"/>
  <c r="C1538" i="2"/>
  <c r="K1538" i="2" s="1"/>
  <c r="C1539" i="2"/>
  <c r="K1539" i="2" s="1"/>
  <c r="C1540" i="2"/>
  <c r="K1540" i="2" s="1"/>
  <c r="C1541" i="2"/>
  <c r="K1541" i="2" s="1"/>
  <c r="C1542" i="2"/>
  <c r="K1542" i="2" s="1"/>
  <c r="C1543" i="2"/>
  <c r="K1543" i="2" s="1"/>
  <c r="C1544" i="2"/>
  <c r="K1544" i="2" s="1"/>
  <c r="C1545" i="2"/>
  <c r="K1545" i="2" s="1"/>
  <c r="C1546" i="2"/>
  <c r="K1546" i="2" s="1"/>
  <c r="C1547" i="2"/>
  <c r="K1547" i="2" s="1"/>
  <c r="C1548" i="2"/>
  <c r="K1548" i="2" s="1"/>
  <c r="C1549" i="2"/>
  <c r="K1549" i="2" s="1"/>
  <c r="C1550" i="2"/>
  <c r="K1550" i="2" s="1"/>
  <c r="C1551" i="2"/>
  <c r="K1551" i="2" s="1"/>
  <c r="C1552" i="2"/>
  <c r="K1552" i="2" s="1"/>
  <c r="C1553" i="2"/>
  <c r="K1553" i="2" s="1"/>
  <c r="C1554" i="2"/>
  <c r="K1554" i="2" s="1"/>
  <c r="C1555" i="2"/>
  <c r="K1555" i="2" s="1"/>
  <c r="C1556" i="2"/>
  <c r="K1556" i="2" s="1"/>
  <c r="C1557" i="2"/>
  <c r="K1557" i="2" s="1"/>
  <c r="C1558" i="2"/>
  <c r="K1558" i="2" s="1"/>
  <c r="C1559" i="2"/>
  <c r="K1559" i="2" s="1"/>
  <c r="C1560" i="2"/>
  <c r="K1560" i="2" s="1"/>
  <c r="C1561" i="2"/>
  <c r="K1561" i="2" s="1"/>
  <c r="C1562" i="2"/>
  <c r="K1562" i="2" s="1"/>
  <c r="C1563" i="2"/>
  <c r="K1563" i="2" s="1"/>
  <c r="C1564" i="2"/>
  <c r="K1564" i="2" s="1"/>
  <c r="C1565" i="2"/>
  <c r="K1565" i="2" s="1"/>
  <c r="C1566" i="2"/>
  <c r="K1566" i="2" s="1"/>
  <c r="C1567" i="2"/>
  <c r="K1567" i="2" s="1"/>
  <c r="C1568" i="2"/>
  <c r="K1568" i="2" s="1"/>
  <c r="C1569" i="2"/>
  <c r="K1569" i="2" s="1"/>
  <c r="C1570" i="2"/>
  <c r="K1570" i="2" s="1"/>
  <c r="C1571" i="2"/>
  <c r="K1571" i="2" s="1"/>
  <c r="C1572" i="2"/>
  <c r="K1572" i="2" s="1"/>
  <c r="C1573" i="2"/>
  <c r="K1573" i="2" s="1"/>
  <c r="C1574" i="2"/>
  <c r="K1574" i="2" s="1"/>
  <c r="C1575" i="2"/>
  <c r="K1575" i="2" s="1"/>
  <c r="C1576" i="2"/>
  <c r="K1576" i="2" s="1"/>
  <c r="C1577" i="2"/>
  <c r="K1577" i="2" s="1"/>
  <c r="C1578" i="2"/>
  <c r="K1578" i="2" s="1"/>
  <c r="C1579" i="2"/>
  <c r="K1579" i="2" s="1"/>
  <c r="C1580" i="2"/>
  <c r="K1580" i="2" s="1"/>
  <c r="C1581" i="2"/>
  <c r="K1581" i="2" s="1"/>
  <c r="C1582" i="2"/>
  <c r="K1582" i="2" s="1"/>
  <c r="C1583" i="2"/>
  <c r="K1583" i="2" s="1"/>
  <c r="C1584" i="2"/>
  <c r="K1584" i="2" s="1"/>
  <c r="C1585" i="2"/>
  <c r="K1585" i="2" s="1"/>
  <c r="C1586" i="2"/>
  <c r="K1586" i="2" s="1"/>
  <c r="C1587" i="2"/>
  <c r="K1587" i="2" s="1"/>
  <c r="C1588" i="2"/>
  <c r="K1588" i="2" s="1"/>
  <c r="C1589" i="2"/>
  <c r="K1589" i="2" s="1"/>
  <c r="C1590" i="2"/>
  <c r="K1590" i="2" s="1"/>
  <c r="C1591" i="2"/>
  <c r="K1591" i="2" s="1"/>
  <c r="C1592" i="2"/>
  <c r="K1592" i="2" s="1"/>
  <c r="C1593" i="2"/>
  <c r="K1593" i="2" s="1"/>
  <c r="C1594" i="2"/>
  <c r="K1594" i="2" s="1"/>
  <c r="C1595" i="2"/>
  <c r="K1595" i="2" s="1"/>
  <c r="C1596" i="2"/>
  <c r="K1596" i="2" s="1"/>
  <c r="C1597" i="2"/>
  <c r="K1597" i="2" s="1"/>
  <c r="C1598" i="2"/>
  <c r="K1598" i="2" s="1"/>
  <c r="C1599" i="2"/>
  <c r="K1599" i="2" s="1"/>
  <c r="C1600" i="2"/>
  <c r="K1600" i="2" s="1"/>
  <c r="C1601" i="2"/>
  <c r="K1601" i="2" s="1"/>
  <c r="C1602" i="2"/>
  <c r="K1602" i="2" s="1"/>
  <c r="C1603" i="2"/>
  <c r="K1603" i="2" s="1"/>
  <c r="C1604" i="2"/>
  <c r="K1604" i="2" s="1"/>
  <c r="C1605" i="2"/>
  <c r="K1605" i="2" s="1"/>
  <c r="C1606" i="2"/>
  <c r="K1606" i="2" s="1"/>
  <c r="C1607" i="2"/>
  <c r="K1607" i="2" s="1"/>
  <c r="C1608" i="2"/>
  <c r="K1608" i="2" s="1"/>
  <c r="C1609" i="2"/>
  <c r="K1609" i="2" s="1"/>
  <c r="C1610" i="2"/>
  <c r="K1610" i="2" s="1"/>
  <c r="C1611" i="2"/>
  <c r="K1611" i="2" s="1"/>
  <c r="C1612" i="2"/>
  <c r="K1612" i="2" s="1"/>
  <c r="C1613" i="2"/>
  <c r="K1613" i="2" s="1"/>
  <c r="C1614" i="2"/>
  <c r="K1614" i="2" s="1"/>
  <c r="C1615" i="2"/>
  <c r="K1615" i="2" s="1"/>
  <c r="C1616" i="2"/>
  <c r="K1616" i="2" s="1"/>
  <c r="C1617" i="2"/>
  <c r="K1617" i="2" s="1"/>
  <c r="C1618" i="2"/>
  <c r="K1618" i="2" s="1"/>
  <c r="C1619" i="2"/>
  <c r="K1619" i="2" s="1"/>
  <c r="C1620" i="2"/>
  <c r="K1620" i="2" s="1"/>
  <c r="C1621" i="2"/>
  <c r="K1621" i="2" s="1"/>
  <c r="C1622" i="2"/>
  <c r="K1622" i="2" s="1"/>
  <c r="C1623" i="2"/>
  <c r="K1623" i="2" s="1"/>
  <c r="C1624" i="2"/>
  <c r="K1624" i="2" s="1"/>
  <c r="C1625" i="2"/>
  <c r="K1625" i="2" s="1"/>
  <c r="C1626" i="2"/>
  <c r="K1626" i="2" s="1"/>
  <c r="C1627" i="2"/>
  <c r="K1627" i="2" s="1"/>
  <c r="C1628" i="2"/>
  <c r="K1628" i="2" s="1"/>
  <c r="C1629" i="2"/>
  <c r="K1629" i="2" s="1"/>
  <c r="C1630" i="2"/>
  <c r="K1630" i="2" s="1"/>
  <c r="C1631" i="2"/>
  <c r="K1631" i="2" s="1"/>
  <c r="C1632" i="2"/>
  <c r="K1632" i="2" s="1"/>
  <c r="C1633" i="2"/>
  <c r="K1633" i="2" s="1"/>
  <c r="C1634" i="2"/>
  <c r="K1634" i="2" s="1"/>
  <c r="C1635" i="2"/>
  <c r="K1635" i="2" s="1"/>
  <c r="C1636" i="2"/>
  <c r="K1636" i="2" s="1"/>
  <c r="C1637" i="2"/>
  <c r="K1637" i="2" s="1"/>
  <c r="C1638" i="2"/>
  <c r="K1638" i="2" s="1"/>
  <c r="C1639" i="2"/>
  <c r="K1639" i="2" s="1"/>
  <c r="C1640" i="2"/>
  <c r="K1640" i="2" s="1"/>
  <c r="C1641" i="2"/>
  <c r="K1641" i="2" s="1"/>
  <c r="C1642" i="2"/>
  <c r="K1642" i="2" s="1"/>
  <c r="C1643" i="2"/>
  <c r="K1643" i="2" s="1"/>
  <c r="C1644" i="2"/>
  <c r="K1644" i="2" s="1"/>
  <c r="C1645" i="2"/>
  <c r="K1645" i="2" s="1"/>
  <c r="C1646" i="2"/>
  <c r="K1646" i="2" s="1"/>
  <c r="C1647" i="2"/>
  <c r="K1647" i="2" s="1"/>
  <c r="C1648" i="2"/>
  <c r="K1648" i="2" s="1"/>
  <c r="C1649" i="2"/>
  <c r="K1649" i="2" s="1"/>
  <c r="C1650" i="2"/>
  <c r="K1650" i="2" s="1"/>
  <c r="C1651" i="2"/>
  <c r="K1651" i="2" s="1"/>
  <c r="C1652" i="2"/>
  <c r="K1652" i="2" s="1"/>
  <c r="C1653" i="2"/>
  <c r="K1653" i="2" s="1"/>
  <c r="C1654" i="2"/>
  <c r="K1654" i="2" s="1"/>
  <c r="C1655" i="2"/>
  <c r="K1655" i="2" s="1"/>
  <c r="C1656" i="2"/>
  <c r="K1656" i="2" s="1"/>
  <c r="C1657" i="2"/>
  <c r="K1657" i="2" s="1"/>
  <c r="C1658" i="2"/>
  <c r="K1658" i="2" s="1"/>
  <c r="C1659" i="2"/>
  <c r="K1659" i="2" s="1"/>
  <c r="C1660" i="2"/>
  <c r="K1660" i="2" s="1"/>
  <c r="C1661" i="2"/>
  <c r="K1661" i="2" s="1"/>
  <c r="C1662" i="2"/>
  <c r="K1662" i="2" s="1"/>
  <c r="C1663" i="2"/>
  <c r="K1663" i="2" s="1"/>
  <c r="C1664" i="2"/>
  <c r="K1664" i="2" s="1"/>
  <c r="C1665" i="2"/>
  <c r="K1665" i="2" s="1"/>
  <c r="C1666" i="2"/>
  <c r="K1666" i="2" s="1"/>
  <c r="C1667" i="2"/>
  <c r="K1667" i="2" s="1"/>
  <c r="C1668" i="2"/>
  <c r="K1668" i="2" s="1"/>
  <c r="C1669" i="2"/>
  <c r="K1669" i="2" s="1"/>
  <c r="C1670" i="2"/>
  <c r="K1670" i="2" s="1"/>
  <c r="C1671" i="2"/>
  <c r="K1671" i="2" s="1"/>
  <c r="C1672" i="2"/>
  <c r="K1672" i="2" s="1"/>
  <c r="C1673" i="2"/>
  <c r="K1673" i="2" s="1"/>
  <c r="C1674" i="2"/>
  <c r="K1674" i="2" s="1"/>
  <c r="C1675" i="2"/>
  <c r="K1675" i="2" s="1"/>
  <c r="C1676" i="2"/>
  <c r="K1676" i="2" s="1"/>
  <c r="C1677" i="2"/>
  <c r="K1677" i="2" s="1"/>
  <c r="C1678" i="2"/>
  <c r="K1678" i="2" s="1"/>
  <c r="C1679" i="2"/>
  <c r="K1679" i="2" s="1"/>
  <c r="C1680" i="2"/>
  <c r="K1680" i="2" s="1"/>
  <c r="C1681" i="2"/>
  <c r="K1681" i="2" s="1"/>
  <c r="C1682" i="2"/>
  <c r="K1682" i="2" s="1"/>
  <c r="C1683" i="2"/>
  <c r="K1683" i="2" s="1"/>
  <c r="C1684" i="2"/>
  <c r="K1684" i="2" s="1"/>
  <c r="C1685" i="2"/>
  <c r="K1685" i="2" s="1"/>
  <c r="C1686" i="2"/>
  <c r="K1686" i="2" s="1"/>
  <c r="C1687" i="2"/>
  <c r="K1687" i="2" s="1"/>
  <c r="C1688" i="2"/>
  <c r="K1688" i="2" s="1"/>
  <c r="C1689" i="2"/>
  <c r="K1689" i="2" s="1"/>
  <c r="C1690" i="2"/>
  <c r="K1690" i="2" s="1"/>
  <c r="C1691" i="2"/>
  <c r="K1691" i="2" s="1"/>
  <c r="C1692" i="2"/>
  <c r="K1692" i="2" s="1"/>
  <c r="C1693" i="2"/>
  <c r="K1693" i="2" s="1"/>
  <c r="C1694" i="2"/>
  <c r="K1694" i="2" s="1"/>
  <c r="C1695" i="2"/>
  <c r="K1695" i="2" s="1"/>
  <c r="C1696" i="2"/>
  <c r="K1696" i="2" s="1"/>
  <c r="C1697" i="2"/>
  <c r="K1697" i="2" s="1"/>
  <c r="C1698" i="2"/>
  <c r="K1698" i="2" s="1"/>
  <c r="C1699" i="2"/>
  <c r="K1699" i="2" s="1"/>
  <c r="C1700" i="2"/>
  <c r="K1700" i="2" s="1"/>
  <c r="C1701" i="2"/>
  <c r="K1701" i="2" s="1"/>
  <c r="C1702" i="2"/>
  <c r="K1702" i="2" s="1"/>
  <c r="C1703" i="2"/>
  <c r="K1703" i="2" s="1"/>
  <c r="C1704" i="2"/>
  <c r="K1704" i="2" s="1"/>
  <c r="C1705" i="2"/>
  <c r="K1705" i="2" s="1"/>
  <c r="C1706" i="2"/>
  <c r="K1706" i="2" s="1"/>
  <c r="C1707" i="2"/>
  <c r="K1707" i="2" s="1"/>
  <c r="C1708" i="2"/>
  <c r="K1708" i="2" s="1"/>
  <c r="C1709" i="2"/>
  <c r="K1709" i="2" s="1"/>
  <c r="C1710" i="2"/>
  <c r="K1710" i="2" s="1"/>
  <c r="C1711" i="2"/>
  <c r="K1711" i="2" s="1"/>
  <c r="C1712" i="2"/>
  <c r="K1712" i="2" s="1"/>
  <c r="C1713" i="2"/>
  <c r="K1713" i="2" s="1"/>
  <c r="C1714" i="2"/>
  <c r="K1714" i="2" s="1"/>
  <c r="C1715" i="2"/>
  <c r="K1715" i="2" s="1"/>
  <c r="C1716" i="2"/>
  <c r="K1716" i="2" s="1"/>
  <c r="C1717" i="2"/>
  <c r="K1717" i="2" s="1"/>
  <c r="C1718" i="2"/>
  <c r="K1718" i="2" s="1"/>
  <c r="C1719" i="2"/>
  <c r="K1719" i="2" s="1"/>
  <c r="C1720" i="2"/>
  <c r="K1720" i="2" s="1"/>
  <c r="C1721" i="2"/>
  <c r="K1721" i="2" s="1"/>
  <c r="C1722" i="2"/>
  <c r="K1722" i="2" s="1"/>
  <c r="C1723" i="2"/>
  <c r="K1723" i="2" s="1"/>
  <c r="C1724" i="2"/>
  <c r="K1724" i="2" s="1"/>
  <c r="C1725" i="2"/>
  <c r="K1725" i="2" s="1"/>
  <c r="C1726" i="2"/>
  <c r="K1726" i="2" s="1"/>
  <c r="C1727" i="2"/>
  <c r="K1727" i="2" s="1"/>
  <c r="C1728" i="2"/>
  <c r="K1728" i="2" s="1"/>
  <c r="C1729" i="2"/>
  <c r="K1729" i="2" s="1"/>
  <c r="C1730" i="2"/>
  <c r="K1730" i="2" s="1"/>
  <c r="C1731" i="2"/>
  <c r="K1731" i="2" s="1"/>
  <c r="C1732" i="2"/>
  <c r="K1732" i="2" s="1"/>
  <c r="C1733" i="2"/>
  <c r="K1733" i="2" s="1"/>
  <c r="C1734" i="2"/>
  <c r="K1734" i="2" s="1"/>
  <c r="C1735" i="2"/>
  <c r="K1735" i="2" s="1"/>
  <c r="C1736" i="2"/>
  <c r="K1736" i="2" s="1"/>
  <c r="C1737" i="2"/>
  <c r="K1737" i="2" s="1"/>
  <c r="C1738" i="2"/>
  <c r="K1738" i="2" s="1"/>
  <c r="C1739" i="2"/>
  <c r="K1739" i="2" s="1"/>
  <c r="C1740" i="2"/>
  <c r="K1740" i="2" s="1"/>
  <c r="C1741" i="2"/>
  <c r="K1741" i="2" s="1"/>
  <c r="C1742" i="2"/>
  <c r="K1742" i="2" s="1"/>
  <c r="C1743" i="2"/>
  <c r="K1743" i="2" s="1"/>
  <c r="C1744" i="2"/>
  <c r="K1744" i="2" s="1"/>
  <c r="C1745" i="2"/>
  <c r="K1745" i="2" s="1"/>
  <c r="C1746" i="2"/>
  <c r="K1746" i="2" s="1"/>
  <c r="C1747" i="2"/>
  <c r="K1747" i="2" s="1"/>
  <c r="C1748" i="2"/>
  <c r="K1748" i="2" s="1"/>
  <c r="C1749" i="2"/>
  <c r="K1749" i="2" s="1"/>
  <c r="C1750" i="2"/>
  <c r="K1750" i="2" s="1"/>
  <c r="C1751" i="2"/>
  <c r="K1751" i="2" s="1"/>
  <c r="C1752" i="2"/>
  <c r="K1752" i="2" s="1"/>
  <c r="C1753" i="2"/>
  <c r="K1753" i="2" s="1"/>
  <c r="C1754" i="2"/>
  <c r="K1754" i="2" s="1"/>
  <c r="C1755" i="2"/>
  <c r="K1755" i="2" s="1"/>
  <c r="C1756" i="2"/>
  <c r="K1756" i="2" s="1"/>
  <c r="C1757" i="2"/>
  <c r="K1757" i="2" s="1"/>
  <c r="C1758" i="2"/>
  <c r="K1758" i="2" s="1"/>
  <c r="C1759" i="2"/>
  <c r="K1759" i="2" s="1"/>
  <c r="C1760" i="2"/>
  <c r="K1760" i="2" s="1"/>
  <c r="C1761" i="2"/>
  <c r="K1761" i="2" s="1"/>
  <c r="C1762" i="2"/>
  <c r="K1762" i="2" s="1"/>
  <c r="C1763" i="2"/>
  <c r="K1763" i="2" s="1"/>
  <c r="C1764" i="2"/>
  <c r="K1764" i="2" s="1"/>
  <c r="C1765" i="2"/>
  <c r="K1765" i="2" s="1"/>
  <c r="C1766" i="2"/>
  <c r="K1766" i="2" s="1"/>
  <c r="C1767" i="2"/>
  <c r="K1767" i="2" s="1"/>
  <c r="C1768" i="2"/>
  <c r="K1768" i="2" s="1"/>
  <c r="C1769" i="2"/>
  <c r="K1769" i="2" s="1"/>
  <c r="C1770" i="2"/>
  <c r="K1770" i="2" s="1"/>
  <c r="C1771" i="2"/>
  <c r="K1771" i="2" s="1"/>
  <c r="C1772" i="2"/>
  <c r="K1772" i="2" s="1"/>
  <c r="C1773" i="2"/>
  <c r="K1773" i="2" s="1"/>
  <c r="C1774" i="2"/>
  <c r="K1774" i="2" s="1"/>
  <c r="C1775" i="2"/>
  <c r="K1775" i="2" s="1"/>
  <c r="C1776" i="2"/>
  <c r="K1776" i="2" s="1"/>
  <c r="C1777" i="2"/>
  <c r="K1777" i="2" s="1"/>
  <c r="C1778" i="2"/>
  <c r="K1778" i="2" s="1"/>
  <c r="C1779" i="2"/>
  <c r="K1779" i="2" s="1"/>
  <c r="C1780" i="2"/>
  <c r="K1780" i="2" s="1"/>
  <c r="C1781" i="2"/>
  <c r="K1781" i="2" s="1"/>
  <c r="C1782" i="2"/>
  <c r="K1782" i="2" s="1"/>
  <c r="C1783" i="2"/>
  <c r="K1783" i="2" s="1"/>
  <c r="C1784" i="2"/>
  <c r="K1784" i="2" s="1"/>
  <c r="C1785" i="2"/>
  <c r="K1785" i="2" s="1"/>
  <c r="C1786" i="2"/>
  <c r="K1786" i="2" s="1"/>
  <c r="C1787" i="2"/>
  <c r="K1787" i="2" s="1"/>
  <c r="C1788" i="2"/>
  <c r="K1788" i="2" s="1"/>
  <c r="C1789" i="2"/>
  <c r="K1789" i="2" s="1"/>
  <c r="C1790" i="2"/>
  <c r="K1790" i="2" s="1"/>
  <c r="C1791" i="2"/>
  <c r="K1791" i="2" s="1"/>
  <c r="C1792" i="2"/>
  <c r="K1792" i="2" s="1"/>
  <c r="C1793" i="2"/>
  <c r="K1793" i="2" s="1"/>
  <c r="C1794" i="2"/>
  <c r="K1794" i="2" s="1"/>
  <c r="C1795" i="2"/>
  <c r="K1795" i="2" s="1"/>
  <c r="C1796" i="2"/>
  <c r="K1796" i="2" s="1"/>
  <c r="C1797" i="2"/>
  <c r="K1797" i="2" s="1"/>
  <c r="C1798" i="2"/>
  <c r="K1798" i="2" s="1"/>
  <c r="C1799" i="2"/>
  <c r="K1799" i="2" s="1"/>
  <c r="C1800" i="2"/>
  <c r="K1800" i="2" s="1"/>
  <c r="C1801" i="2"/>
  <c r="K1801" i="2" s="1"/>
  <c r="C1802" i="2"/>
  <c r="K1802" i="2" s="1"/>
  <c r="C1803" i="2"/>
  <c r="K1803" i="2" s="1"/>
  <c r="C1804" i="2"/>
  <c r="K1804" i="2" s="1"/>
  <c r="C1805" i="2"/>
  <c r="K1805" i="2" s="1"/>
  <c r="C1806" i="2"/>
  <c r="K1806" i="2" s="1"/>
  <c r="C1807" i="2"/>
  <c r="K1807" i="2" s="1"/>
  <c r="C1808" i="2"/>
  <c r="K1808" i="2" s="1"/>
  <c r="C1809" i="2"/>
  <c r="K1809" i="2" s="1"/>
  <c r="C1810" i="2"/>
  <c r="K1810" i="2" s="1"/>
  <c r="C1811" i="2"/>
  <c r="K1811" i="2" s="1"/>
  <c r="C1812" i="2"/>
  <c r="K1812" i="2" s="1"/>
  <c r="C1813" i="2"/>
  <c r="K1813" i="2" s="1"/>
  <c r="C1814" i="2"/>
  <c r="K1814" i="2" s="1"/>
  <c r="C1815" i="2"/>
  <c r="K1815" i="2" s="1"/>
  <c r="C1816" i="2"/>
  <c r="K1816" i="2" s="1"/>
  <c r="C1817" i="2"/>
  <c r="K1817" i="2" s="1"/>
  <c r="C1818" i="2"/>
  <c r="K1818" i="2" s="1"/>
  <c r="C1819" i="2"/>
  <c r="K1819" i="2" s="1"/>
  <c r="C1820" i="2"/>
  <c r="K1820" i="2" s="1"/>
  <c r="C1821" i="2"/>
  <c r="K1821" i="2" s="1"/>
  <c r="C1822" i="2"/>
  <c r="K1822" i="2" s="1"/>
  <c r="C1823" i="2"/>
  <c r="K1823" i="2" s="1"/>
  <c r="C1824" i="2"/>
  <c r="K1824" i="2" s="1"/>
  <c r="C1825" i="2"/>
  <c r="K1825" i="2" s="1"/>
  <c r="C1826" i="2"/>
  <c r="K1826" i="2" s="1"/>
  <c r="C1827" i="2"/>
  <c r="K1827" i="2" s="1"/>
  <c r="C1828" i="2"/>
  <c r="K1828" i="2" s="1"/>
  <c r="C1829" i="2"/>
  <c r="K1829" i="2" s="1"/>
  <c r="C1830" i="2"/>
  <c r="K1830" i="2" s="1"/>
  <c r="C1831" i="2"/>
  <c r="K1831" i="2" s="1"/>
  <c r="C1832" i="2"/>
  <c r="K1832" i="2" s="1"/>
  <c r="C1833" i="2"/>
  <c r="K1833" i="2" s="1"/>
  <c r="C1834" i="2"/>
  <c r="K1834" i="2" s="1"/>
  <c r="C1835" i="2"/>
  <c r="K1835" i="2" s="1"/>
  <c r="C1836" i="2"/>
  <c r="K1836" i="2" s="1"/>
  <c r="C1837" i="2"/>
  <c r="K1837" i="2" s="1"/>
  <c r="C1838" i="2"/>
  <c r="K1838" i="2" s="1"/>
  <c r="C1839" i="2"/>
  <c r="K1839" i="2" s="1"/>
  <c r="C1840" i="2"/>
  <c r="K1840" i="2" s="1"/>
  <c r="C1841" i="2"/>
  <c r="K1841" i="2" s="1"/>
  <c r="C1842" i="2"/>
  <c r="K1842" i="2" s="1"/>
  <c r="C1843" i="2"/>
  <c r="K1843" i="2" s="1"/>
  <c r="C1844" i="2"/>
  <c r="K1844" i="2" s="1"/>
  <c r="C1845" i="2"/>
  <c r="K1845" i="2" s="1"/>
  <c r="C1846" i="2"/>
  <c r="K1846" i="2" s="1"/>
  <c r="C1847" i="2"/>
  <c r="K1847" i="2" s="1"/>
  <c r="C1848" i="2"/>
  <c r="K1848" i="2" s="1"/>
  <c r="C1849" i="2"/>
  <c r="K1849" i="2" s="1"/>
  <c r="C1850" i="2"/>
  <c r="K1850" i="2" s="1"/>
  <c r="C1851" i="2"/>
  <c r="K1851" i="2" s="1"/>
  <c r="C1852" i="2"/>
  <c r="K1852" i="2" s="1"/>
  <c r="C1853" i="2"/>
  <c r="K1853" i="2" s="1"/>
  <c r="C1854" i="2"/>
  <c r="K1854" i="2" s="1"/>
  <c r="C1855" i="2"/>
  <c r="K1855" i="2" s="1"/>
  <c r="C1856" i="2"/>
  <c r="K1856" i="2" s="1"/>
  <c r="C1857" i="2"/>
  <c r="K1857" i="2" s="1"/>
  <c r="C1858" i="2"/>
  <c r="K1858" i="2" s="1"/>
  <c r="C1859" i="2"/>
  <c r="K1859" i="2" s="1"/>
  <c r="C1860" i="2"/>
  <c r="K1860" i="2" s="1"/>
  <c r="C1861" i="2"/>
  <c r="K1861" i="2" s="1"/>
  <c r="C1862" i="2"/>
  <c r="K1862" i="2" s="1"/>
  <c r="C1863" i="2"/>
  <c r="K1863" i="2" s="1"/>
  <c r="C1864" i="2"/>
  <c r="K1864" i="2" s="1"/>
  <c r="C1865" i="2"/>
  <c r="K1865" i="2" s="1"/>
  <c r="C1866" i="2"/>
  <c r="K1866" i="2" s="1"/>
  <c r="C1867" i="2"/>
  <c r="K1867" i="2" s="1"/>
  <c r="C1868" i="2"/>
  <c r="K1868" i="2" s="1"/>
  <c r="C1869" i="2"/>
  <c r="K1869" i="2" s="1"/>
  <c r="C1870" i="2"/>
  <c r="K1870" i="2" s="1"/>
  <c r="C1871" i="2"/>
  <c r="K1871" i="2" s="1"/>
  <c r="C1872" i="2"/>
  <c r="K1872" i="2" s="1"/>
  <c r="C1873" i="2"/>
  <c r="K1873" i="2" s="1"/>
  <c r="C1874" i="2"/>
  <c r="K1874" i="2" s="1"/>
  <c r="C1875" i="2"/>
  <c r="K1875" i="2" s="1"/>
  <c r="C1876" i="2"/>
  <c r="K1876" i="2" s="1"/>
  <c r="C1877" i="2"/>
  <c r="K1877" i="2" s="1"/>
  <c r="C1878" i="2"/>
  <c r="K1878" i="2" s="1"/>
  <c r="C1879" i="2"/>
  <c r="K1879" i="2" s="1"/>
  <c r="C1880" i="2"/>
  <c r="K1880" i="2" s="1"/>
  <c r="C1881" i="2"/>
  <c r="K1881" i="2" s="1"/>
  <c r="C1882" i="2"/>
  <c r="K1882" i="2" s="1"/>
  <c r="C1883" i="2"/>
  <c r="K1883" i="2" s="1"/>
  <c r="C1884" i="2"/>
  <c r="K1884" i="2" s="1"/>
  <c r="C1885" i="2"/>
  <c r="K1885" i="2" s="1"/>
  <c r="C1886" i="2"/>
  <c r="K1886" i="2" s="1"/>
  <c r="C1887" i="2"/>
  <c r="K1887" i="2" s="1"/>
  <c r="C1888" i="2"/>
  <c r="K1888" i="2" s="1"/>
  <c r="C1889" i="2"/>
  <c r="K1889" i="2" s="1"/>
  <c r="C1890" i="2"/>
  <c r="K1890" i="2" s="1"/>
  <c r="C1891" i="2"/>
  <c r="K1891" i="2" s="1"/>
  <c r="C1892" i="2"/>
  <c r="K1892" i="2" s="1"/>
  <c r="C1893" i="2"/>
  <c r="K1893" i="2" s="1"/>
  <c r="C1894" i="2"/>
  <c r="K1894" i="2" s="1"/>
  <c r="C1895" i="2"/>
  <c r="K1895" i="2" s="1"/>
  <c r="C1896" i="2"/>
  <c r="K1896" i="2" s="1"/>
  <c r="C1897" i="2"/>
  <c r="K1897" i="2" s="1"/>
  <c r="C1898" i="2"/>
  <c r="K1898" i="2" s="1"/>
  <c r="C1899" i="2"/>
  <c r="K1899" i="2" s="1"/>
  <c r="C1900" i="2"/>
  <c r="K1900" i="2" s="1"/>
  <c r="C1901" i="2"/>
  <c r="K1901" i="2" s="1"/>
  <c r="C1902" i="2"/>
  <c r="K1902" i="2" s="1"/>
  <c r="C1903" i="2"/>
  <c r="K1903" i="2" s="1"/>
  <c r="C1904" i="2"/>
  <c r="K1904" i="2" s="1"/>
  <c r="C1905" i="2"/>
  <c r="K1905" i="2" s="1"/>
  <c r="C1906" i="2"/>
  <c r="K1906" i="2" s="1"/>
  <c r="C1907" i="2"/>
  <c r="K1907" i="2" s="1"/>
  <c r="C1908" i="2"/>
  <c r="K1908" i="2" s="1"/>
  <c r="C1909" i="2"/>
  <c r="K1909" i="2" s="1"/>
  <c r="C1910" i="2"/>
  <c r="K1910" i="2" s="1"/>
  <c r="C1911" i="2"/>
  <c r="K1911" i="2" s="1"/>
  <c r="C1912" i="2"/>
  <c r="K1912" i="2" s="1"/>
  <c r="C1913" i="2"/>
  <c r="K1913" i="2" s="1"/>
  <c r="C1914" i="2"/>
  <c r="K1914" i="2" s="1"/>
  <c r="C1915" i="2"/>
  <c r="K1915" i="2" s="1"/>
  <c r="C1916" i="2"/>
  <c r="K1916" i="2" s="1"/>
  <c r="C1917" i="2"/>
  <c r="K1917" i="2" s="1"/>
  <c r="C1918" i="2"/>
  <c r="K1918" i="2" s="1"/>
  <c r="C1919" i="2"/>
  <c r="K1919" i="2" s="1"/>
  <c r="C1920" i="2"/>
  <c r="K1920" i="2" s="1"/>
  <c r="C1921" i="2"/>
  <c r="K1921" i="2" s="1"/>
  <c r="C1922" i="2"/>
  <c r="K1922" i="2" s="1"/>
  <c r="C1923" i="2"/>
  <c r="K1923" i="2" s="1"/>
  <c r="C1924" i="2"/>
  <c r="K1924" i="2" s="1"/>
  <c r="C1925" i="2"/>
  <c r="K1925" i="2" s="1"/>
  <c r="C1926" i="2"/>
  <c r="K1926" i="2" s="1"/>
  <c r="C1927" i="2"/>
  <c r="K1927" i="2" s="1"/>
  <c r="C1928" i="2"/>
  <c r="K1928" i="2" s="1"/>
  <c r="C1929" i="2"/>
  <c r="K1929" i="2" s="1"/>
  <c r="C1930" i="2"/>
  <c r="K1930" i="2" s="1"/>
  <c r="C1931" i="2"/>
  <c r="K1931" i="2" s="1"/>
  <c r="C1932" i="2"/>
  <c r="K1932" i="2" s="1"/>
  <c r="C1933" i="2"/>
  <c r="K1933" i="2" s="1"/>
  <c r="C1934" i="2"/>
  <c r="K1934" i="2" s="1"/>
  <c r="C1935" i="2"/>
  <c r="K1935" i="2" s="1"/>
  <c r="C1936" i="2"/>
  <c r="K1936" i="2" s="1"/>
  <c r="C1937" i="2"/>
  <c r="K1937" i="2" s="1"/>
  <c r="C1938" i="2"/>
  <c r="K1938" i="2" s="1"/>
  <c r="C1939" i="2"/>
  <c r="K1939" i="2" s="1"/>
  <c r="C1940" i="2"/>
  <c r="K1940" i="2" s="1"/>
  <c r="C1941" i="2"/>
  <c r="K1941" i="2" s="1"/>
  <c r="C1942" i="2"/>
  <c r="K1942" i="2" s="1"/>
  <c r="C1943" i="2"/>
  <c r="K1943" i="2" s="1"/>
  <c r="C1944" i="2"/>
  <c r="K1944" i="2" s="1"/>
  <c r="C1945" i="2"/>
  <c r="K1945" i="2" s="1"/>
  <c r="C1946" i="2"/>
  <c r="K1946" i="2" s="1"/>
  <c r="C1947" i="2"/>
  <c r="K1947" i="2" s="1"/>
  <c r="C1948" i="2"/>
  <c r="K1948" i="2" s="1"/>
  <c r="C1949" i="2"/>
  <c r="K1949" i="2" s="1"/>
  <c r="C1950" i="2"/>
  <c r="K1950" i="2" s="1"/>
  <c r="C1951" i="2"/>
  <c r="K1951" i="2" s="1"/>
  <c r="C1952" i="2"/>
  <c r="K1952" i="2" s="1"/>
  <c r="C1953" i="2"/>
  <c r="K1953" i="2" s="1"/>
  <c r="C1954" i="2"/>
  <c r="K1954" i="2" s="1"/>
  <c r="C1955" i="2"/>
  <c r="K1955" i="2" s="1"/>
  <c r="C1956" i="2"/>
  <c r="K1956" i="2" s="1"/>
  <c r="C1957" i="2"/>
  <c r="K1957" i="2" s="1"/>
  <c r="C1958" i="2"/>
  <c r="K1958" i="2" s="1"/>
  <c r="C1959" i="2"/>
  <c r="K1959" i="2" s="1"/>
  <c r="C1960" i="2"/>
  <c r="K1960" i="2" s="1"/>
  <c r="C1961" i="2"/>
  <c r="K1961" i="2" s="1"/>
  <c r="C1962" i="2"/>
  <c r="K1962" i="2" s="1"/>
  <c r="C1963" i="2"/>
  <c r="K1963" i="2" s="1"/>
  <c r="C1964" i="2"/>
  <c r="K1964" i="2" s="1"/>
  <c r="C1965" i="2"/>
  <c r="K1965" i="2" s="1"/>
  <c r="C1966" i="2"/>
  <c r="K1966" i="2" s="1"/>
  <c r="C1967" i="2"/>
  <c r="K1967" i="2" s="1"/>
  <c r="C1968" i="2"/>
  <c r="K1968" i="2" s="1"/>
  <c r="C1969" i="2"/>
  <c r="K1969" i="2" s="1"/>
  <c r="C1970" i="2"/>
  <c r="K1970" i="2" s="1"/>
  <c r="C1971" i="2"/>
  <c r="K1971" i="2" s="1"/>
  <c r="C1972" i="2"/>
  <c r="K1972" i="2" s="1"/>
  <c r="C1973" i="2"/>
  <c r="K1973" i="2" s="1"/>
  <c r="C1974" i="2"/>
  <c r="K1974" i="2" s="1"/>
  <c r="C1975" i="2"/>
  <c r="K1975" i="2" s="1"/>
  <c r="C1976" i="2"/>
  <c r="K1976" i="2" s="1"/>
  <c r="C1977" i="2"/>
  <c r="K1977" i="2" s="1"/>
  <c r="C1978" i="2"/>
  <c r="K1978" i="2" s="1"/>
  <c r="C1979" i="2"/>
  <c r="K1979" i="2" s="1"/>
  <c r="C1980" i="2"/>
  <c r="K1980" i="2" s="1"/>
  <c r="C1981" i="2"/>
  <c r="K1981" i="2" s="1"/>
  <c r="C1982" i="2"/>
  <c r="K1982" i="2" s="1"/>
  <c r="C1983" i="2"/>
  <c r="K1983" i="2" s="1"/>
  <c r="C1984" i="2"/>
  <c r="K1984" i="2" s="1"/>
  <c r="C1985" i="2"/>
  <c r="K1985" i="2" s="1"/>
  <c r="C1986" i="2"/>
  <c r="K1986" i="2" s="1"/>
  <c r="C1987" i="2"/>
  <c r="K1987" i="2" s="1"/>
  <c r="C1988" i="2"/>
  <c r="K1988" i="2" s="1"/>
  <c r="C1989" i="2"/>
  <c r="K1989" i="2" s="1"/>
  <c r="C1990" i="2"/>
  <c r="K1990" i="2" s="1"/>
  <c r="C1991" i="2"/>
  <c r="K1991" i="2" s="1"/>
  <c r="C1992" i="2"/>
  <c r="K1992" i="2" s="1"/>
  <c r="C1993" i="2"/>
  <c r="K1993" i="2" s="1"/>
  <c r="C1994" i="2"/>
  <c r="K1994" i="2" s="1"/>
  <c r="C1995" i="2"/>
  <c r="K1995" i="2" s="1"/>
  <c r="C1996" i="2"/>
  <c r="K1996" i="2" s="1"/>
  <c r="C1997" i="2"/>
  <c r="K1997" i="2" s="1"/>
  <c r="C1998" i="2"/>
  <c r="K1998" i="2" s="1"/>
  <c r="C1999" i="2"/>
  <c r="K1999" i="2" s="1"/>
  <c r="C2000" i="2"/>
  <c r="K2000" i="2" s="1"/>
  <c r="C2001" i="2"/>
  <c r="K2001" i="2" s="1"/>
  <c r="C2002" i="2"/>
  <c r="K2002" i="2" s="1"/>
  <c r="C2003" i="2"/>
  <c r="K2003" i="2" s="1"/>
  <c r="C2004" i="2"/>
  <c r="K2004" i="2" s="1"/>
  <c r="C2005" i="2"/>
  <c r="K2005" i="2" s="1"/>
  <c r="C2006" i="2"/>
  <c r="K2006" i="2" s="1"/>
  <c r="C2007" i="2"/>
  <c r="K2007" i="2" s="1"/>
  <c r="C2008" i="2"/>
  <c r="K2008" i="2" s="1"/>
  <c r="C2009" i="2"/>
  <c r="K2009" i="2" s="1"/>
  <c r="C2010" i="2"/>
  <c r="K2010" i="2" s="1"/>
  <c r="C2011" i="2"/>
  <c r="K2011" i="2" s="1"/>
  <c r="C2012" i="2"/>
  <c r="K2012" i="2" s="1"/>
  <c r="C2013" i="2"/>
  <c r="K2013" i="2" s="1"/>
  <c r="C2014" i="2"/>
  <c r="K2014" i="2" s="1"/>
  <c r="C2015" i="2"/>
  <c r="K2015" i="2" s="1"/>
  <c r="C2016" i="2"/>
  <c r="K2016" i="2" s="1"/>
  <c r="C2017" i="2"/>
  <c r="K2017" i="2" s="1"/>
  <c r="C2018" i="2"/>
  <c r="K2018" i="2" s="1"/>
  <c r="C2019" i="2"/>
  <c r="K2019" i="2" s="1"/>
  <c r="C2020" i="2"/>
  <c r="K2020" i="2" s="1"/>
  <c r="C2021" i="2"/>
  <c r="K2021" i="2" s="1"/>
  <c r="C2022" i="2"/>
  <c r="K2022" i="2" s="1"/>
  <c r="C2023" i="2"/>
  <c r="K2023" i="2" s="1"/>
  <c r="C2024" i="2"/>
  <c r="K2024" i="2" s="1"/>
  <c r="C2025" i="2"/>
  <c r="K2025" i="2" s="1"/>
  <c r="C2026" i="2"/>
  <c r="K2026" i="2" s="1"/>
  <c r="C2027" i="2"/>
  <c r="K2027" i="2" s="1"/>
  <c r="C2028" i="2"/>
  <c r="K2028" i="2" s="1"/>
  <c r="C2029" i="2"/>
  <c r="K2029" i="2" s="1"/>
  <c r="C2030" i="2"/>
  <c r="K2030" i="2" s="1"/>
  <c r="C2031" i="2"/>
  <c r="K2031" i="2" s="1"/>
  <c r="C2032" i="2"/>
  <c r="K2032" i="2" s="1"/>
  <c r="C2033" i="2"/>
  <c r="K2033" i="2" s="1"/>
  <c r="C2034" i="2"/>
  <c r="K2034" i="2" s="1"/>
  <c r="C2035" i="2"/>
  <c r="K2035" i="2" s="1"/>
  <c r="C2036" i="2"/>
  <c r="K2036" i="2" s="1"/>
  <c r="C2037" i="2"/>
  <c r="K2037" i="2" s="1"/>
  <c r="C2038" i="2"/>
  <c r="K2038" i="2" s="1"/>
  <c r="C2039" i="2"/>
  <c r="K2039" i="2" s="1"/>
  <c r="C2040" i="2"/>
  <c r="K2040" i="2" s="1"/>
  <c r="C2041" i="2"/>
  <c r="K2041" i="2" s="1"/>
  <c r="C2042" i="2"/>
  <c r="K2042" i="2" s="1"/>
  <c r="C2043" i="2"/>
  <c r="K2043" i="2" s="1"/>
  <c r="C2044" i="2"/>
  <c r="K2044" i="2" s="1"/>
  <c r="C2045" i="2"/>
  <c r="K2045" i="2" s="1"/>
  <c r="C2046" i="2"/>
  <c r="K2046" i="2" s="1"/>
  <c r="C2047" i="2"/>
  <c r="K2047" i="2" s="1"/>
  <c r="C2048" i="2"/>
  <c r="K2048" i="2" s="1"/>
  <c r="C2049" i="2"/>
  <c r="K2049" i="2" s="1"/>
  <c r="C2050" i="2"/>
  <c r="K2050" i="2" s="1"/>
  <c r="C2051" i="2"/>
  <c r="K2051" i="2" s="1"/>
  <c r="C2052" i="2"/>
  <c r="K2052" i="2" s="1"/>
  <c r="C2053" i="2"/>
  <c r="K2053" i="2" s="1"/>
  <c r="C2054" i="2"/>
  <c r="K2054" i="2" s="1"/>
  <c r="C2055" i="2"/>
  <c r="K2055" i="2" s="1"/>
  <c r="C2056" i="2"/>
  <c r="K2056" i="2" s="1"/>
  <c r="C2057" i="2"/>
  <c r="K2057" i="2" s="1"/>
  <c r="C2058" i="2"/>
  <c r="K2058" i="2" s="1"/>
  <c r="C2059" i="2"/>
  <c r="K2059" i="2" s="1"/>
  <c r="C2060" i="2"/>
  <c r="K2060" i="2" s="1"/>
  <c r="C2061" i="2"/>
  <c r="K2061" i="2" s="1"/>
  <c r="C2062" i="2"/>
  <c r="K2062" i="2" s="1"/>
  <c r="C2063" i="2"/>
  <c r="K2063" i="2" s="1"/>
  <c r="C2064" i="2"/>
  <c r="K2064" i="2" s="1"/>
  <c r="C2065" i="2"/>
  <c r="K2065" i="2" s="1"/>
  <c r="C2066" i="2"/>
  <c r="K2066" i="2" s="1"/>
  <c r="C2067" i="2"/>
  <c r="K2067" i="2" s="1"/>
  <c r="C2068" i="2"/>
  <c r="K2068" i="2" s="1"/>
  <c r="C2069" i="2"/>
  <c r="K2069" i="2" s="1"/>
  <c r="C2070" i="2"/>
  <c r="K2070" i="2" s="1"/>
  <c r="C2071" i="2"/>
  <c r="K2071" i="2" s="1"/>
  <c r="C2072" i="2"/>
  <c r="K2072" i="2" s="1"/>
  <c r="C2073" i="2"/>
  <c r="K2073" i="2" s="1"/>
  <c r="C2074" i="2"/>
  <c r="K2074" i="2" s="1"/>
  <c r="C2075" i="2"/>
  <c r="K2075" i="2" s="1"/>
  <c r="C2076" i="2"/>
  <c r="K2076" i="2" s="1"/>
  <c r="C2077" i="2"/>
  <c r="K2077" i="2" s="1"/>
  <c r="C2078" i="2"/>
  <c r="K2078" i="2" s="1"/>
  <c r="C2079" i="2"/>
  <c r="K2079" i="2" s="1"/>
  <c r="C2080" i="2"/>
  <c r="K2080" i="2" s="1"/>
  <c r="C2081" i="2"/>
  <c r="K2081" i="2" s="1"/>
  <c r="C2082" i="2"/>
  <c r="K2082" i="2" s="1"/>
  <c r="C2083" i="2"/>
  <c r="K2083" i="2" s="1"/>
  <c r="C2084" i="2"/>
  <c r="K2084" i="2" s="1"/>
  <c r="C2085" i="2"/>
  <c r="K2085" i="2" s="1"/>
  <c r="C2086" i="2"/>
  <c r="K2086" i="2" s="1"/>
  <c r="C2087" i="2"/>
  <c r="K2087" i="2" s="1"/>
  <c r="C2088" i="2"/>
  <c r="K2088" i="2" s="1"/>
  <c r="C2089" i="2"/>
  <c r="K2089" i="2" s="1"/>
  <c r="C2090" i="2"/>
  <c r="K2090" i="2" s="1"/>
  <c r="C2091" i="2"/>
  <c r="K2091" i="2" s="1"/>
  <c r="C2092" i="2"/>
  <c r="K2092" i="2" s="1"/>
  <c r="C2093" i="2"/>
  <c r="K2093" i="2" s="1"/>
  <c r="C2094" i="2"/>
  <c r="K2094" i="2" s="1"/>
  <c r="C2095" i="2"/>
  <c r="K2095" i="2" s="1"/>
  <c r="C2096" i="2"/>
  <c r="K2096" i="2" s="1"/>
  <c r="C2097" i="2"/>
  <c r="K2097" i="2" s="1"/>
  <c r="C2098" i="2"/>
  <c r="K2098" i="2" s="1"/>
  <c r="C2099" i="2"/>
  <c r="K2099" i="2" s="1"/>
  <c r="C2100" i="2"/>
  <c r="K2100" i="2" s="1"/>
  <c r="C2101" i="2"/>
  <c r="K2101" i="2" s="1"/>
  <c r="C2102" i="2"/>
  <c r="K2102" i="2" s="1"/>
  <c r="C2103" i="2"/>
  <c r="K2103" i="2" s="1"/>
  <c r="C2104" i="2"/>
  <c r="K2104" i="2" s="1"/>
  <c r="C2105" i="2"/>
  <c r="K2105" i="2" s="1"/>
  <c r="C2106" i="2"/>
  <c r="K2106" i="2" s="1"/>
  <c r="C2107" i="2"/>
  <c r="K2107" i="2" s="1"/>
  <c r="C2108" i="2"/>
  <c r="K2108" i="2" s="1"/>
  <c r="C2109" i="2"/>
  <c r="K2109" i="2" s="1"/>
  <c r="C2110" i="2"/>
  <c r="K2110" i="2" s="1"/>
  <c r="C2111" i="2"/>
  <c r="K2111" i="2" s="1"/>
  <c r="C2112" i="2"/>
  <c r="K2112" i="2" s="1"/>
  <c r="C2113" i="2"/>
  <c r="K2113" i="2" s="1"/>
  <c r="C2114" i="2"/>
  <c r="K2114" i="2" s="1"/>
  <c r="C2115" i="2"/>
  <c r="K2115" i="2" s="1"/>
  <c r="C2116" i="2"/>
  <c r="K2116" i="2" s="1"/>
  <c r="C2117" i="2"/>
  <c r="K2117" i="2" s="1"/>
  <c r="C2118" i="2"/>
  <c r="K2118" i="2" s="1"/>
  <c r="C2119" i="2"/>
  <c r="K2119" i="2" s="1"/>
  <c r="C2120" i="2"/>
  <c r="K2120" i="2" s="1"/>
  <c r="C2121" i="2"/>
  <c r="K2121" i="2" s="1"/>
  <c r="C2122" i="2"/>
  <c r="K2122" i="2" s="1"/>
  <c r="C2123" i="2"/>
  <c r="K2123" i="2" s="1"/>
  <c r="C2124" i="2"/>
  <c r="K2124" i="2" s="1"/>
  <c r="C2125" i="2"/>
  <c r="K2125" i="2" s="1"/>
  <c r="C2126" i="2"/>
  <c r="K2126" i="2" s="1"/>
  <c r="C2127" i="2"/>
  <c r="K2127" i="2" s="1"/>
  <c r="C2128" i="2"/>
  <c r="K2128" i="2" s="1"/>
  <c r="C2129" i="2"/>
  <c r="K2129" i="2" s="1"/>
  <c r="C2130" i="2"/>
  <c r="K2130" i="2" s="1"/>
  <c r="C2131" i="2"/>
  <c r="K2131" i="2" s="1"/>
  <c r="C2" i="2"/>
  <c r="K2" i="2" s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" i="2"/>
  <c r="C5" i="1"/>
  <c r="L234" i="2"/>
  <c r="L230" i="2"/>
  <c r="L226" i="2"/>
  <c r="L214" i="2"/>
  <c r="L202" i="2"/>
  <c r="L198" i="2"/>
  <c r="L194" i="2"/>
  <c r="L186" i="2"/>
  <c r="L178" i="2"/>
  <c r="L170" i="2"/>
  <c r="L166" i="2"/>
  <c r="L162" i="2"/>
  <c r="L150" i="2"/>
  <c r="L138" i="2"/>
  <c r="L134" i="2"/>
  <c r="L130" i="2"/>
  <c r="L122" i="2"/>
  <c r="L114" i="2"/>
  <c r="L106" i="2"/>
  <c r="L102" i="2"/>
  <c r="L98" i="2"/>
  <c r="L86" i="2"/>
  <c r="L74" i="2"/>
  <c r="L70" i="2"/>
  <c r="L66" i="2"/>
  <c r="L58" i="2"/>
  <c r="L50" i="2"/>
  <c r="L42" i="2"/>
  <c r="L38" i="2"/>
  <c r="L34" i="2"/>
  <c r="L22" i="2"/>
  <c r="L10" i="2"/>
  <c r="L6" i="2"/>
  <c r="D107" i="1"/>
  <c r="C107" i="1"/>
  <c r="D106" i="1"/>
  <c r="C106" i="1"/>
  <c r="D105" i="1"/>
  <c r="C105" i="1"/>
  <c r="D104" i="1"/>
  <c r="C104" i="1"/>
  <c r="D103" i="1"/>
  <c r="C103" i="1"/>
  <c r="D102" i="1"/>
  <c r="C102" i="1"/>
  <c r="D101" i="1"/>
  <c r="C101" i="1"/>
  <c r="D100" i="1"/>
  <c r="C100" i="1"/>
  <c r="D99" i="1"/>
  <c r="C99" i="1"/>
  <c r="D98" i="1"/>
  <c r="C98" i="1"/>
  <c r="D97" i="1"/>
  <c r="C97" i="1"/>
  <c r="D96" i="1"/>
  <c r="C96" i="1"/>
  <c r="D95" i="1"/>
  <c r="C95" i="1"/>
  <c r="D94" i="1"/>
  <c r="C94" i="1"/>
  <c r="D93" i="1"/>
  <c r="C93" i="1"/>
  <c r="D92" i="1"/>
  <c r="C92" i="1"/>
  <c r="D91" i="1"/>
  <c r="C91" i="1"/>
  <c r="D90" i="1"/>
  <c r="C90" i="1"/>
  <c r="D89" i="1"/>
  <c r="C89" i="1"/>
  <c r="D88" i="1"/>
  <c r="C88" i="1"/>
  <c r="D87" i="1"/>
  <c r="C87" i="1"/>
  <c r="D86" i="1"/>
  <c r="C86" i="1"/>
  <c r="D85" i="1"/>
  <c r="C85" i="1"/>
  <c r="D84" i="1"/>
  <c r="C84" i="1"/>
  <c r="D83" i="1"/>
  <c r="C83" i="1"/>
  <c r="D82" i="1"/>
  <c r="C82" i="1"/>
  <c r="D81" i="1"/>
  <c r="C81" i="1"/>
  <c r="D80" i="1"/>
  <c r="C80" i="1"/>
  <c r="D79" i="1"/>
  <c r="C79" i="1"/>
  <c r="D78" i="1"/>
  <c r="C78" i="1"/>
  <c r="D77" i="1"/>
  <c r="C77" i="1"/>
  <c r="D76" i="1"/>
  <c r="C76" i="1"/>
  <c r="D75" i="1"/>
  <c r="C75" i="1"/>
  <c r="D74" i="1"/>
  <c r="C74" i="1"/>
  <c r="D73" i="1"/>
  <c r="C73" i="1"/>
  <c r="D72" i="1"/>
  <c r="C72" i="1"/>
  <c r="D71" i="1"/>
  <c r="C71" i="1"/>
  <c r="D70" i="1"/>
  <c r="C70" i="1"/>
  <c r="D69" i="1"/>
  <c r="C69" i="1"/>
  <c r="D68" i="1"/>
  <c r="C68" i="1"/>
  <c r="D67" i="1"/>
  <c r="C67" i="1"/>
  <c r="D66" i="1"/>
  <c r="C66" i="1"/>
  <c r="D65" i="1"/>
  <c r="C65" i="1"/>
  <c r="D64" i="1"/>
  <c r="C64" i="1"/>
  <c r="D63" i="1"/>
  <c r="C63" i="1"/>
  <c r="D62" i="1"/>
  <c r="C62" i="1"/>
  <c r="D61" i="1"/>
  <c r="C61" i="1"/>
  <c r="D60" i="1"/>
  <c r="C60" i="1"/>
  <c r="D59" i="1"/>
  <c r="C59" i="1"/>
  <c r="D58" i="1"/>
  <c r="C58" i="1"/>
  <c r="D57" i="1"/>
  <c r="C57" i="1"/>
  <c r="D56" i="1"/>
  <c r="C56" i="1"/>
  <c r="D55" i="1"/>
  <c r="C55" i="1"/>
  <c r="D54" i="1"/>
  <c r="C54" i="1"/>
  <c r="E54" i="1" s="1"/>
  <c r="D53" i="1"/>
  <c r="C53" i="1"/>
  <c r="D52" i="1"/>
  <c r="C52" i="1"/>
  <c r="E52" i="1" s="1"/>
  <c r="D51" i="1"/>
  <c r="C51" i="1"/>
  <c r="D50" i="1"/>
  <c r="C50" i="1"/>
  <c r="E50" i="1" s="1"/>
  <c r="D49" i="1"/>
  <c r="C49" i="1"/>
  <c r="D48" i="1"/>
  <c r="C48" i="1"/>
  <c r="E48" i="1" s="1"/>
  <c r="D47" i="1"/>
  <c r="C47" i="1"/>
  <c r="D46" i="1"/>
  <c r="C46" i="1"/>
  <c r="E46" i="1" s="1"/>
  <c r="D45" i="1"/>
  <c r="C45" i="1"/>
  <c r="D44" i="1"/>
  <c r="C44" i="1"/>
  <c r="E44" i="1" s="1"/>
  <c r="D43" i="1"/>
  <c r="C43" i="1"/>
  <c r="D42" i="1"/>
  <c r="C42" i="1"/>
  <c r="E42" i="1" s="1"/>
  <c r="D41" i="1"/>
  <c r="C41" i="1"/>
  <c r="D40" i="1"/>
  <c r="C40" i="1"/>
  <c r="E40" i="1" s="1"/>
  <c r="D39" i="1"/>
  <c r="C39" i="1"/>
  <c r="D38" i="1"/>
  <c r="C38" i="1"/>
  <c r="E38" i="1" s="1"/>
  <c r="D37" i="1"/>
  <c r="C37" i="1"/>
  <c r="D36" i="1"/>
  <c r="C36" i="1"/>
  <c r="E36" i="1" s="1"/>
  <c r="D35" i="1"/>
  <c r="C35" i="1"/>
  <c r="D34" i="1"/>
  <c r="C34" i="1"/>
  <c r="E34" i="1" s="1"/>
  <c r="D33" i="1"/>
  <c r="C33" i="1"/>
  <c r="D32" i="1"/>
  <c r="C32" i="1"/>
  <c r="E32" i="1" s="1"/>
  <c r="D31" i="1"/>
  <c r="C31" i="1"/>
  <c r="D30" i="1"/>
  <c r="C30" i="1"/>
  <c r="E30" i="1" s="1"/>
  <c r="D29" i="1"/>
  <c r="C29" i="1"/>
  <c r="D28" i="1"/>
  <c r="C28" i="1"/>
  <c r="E28" i="1" s="1"/>
  <c r="D27" i="1"/>
  <c r="C27" i="1"/>
  <c r="D26" i="1"/>
  <c r="C26" i="1"/>
  <c r="E26" i="1" s="1"/>
  <c r="D25" i="1"/>
  <c r="C25" i="1"/>
  <c r="D24" i="1"/>
  <c r="C24" i="1"/>
  <c r="E24" i="1" s="1"/>
  <c r="D23" i="1"/>
  <c r="C23" i="1"/>
  <c r="D22" i="1"/>
  <c r="C22" i="1"/>
  <c r="E22" i="1" s="1"/>
  <c r="D21" i="1"/>
  <c r="C21" i="1"/>
  <c r="D20" i="1"/>
  <c r="C20" i="1"/>
  <c r="E20" i="1" s="1"/>
  <c r="D19" i="1"/>
  <c r="C19" i="1"/>
  <c r="D18" i="1"/>
  <c r="C18" i="1"/>
  <c r="E18" i="1" s="1"/>
  <c r="D17" i="1"/>
  <c r="C17" i="1"/>
  <c r="D16" i="1"/>
  <c r="C16" i="1"/>
  <c r="E16" i="1" s="1"/>
  <c r="D15" i="1"/>
  <c r="C15" i="1"/>
  <c r="D14" i="1"/>
  <c r="C14" i="1"/>
  <c r="E14" i="1" s="1"/>
  <c r="D13" i="1"/>
  <c r="C13" i="1"/>
  <c r="D12" i="1"/>
  <c r="C12" i="1"/>
  <c r="E12" i="1" s="1"/>
  <c r="D11" i="1"/>
  <c r="C11" i="1"/>
  <c r="D10" i="1"/>
  <c r="C10" i="1"/>
  <c r="E10" i="1" s="1"/>
  <c r="D9" i="1"/>
  <c r="C9" i="1"/>
  <c r="D8" i="1"/>
  <c r="C8" i="1"/>
  <c r="E8" i="1" s="1"/>
  <c r="D7" i="1"/>
  <c r="C7" i="1"/>
  <c r="D6" i="1"/>
  <c r="C6" i="1"/>
  <c r="E6" i="1" s="1"/>
  <c r="D5" i="1"/>
  <c r="D4" i="1"/>
  <c r="C4" i="1"/>
  <c r="D3" i="1"/>
  <c r="C3" i="1"/>
  <c r="D2" i="1"/>
  <c r="C2" i="1"/>
  <c r="E301" i="2"/>
  <c r="E53" i="2"/>
  <c r="E85" i="2"/>
  <c r="E21" i="2"/>
  <c r="E101" i="2"/>
  <c r="E277" i="2"/>
  <c r="E37" i="2"/>
  <c r="E73" i="2"/>
  <c r="E373" i="2"/>
  <c r="E105" i="2"/>
  <c r="E365" i="2"/>
  <c r="E269" i="2"/>
  <c r="E229" i="2"/>
  <c r="E325" i="2"/>
  <c r="E285" i="2"/>
  <c r="E341" i="2"/>
  <c r="E261" i="2"/>
  <c r="E57" i="2"/>
  <c r="E25" i="2"/>
  <c r="E133" i="2"/>
  <c r="E41" i="2"/>
  <c r="E69" i="2"/>
  <c r="E89" i="2"/>
  <c r="E349" i="2"/>
  <c r="E165" i="2"/>
  <c r="E197" i="2"/>
  <c r="E317" i="2"/>
  <c r="E293" i="2"/>
  <c r="E357" i="2"/>
  <c r="E309" i="2"/>
  <c r="E333" i="2"/>
  <c r="E56" i="1" l="1"/>
  <c r="E58" i="1"/>
  <c r="E60" i="1"/>
  <c r="E62" i="1"/>
  <c r="E64" i="1"/>
  <c r="E66" i="1"/>
  <c r="E68" i="1"/>
  <c r="E70" i="1"/>
  <c r="E72" i="1"/>
  <c r="E7" i="1"/>
  <c r="E9" i="1"/>
  <c r="E11" i="1"/>
  <c r="E13" i="1"/>
  <c r="E15" i="1"/>
  <c r="E17" i="1"/>
  <c r="E19" i="1"/>
  <c r="E21" i="1"/>
  <c r="E23" i="1"/>
  <c r="E25" i="1"/>
  <c r="E27" i="1"/>
  <c r="E29" i="1"/>
  <c r="E31" i="1"/>
  <c r="E33" i="1"/>
  <c r="E35" i="1"/>
  <c r="E37" i="1"/>
  <c r="E39" i="1"/>
  <c r="E41" i="1"/>
  <c r="E43" i="1"/>
  <c r="E45" i="1"/>
  <c r="E47" i="1"/>
  <c r="E49" i="1"/>
  <c r="E51" i="1"/>
  <c r="E53" i="1"/>
  <c r="E55" i="1"/>
  <c r="E57" i="1"/>
  <c r="E59" i="1"/>
  <c r="E61" i="1"/>
  <c r="E63" i="1"/>
  <c r="E65" i="1"/>
  <c r="E67" i="1"/>
  <c r="E69" i="1"/>
  <c r="E71" i="1"/>
  <c r="E73" i="1"/>
  <c r="E75" i="1"/>
  <c r="E77" i="1"/>
  <c r="E79" i="1"/>
  <c r="E81" i="1"/>
  <c r="E83" i="1"/>
  <c r="E85" i="1"/>
  <c r="E87" i="1"/>
  <c r="E89" i="1"/>
  <c r="E91" i="1"/>
  <c r="E93" i="1"/>
  <c r="E95" i="1"/>
  <c r="E97" i="1"/>
  <c r="E99" i="1"/>
  <c r="E101" i="1"/>
  <c r="E103" i="1"/>
  <c r="E105" i="1"/>
  <c r="E107" i="1"/>
  <c r="M2125" i="2"/>
  <c r="N2125" i="2"/>
  <c r="M2117" i="2"/>
  <c r="N2117" i="2"/>
  <c r="M2101" i="2"/>
  <c r="N2101" i="2"/>
  <c r="M2093" i="2"/>
  <c r="N2093" i="2"/>
  <c r="M2089" i="2"/>
  <c r="N2089" i="2"/>
  <c r="M2085" i="2"/>
  <c r="N2085" i="2"/>
  <c r="M2081" i="2"/>
  <c r="N2081" i="2"/>
  <c r="M2077" i="2"/>
  <c r="N2077" i="2"/>
  <c r="M2073" i="2"/>
  <c r="N2073" i="2"/>
  <c r="M2069" i="2"/>
  <c r="N2069" i="2"/>
  <c r="M2065" i="2"/>
  <c r="N2065" i="2"/>
  <c r="M2061" i="2"/>
  <c r="N2061" i="2"/>
  <c r="M2057" i="2"/>
  <c r="N2057" i="2"/>
  <c r="M2053" i="2"/>
  <c r="N2053" i="2"/>
  <c r="M2049" i="2"/>
  <c r="N2049" i="2"/>
  <c r="M2045" i="2"/>
  <c r="N2045" i="2"/>
  <c r="M2129" i="2"/>
  <c r="N2129" i="2"/>
  <c r="M2121" i="2"/>
  <c r="N2121" i="2"/>
  <c r="M2113" i="2"/>
  <c r="N2113" i="2"/>
  <c r="M2109" i="2"/>
  <c r="N2109" i="2"/>
  <c r="M2105" i="2"/>
  <c r="N2105" i="2"/>
  <c r="M2097" i="2"/>
  <c r="N2097" i="2"/>
  <c r="M2131" i="2"/>
  <c r="N2131" i="2"/>
  <c r="M2127" i="2"/>
  <c r="N2127" i="2"/>
  <c r="M2123" i="2"/>
  <c r="N2123" i="2"/>
  <c r="M2119" i="2"/>
  <c r="N2119" i="2"/>
  <c r="M2115" i="2"/>
  <c r="N2115" i="2"/>
  <c r="M2111" i="2"/>
  <c r="N2111" i="2"/>
  <c r="M2107" i="2"/>
  <c r="N2107" i="2"/>
  <c r="M2103" i="2"/>
  <c r="N2103" i="2"/>
  <c r="M2099" i="2"/>
  <c r="N2099" i="2"/>
  <c r="M2095" i="2"/>
  <c r="N2095" i="2"/>
  <c r="M2091" i="2"/>
  <c r="N2091" i="2"/>
  <c r="M2087" i="2"/>
  <c r="N2087" i="2"/>
  <c r="M2083" i="2"/>
  <c r="N2083" i="2"/>
  <c r="M2079" i="2"/>
  <c r="N2079" i="2"/>
  <c r="M2075" i="2"/>
  <c r="N2075" i="2"/>
  <c r="M2071" i="2"/>
  <c r="N2071" i="2"/>
  <c r="M2067" i="2"/>
  <c r="N2067" i="2"/>
  <c r="M2063" i="2"/>
  <c r="N2063" i="2"/>
  <c r="M2059" i="2"/>
  <c r="N2059" i="2"/>
  <c r="M2055" i="2"/>
  <c r="N2055" i="2"/>
  <c r="M2051" i="2"/>
  <c r="N2051" i="2"/>
  <c r="M2047" i="2"/>
  <c r="N2047" i="2"/>
  <c r="M2043" i="2"/>
  <c r="N2043" i="2"/>
  <c r="M2039" i="2"/>
  <c r="N2039" i="2"/>
  <c r="M2035" i="2"/>
  <c r="N2035" i="2"/>
  <c r="M2031" i="2"/>
  <c r="N2031" i="2"/>
  <c r="M2027" i="2"/>
  <c r="N2027" i="2"/>
  <c r="M2023" i="2"/>
  <c r="N2023" i="2"/>
  <c r="M2019" i="2"/>
  <c r="N2019" i="2"/>
  <c r="M2015" i="2"/>
  <c r="N2015" i="2"/>
  <c r="M2011" i="2"/>
  <c r="N2011" i="2"/>
  <c r="M2007" i="2"/>
  <c r="N2007" i="2"/>
  <c r="M2003" i="2"/>
  <c r="N2003" i="2"/>
  <c r="M1999" i="2"/>
  <c r="N1999" i="2"/>
  <c r="M1995" i="2"/>
  <c r="N1995" i="2"/>
  <c r="M1991" i="2"/>
  <c r="N1991" i="2"/>
  <c r="M1987" i="2"/>
  <c r="N1987" i="2"/>
  <c r="M1983" i="2"/>
  <c r="N1983" i="2"/>
  <c r="M1979" i="2"/>
  <c r="N1979" i="2"/>
  <c r="M1975" i="2"/>
  <c r="N1975" i="2"/>
  <c r="M1971" i="2"/>
  <c r="N1971" i="2"/>
  <c r="M1967" i="2"/>
  <c r="N1967" i="2"/>
  <c r="M1963" i="2"/>
  <c r="N1963" i="2"/>
  <c r="M1959" i="2"/>
  <c r="N1959" i="2"/>
  <c r="M1955" i="2"/>
  <c r="N1955" i="2"/>
  <c r="M1951" i="2"/>
  <c r="N1951" i="2"/>
  <c r="M1947" i="2"/>
  <c r="N1947" i="2"/>
  <c r="M1943" i="2"/>
  <c r="N1943" i="2"/>
  <c r="M1939" i="2"/>
  <c r="N1939" i="2"/>
  <c r="M1935" i="2"/>
  <c r="N1935" i="2"/>
  <c r="M1931" i="2"/>
  <c r="N1931" i="2"/>
  <c r="M1927" i="2"/>
  <c r="N1927" i="2"/>
  <c r="M1923" i="2"/>
  <c r="N1923" i="2"/>
  <c r="M1919" i="2"/>
  <c r="N1919" i="2"/>
  <c r="M1915" i="2"/>
  <c r="N1915" i="2"/>
  <c r="M1911" i="2"/>
  <c r="N1911" i="2"/>
  <c r="M1907" i="2"/>
  <c r="N1907" i="2"/>
  <c r="M1903" i="2"/>
  <c r="N1903" i="2"/>
  <c r="M1899" i="2"/>
  <c r="N1899" i="2"/>
  <c r="M1895" i="2"/>
  <c r="N1895" i="2"/>
  <c r="M1891" i="2"/>
  <c r="N1891" i="2"/>
  <c r="M1887" i="2"/>
  <c r="N1887" i="2"/>
  <c r="M1883" i="2"/>
  <c r="N1883" i="2"/>
  <c r="M1879" i="2"/>
  <c r="N1879" i="2"/>
  <c r="M1875" i="2"/>
  <c r="N1875" i="2"/>
  <c r="M1871" i="2"/>
  <c r="N1871" i="2"/>
  <c r="M1867" i="2"/>
  <c r="N1867" i="2"/>
  <c r="M1863" i="2"/>
  <c r="N1863" i="2"/>
  <c r="M1859" i="2"/>
  <c r="N1859" i="2"/>
  <c r="M1855" i="2"/>
  <c r="N1855" i="2"/>
  <c r="M1851" i="2"/>
  <c r="N1851" i="2"/>
  <c r="M1847" i="2"/>
  <c r="N1847" i="2"/>
  <c r="M1843" i="2"/>
  <c r="N1843" i="2"/>
  <c r="M1839" i="2"/>
  <c r="N1839" i="2"/>
  <c r="M1835" i="2"/>
  <c r="N1835" i="2"/>
  <c r="M1831" i="2"/>
  <c r="N1831" i="2"/>
  <c r="M2130" i="2"/>
  <c r="N2130" i="2"/>
  <c r="M2126" i="2"/>
  <c r="N2126" i="2"/>
  <c r="M2122" i="2"/>
  <c r="N2122" i="2"/>
  <c r="M2118" i="2"/>
  <c r="N2118" i="2"/>
  <c r="M2114" i="2"/>
  <c r="N2114" i="2"/>
  <c r="M2110" i="2"/>
  <c r="N2110" i="2"/>
  <c r="M2106" i="2"/>
  <c r="N2106" i="2"/>
  <c r="M2102" i="2"/>
  <c r="N2102" i="2"/>
  <c r="M2098" i="2"/>
  <c r="N2098" i="2"/>
  <c r="M2094" i="2"/>
  <c r="N2094" i="2"/>
  <c r="M2090" i="2"/>
  <c r="N2090" i="2"/>
  <c r="M2086" i="2"/>
  <c r="N2086" i="2"/>
  <c r="M2082" i="2"/>
  <c r="N2082" i="2"/>
  <c r="M2078" i="2"/>
  <c r="N2078" i="2"/>
  <c r="M2074" i="2"/>
  <c r="N2074" i="2"/>
  <c r="M2070" i="2"/>
  <c r="N2070" i="2"/>
  <c r="M2066" i="2"/>
  <c r="N2066" i="2"/>
  <c r="M2062" i="2"/>
  <c r="N2062" i="2"/>
  <c r="M2058" i="2"/>
  <c r="N2058" i="2"/>
  <c r="M2054" i="2"/>
  <c r="N2054" i="2"/>
  <c r="M2050" i="2"/>
  <c r="N2050" i="2"/>
  <c r="M2046" i="2"/>
  <c r="N2046" i="2"/>
  <c r="M2041" i="2"/>
  <c r="N2041" i="2"/>
  <c r="M2037" i="2"/>
  <c r="N2037" i="2"/>
  <c r="M2033" i="2"/>
  <c r="N2033" i="2"/>
  <c r="M2029" i="2"/>
  <c r="N2029" i="2"/>
  <c r="M2025" i="2"/>
  <c r="N2025" i="2"/>
  <c r="M2021" i="2"/>
  <c r="N2021" i="2"/>
  <c r="M2017" i="2"/>
  <c r="N2017" i="2"/>
  <c r="M2013" i="2"/>
  <c r="N2013" i="2"/>
  <c r="M2009" i="2"/>
  <c r="N2009" i="2"/>
  <c r="M2005" i="2"/>
  <c r="N2005" i="2"/>
  <c r="M2001" i="2"/>
  <c r="N2001" i="2"/>
  <c r="M1997" i="2"/>
  <c r="N1997" i="2"/>
  <c r="M1993" i="2"/>
  <c r="N1993" i="2"/>
  <c r="M1989" i="2"/>
  <c r="N1989" i="2"/>
  <c r="M1985" i="2"/>
  <c r="N1985" i="2"/>
  <c r="M1981" i="2"/>
  <c r="N1981" i="2"/>
  <c r="M1977" i="2"/>
  <c r="N1977" i="2"/>
  <c r="M1973" i="2"/>
  <c r="N1973" i="2"/>
  <c r="M1969" i="2"/>
  <c r="N1969" i="2"/>
  <c r="M1965" i="2"/>
  <c r="N1965" i="2"/>
  <c r="M1961" i="2"/>
  <c r="N1961" i="2"/>
  <c r="M1957" i="2"/>
  <c r="N1957" i="2"/>
  <c r="M1953" i="2"/>
  <c r="N1953" i="2"/>
  <c r="M1949" i="2"/>
  <c r="N1949" i="2"/>
  <c r="M1945" i="2"/>
  <c r="N1945" i="2"/>
  <c r="M1941" i="2"/>
  <c r="N1941" i="2"/>
  <c r="M1937" i="2"/>
  <c r="N1937" i="2"/>
  <c r="M1933" i="2"/>
  <c r="N1933" i="2"/>
  <c r="M1929" i="2"/>
  <c r="N1929" i="2"/>
  <c r="M1925" i="2"/>
  <c r="N1925" i="2"/>
  <c r="M1921" i="2"/>
  <c r="N1921" i="2"/>
  <c r="M1917" i="2"/>
  <c r="N1917" i="2"/>
  <c r="M1913" i="2"/>
  <c r="N1913" i="2"/>
  <c r="M1909" i="2"/>
  <c r="N1909" i="2"/>
  <c r="M1905" i="2"/>
  <c r="N1905" i="2"/>
  <c r="M1901" i="2"/>
  <c r="N1901" i="2"/>
  <c r="M1897" i="2"/>
  <c r="N1897" i="2"/>
  <c r="M1893" i="2"/>
  <c r="N1893" i="2"/>
  <c r="M1889" i="2"/>
  <c r="N1889" i="2"/>
  <c r="M1885" i="2"/>
  <c r="N1885" i="2"/>
  <c r="M1881" i="2"/>
  <c r="N1881" i="2"/>
  <c r="M1877" i="2"/>
  <c r="N1877" i="2"/>
  <c r="M1873" i="2"/>
  <c r="N1873" i="2"/>
  <c r="M1869" i="2"/>
  <c r="N1869" i="2"/>
  <c r="M1865" i="2"/>
  <c r="N1865" i="2"/>
  <c r="M1861" i="2"/>
  <c r="N1861" i="2"/>
  <c r="M1857" i="2"/>
  <c r="N1857" i="2"/>
  <c r="M1853" i="2"/>
  <c r="N1853" i="2"/>
  <c r="M1849" i="2"/>
  <c r="N1849" i="2"/>
  <c r="M1845" i="2"/>
  <c r="N1845" i="2"/>
  <c r="M1841" i="2"/>
  <c r="N1841" i="2"/>
  <c r="M1837" i="2"/>
  <c r="N1837" i="2"/>
  <c r="M1833" i="2"/>
  <c r="N1833" i="2"/>
  <c r="M1829" i="2"/>
  <c r="N1829" i="2"/>
  <c r="M1825" i="2"/>
  <c r="N1825" i="2"/>
  <c r="M1821" i="2"/>
  <c r="N1821" i="2"/>
  <c r="M1817" i="2"/>
  <c r="N1817" i="2"/>
  <c r="M1813" i="2"/>
  <c r="N1813" i="2"/>
  <c r="M1809" i="2"/>
  <c r="N1809" i="2"/>
  <c r="M1805" i="2"/>
  <c r="N1805" i="2"/>
  <c r="M1801" i="2"/>
  <c r="N1801" i="2"/>
  <c r="M1797" i="2"/>
  <c r="N1797" i="2"/>
  <c r="M1793" i="2"/>
  <c r="N1793" i="2"/>
  <c r="M1789" i="2"/>
  <c r="N1789" i="2"/>
  <c r="M1785" i="2"/>
  <c r="N1785" i="2"/>
  <c r="M1781" i="2"/>
  <c r="N1781" i="2"/>
  <c r="M1777" i="2"/>
  <c r="N1777" i="2"/>
  <c r="M1773" i="2"/>
  <c r="N1773" i="2"/>
  <c r="M1769" i="2"/>
  <c r="N1769" i="2"/>
  <c r="M1765" i="2"/>
  <c r="N1765" i="2"/>
  <c r="M1761" i="2"/>
  <c r="N1761" i="2"/>
  <c r="M1757" i="2"/>
  <c r="N1757" i="2"/>
  <c r="M1753" i="2"/>
  <c r="N1753" i="2"/>
  <c r="M1749" i="2"/>
  <c r="N1749" i="2"/>
  <c r="M1745" i="2"/>
  <c r="N1745" i="2"/>
  <c r="M1741" i="2"/>
  <c r="N1741" i="2"/>
  <c r="M1737" i="2"/>
  <c r="N1737" i="2"/>
  <c r="M1733" i="2"/>
  <c r="N1733" i="2"/>
  <c r="M1729" i="2"/>
  <c r="N1729" i="2"/>
  <c r="M1725" i="2"/>
  <c r="N1725" i="2"/>
  <c r="M1721" i="2"/>
  <c r="N1721" i="2"/>
  <c r="M1717" i="2"/>
  <c r="N1717" i="2"/>
  <c r="M1713" i="2"/>
  <c r="N1713" i="2"/>
  <c r="M1709" i="2"/>
  <c r="N1709" i="2"/>
  <c r="M1705" i="2"/>
  <c r="N1705" i="2"/>
  <c r="M1701" i="2"/>
  <c r="N1701" i="2"/>
  <c r="M1697" i="2"/>
  <c r="N1697" i="2"/>
  <c r="M1693" i="2"/>
  <c r="N1693" i="2"/>
  <c r="M1689" i="2"/>
  <c r="N1689" i="2"/>
  <c r="M1685" i="2"/>
  <c r="N1685" i="2"/>
  <c r="M1681" i="2"/>
  <c r="N1681" i="2"/>
  <c r="M1677" i="2"/>
  <c r="N1677" i="2"/>
  <c r="M1673" i="2"/>
  <c r="N1673" i="2"/>
  <c r="M1669" i="2"/>
  <c r="N1669" i="2"/>
  <c r="M1665" i="2"/>
  <c r="N1665" i="2"/>
  <c r="M1661" i="2"/>
  <c r="N1661" i="2"/>
  <c r="M1657" i="2"/>
  <c r="N1657" i="2"/>
  <c r="M1653" i="2"/>
  <c r="N1653" i="2"/>
  <c r="M1649" i="2"/>
  <c r="N1649" i="2"/>
  <c r="M1645" i="2"/>
  <c r="N1645" i="2"/>
  <c r="M1641" i="2"/>
  <c r="N1641" i="2"/>
  <c r="M1637" i="2"/>
  <c r="N1637" i="2"/>
  <c r="M1633" i="2"/>
  <c r="N1633" i="2"/>
  <c r="M1629" i="2"/>
  <c r="N1629" i="2"/>
  <c r="M1625" i="2"/>
  <c r="N1625" i="2"/>
  <c r="M1621" i="2"/>
  <c r="N1621" i="2"/>
  <c r="M1617" i="2"/>
  <c r="N1617" i="2"/>
  <c r="M1613" i="2"/>
  <c r="N1613" i="2"/>
  <c r="M1609" i="2"/>
  <c r="N1609" i="2"/>
  <c r="M1605" i="2"/>
  <c r="N1605" i="2"/>
  <c r="M1601" i="2"/>
  <c r="N1601" i="2"/>
  <c r="M1597" i="2"/>
  <c r="N1597" i="2"/>
  <c r="M1593" i="2"/>
  <c r="N1593" i="2"/>
  <c r="M1589" i="2"/>
  <c r="N1589" i="2"/>
  <c r="M1585" i="2"/>
  <c r="N1585" i="2"/>
  <c r="M1581" i="2"/>
  <c r="N1581" i="2"/>
  <c r="M1577" i="2"/>
  <c r="N1577" i="2"/>
  <c r="M1573" i="2"/>
  <c r="N1573" i="2"/>
  <c r="M1569" i="2"/>
  <c r="N1569" i="2"/>
  <c r="M1565" i="2"/>
  <c r="N1565" i="2"/>
  <c r="M1561" i="2"/>
  <c r="N1561" i="2"/>
  <c r="M1557" i="2"/>
  <c r="N1557" i="2"/>
  <c r="M1553" i="2"/>
  <c r="N1553" i="2"/>
  <c r="M1549" i="2"/>
  <c r="N1549" i="2"/>
  <c r="M1545" i="2"/>
  <c r="N1545" i="2"/>
  <c r="M1541" i="2"/>
  <c r="N1541" i="2"/>
  <c r="M1537" i="2"/>
  <c r="N1537" i="2"/>
  <c r="M1533" i="2"/>
  <c r="N1533" i="2"/>
  <c r="M1529" i="2"/>
  <c r="N1529" i="2"/>
  <c r="M1525" i="2"/>
  <c r="N1525" i="2"/>
  <c r="M1521" i="2"/>
  <c r="N1521" i="2"/>
  <c r="M1517" i="2"/>
  <c r="N1517" i="2"/>
  <c r="M1513" i="2"/>
  <c r="N1513" i="2"/>
  <c r="M1509" i="2"/>
  <c r="N1509" i="2"/>
  <c r="M1505" i="2"/>
  <c r="N1505" i="2"/>
  <c r="M1501" i="2"/>
  <c r="N1501" i="2"/>
  <c r="M1497" i="2"/>
  <c r="N1497" i="2"/>
  <c r="M1493" i="2"/>
  <c r="N1493" i="2"/>
  <c r="M1489" i="2"/>
  <c r="N1489" i="2"/>
  <c r="M1485" i="2"/>
  <c r="N1485" i="2"/>
  <c r="M1481" i="2"/>
  <c r="N1481" i="2"/>
  <c r="M1477" i="2"/>
  <c r="N1477" i="2"/>
  <c r="M1473" i="2"/>
  <c r="N1473" i="2"/>
  <c r="M1469" i="2"/>
  <c r="N1469" i="2"/>
  <c r="M1465" i="2"/>
  <c r="N1465" i="2"/>
  <c r="M1461" i="2"/>
  <c r="N1461" i="2"/>
  <c r="M1457" i="2"/>
  <c r="N1457" i="2"/>
  <c r="M1453" i="2"/>
  <c r="N1453" i="2"/>
  <c r="M1449" i="2"/>
  <c r="N1449" i="2"/>
  <c r="M1445" i="2"/>
  <c r="N1445" i="2"/>
  <c r="M1441" i="2"/>
  <c r="N1441" i="2"/>
  <c r="M1437" i="2"/>
  <c r="N1437" i="2"/>
  <c r="M1433" i="2"/>
  <c r="N1433" i="2"/>
  <c r="M1429" i="2"/>
  <c r="N1429" i="2"/>
  <c r="M1425" i="2"/>
  <c r="N1425" i="2"/>
  <c r="M1421" i="2"/>
  <c r="N1421" i="2"/>
  <c r="M1417" i="2"/>
  <c r="N1417" i="2"/>
  <c r="M1413" i="2"/>
  <c r="N1413" i="2"/>
  <c r="M1409" i="2"/>
  <c r="N1409" i="2"/>
  <c r="M1405" i="2"/>
  <c r="N1405" i="2"/>
  <c r="M1401" i="2"/>
  <c r="N1401" i="2"/>
  <c r="M1397" i="2"/>
  <c r="N1397" i="2"/>
  <c r="M1393" i="2"/>
  <c r="N1393" i="2"/>
  <c r="M1389" i="2"/>
  <c r="N1389" i="2"/>
  <c r="M1385" i="2"/>
  <c r="N1385" i="2"/>
  <c r="M1381" i="2"/>
  <c r="N1381" i="2"/>
  <c r="M1377" i="2"/>
  <c r="N1377" i="2"/>
  <c r="M1373" i="2"/>
  <c r="N1373" i="2"/>
  <c r="M1369" i="2"/>
  <c r="N1369" i="2"/>
  <c r="M1365" i="2"/>
  <c r="N1365" i="2"/>
  <c r="M1361" i="2"/>
  <c r="N1361" i="2"/>
  <c r="M1357" i="2"/>
  <c r="N1357" i="2"/>
  <c r="M1353" i="2"/>
  <c r="N1353" i="2"/>
  <c r="M1349" i="2"/>
  <c r="N1349" i="2"/>
  <c r="M1345" i="2"/>
  <c r="N1345" i="2"/>
  <c r="M1341" i="2"/>
  <c r="N1341" i="2"/>
  <c r="M1337" i="2"/>
  <c r="N1337" i="2"/>
  <c r="M1333" i="2"/>
  <c r="N1333" i="2"/>
  <c r="M1329" i="2"/>
  <c r="N1329" i="2"/>
  <c r="M1325" i="2"/>
  <c r="N1325" i="2"/>
  <c r="M1321" i="2"/>
  <c r="N1321" i="2"/>
  <c r="M1317" i="2"/>
  <c r="N1317" i="2"/>
  <c r="M1313" i="2"/>
  <c r="N1313" i="2"/>
  <c r="M1309" i="2"/>
  <c r="N1309" i="2"/>
  <c r="M1305" i="2"/>
  <c r="N1305" i="2"/>
  <c r="M1301" i="2"/>
  <c r="N1301" i="2"/>
  <c r="M1297" i="2"/>
  <c r="N1297" i="2"/>
  <c r="M1293" i="2"/>
  <c r="N1293" i="2"/>
  <c r="M1289" i="2"/>
  <c r="N1289" i="2"/>
  <c r="M1285" i="2"/>
  <c r="N1285" i="2"/>
  <c r="M1281" i="2"/>
  <c r="N1281" i="2"/>
  <c r="M1277" i="2"/>
  <c r="N1277" i="2"/>
  <c r="M1273" i="2"/>
  <c r="N1273" i="2"/>
  <c r="M1269" i="2"/>
  <c r="N1269" i="2"/>
  <c r="M1265" i="2"/>
  <c r="N1265" i="2"/>
  <c r="M1261" i="2"/>
  <c r="N1261" i="2"/>
  <c r="M1257" i="2"/>
  <c r="N1257" i="2"/>
  <c r="M1253" i="2"/>
  <c r="N1253" i="2"/>
  <c r="M1249" i="2"/>
  <c r="N1249" i="2"/>
  <c r="M1245" i="2"/>
  <c r="N1245" i="2"/>
  <c r="M1241" i="2"/>
  <c r="N1241" i="2"/>
  <c r="M1237" i="2"/>
  <c r="N1237" i="2"/>
  <c r="M1233" i="2"/>
  <c r="N1233" i="2"/>
  <c r="M1229" i="2"/>
  <c r="N1229" i="2"/>
  <c r="M1225" i="2"/>
  <c r="N1225" i="2"/>
  <c r="M1221" i="2"/>
  <c r="N1221" i="2"/>
  <c r="M1217" i="2"/>
  <c r="N1217" i="2"/>
  <c r="M1213" i="2"/>
  <c r="N1213" i="2"/>
  <c r="M1209" i="2"/>
  <c r="N1209" i="2"/>
  <c r="M1205" i="2"/>
  <c r="N1205" i="2"/>
  <c r="M1201" i="2"/>
  <c r="N1201" i="2"/>
  <c r="M1197" i="2"/>
  <c r="N1197" i="2"/>
  <c r="M1193" i="2"/>
  <c r="N1193" i="2"/>
  <c r="M1189" i="2"/>
  <c r="N1189" i="2"/>
  <c r="M1185" i="2"/>
  <c r="N1185" i="2"/>
  <c r="M1181" i="2"/>
  <c r="N1181" i="2"/>
  <c r="M1177" i="2"/>
  <c r="N1177" i="2"/>
  <c r="M1173" i="2"/>
  <c r="N1173" i="2"/>
  <c r="M1169" i="2"/>
  <c r="N1169" i="2"/>
  <c r="M1165" i="2"/>
  <c r="N1165" i="2"/>
  <c r="M1161" i="2"/>
  <c r="N1161" i="2"/>
  <c r="M1157" i="2"/>
  <c r="N1157" i="2"/>
  <c r="M1153" i="2"/>
  <c r="N1153" i="2"/>
  <c r="M1149" i="2"/>
  <c r="N1149" i="2"/>
  <c r="M1145" i="2"/>
  <c r="N1145" i="2"/>
  <c r="M1141" i="2"/>
  <c r="N1141" i="2"/>
  <c r="M1137" i="2"/>
  <c r="N1137" i="2"/>
  <c r="M1133" i="2"/>
  <c r="N1133" i="2"/>
  <c r="M1129" i="2"/>
  <c r="N1129" i="2"/>
  <c r="M1125" i="2"/>
  <c r="N1125" i="2"/>
  <c r="M1121" i="2"/>
  <c r="N1121" i="2"/>
  <c r="M1117" i="2"/>
  <c r="N1117" i="2"/>
  <c r="M1113" i="2"/>
  <c r="N1113" i="2"/>
  <c r="M1109" i="2"/>
  <c r="N1109" i="2"/>
  <c r="M1105" i="2"/>
  <c r="N1105" i="2"/>
  <c r="M1101" i="2"/>
  <c r="N1101" i="2"/>
  <c r="M1097" i="2"/>
  <c r="N1097" i="2"/>
  <c r="M1093" i="2"/>
  <c r="N1093" i="2"/>
  <c r="M1089" i="2"/>
  <c r="N1089" i="2"/>
  <c r="M1085" i="2"/>
  <c r="N1085" i="2"/>
  <c r="M1081" i="2"/>
  <c r="N1081" i="2"/>
  <c r="M1077" i="2"/>
  <c r="N1077" i="2"/>
  <c r="M1073" i="2"/>
  <c r="N1073" i="2"/>
  <c r="M1069" i="2"/>
  <c r="N1069" i="2"/>
  <c r="M1065" i="2"/>
  <c r="N1065" i="2"/>
  <c r="M1061" i="2"/>
  <c r="N1061" i="2"/>
  <c r="M1057" i="2"/>
  <c r="N1057" i="2"/>
  <c r="M1053" i="2"/>
  <c r="N1053" i="2"/>
  <c r="M1049" i="2"/>
  <c r="N1049" i="2"/>
  <c r="M1045" i="2"/>
  <c r="N1045" i="2"/>
  <c r="M1041" i="2"/>
  <c r="N1041" i="2"/>
  <c r="M1037" i="2"/>
  <c r="N1037" i="2"/>
  <c r="M1033" i="2"/>
  <c r="N1033" i="2"/>
  <c r="M1029" i="2"/>
  <c r="N1029" i="2"/>
  <c r="M1025" i="2"/>
  <c r="N1025" i="2"/>
  <c r="M1021" i="2"/>
  <c r="N1021" i="2"/>
  <c r="M1017" i="2"/>
  <c r="N1017" i="2"/>
  <c r="M1013" i="2"/>
  <c r="N1013" i="2"/>
  <c r="M1009" i="2"/>
  <c r="N1009" i="2"/>
  <c r="M1005" i="2"/>
  <c r="N1005" i="2"/>
  <c r="M1001" i="2"/>
  <c r="N1001" i="2"/>
  <c r="M997" i="2"/>
  <c r="N997" i="2"/>
  <c r="M993" i="2"/>
  <c r="N993" i="2"/>
  <c r="M989" i="2"/>
  <c r="N989" i="2"/>
  <c r="M985" i="2"/>
  <c r="N985" i="2"/>
  <c r="M981" i="2"/>
  <c r="N981" i="2"/>
  <c r="M977" i="2"/>
  <c r="N977" i="2"/>
  <c r="M973" i="2"/>
  <c r="N973" i="2"/>
  <c r="M969" i="2"/>
  <c r="N969" i="2"/>
  <c r="M965" i="2"/>
  <c r="N965" i="2"/>
  <c r="M961" i="2"/>
  <c r="N961" i="2"/>
  <c r="M957" i="2"/>
  <c r="N957" i="2"/>
  <c r="M953" i="2"/>
  <c r="N953" i="2"/>
  <c r="M949" i="2"/>
  <c r="N949" i="2"/>
  <c r="M945" i="2"/>
  <c r="N945" i="2"/>
  <c r="M941" i="2"/>
  <c r="N941" i="2"/>
  <c r="M937" i="2"/>
  <c r="N937" i="2"/>
  <c r="M933" i="2"/>
  <c r="N933" i="2"/>
  <c r="M929" i="2"/>
  <c r="N929" i="2"/>
  <c r="M925" i="2"/>
  <c r="N925" i="2"/>
  <c r="M921" i="2"/>
  <c r="N921" i="2"/>
  <c r="M917" i="2"/>
  <c r="N917" i="2"/>
  <c r="M913" i="2"/>
  <c r="N913" i="2"/>
  <c r="M909" i="2"/>
  <c r="N909" i="2"/>
  <c r="M905" i="2"/>
  <c r="N905" i="2"/>
  <c r="M901" i="2"/>
  <c r="N901" i="2"/>
  <c r="M897" i="2"/>
  <c r="N897" i="2"/>
  <c r="M893" i="2"/>
  <c r="N893" i="2"/>
  <c r="M889" i="2"/>
  <c r="N889" i="2"/>
  <c r="M885" i="2"/>
  <c r="N885" i="2"/>
  <c r="M881" i="2"/>
  <c r="N881" i="2"/>
  <c r="M877" i="2"/>
  <c r="N877" i="2"/>
  <c r="M873" i="2"/>
  <c r="N873" i="2"/>
  <c r="M869" i="2"/>
  <c r="N869" i="2"/>
  <c r="M865" i="2"/>
  <c r="N865" i="2"/>
  <c r="M861" i="2"/>
  <c r="N861" i="2"/>
  <c r="M857" i="2"/>
  <c r="N857" i="2"/>
  <c r="M853" i="2"/>
  <c r="N853" i="2"/>
  <c r="M849" i="2"/>
  <c r="N849" i="2"/>
  <c r="M845" i="2"/>
  <c r="N845" i="2"/>
  <c r="M841" i="2"/>
  <c r="N841" i="2"/>
  <c r="M837" i="2"/>
  <c r="N837" i="2"/>
  <c r="M833" i="2"/>
  <c r="N833" i="2"/>
  <c r="M829" i="2"/>
  <c r="N829" i="2"/>
  <c r="M825" i="2"/>
  <c r="N825" i="2"/>
  <c r="M821" i="2"/>
  <c r="N821" i="2"/>
  <c r="M817" i="2"/>
  <c r="N817" i="2"/>
  <c r="M813" i="2"/>
  <c r="N813" i="2"/>
  <c r="M809" i="2"/>
  <c r="N809" i="2"/>
  <c r="M805" i="2"/>
  <c r="N805" i="2"/>
  <c r="M801" i="2"/>
  <c r="N801" i="2"/>
  <c r="M797" i="2"/>
  <c r="N797" i="2"/>
  <c r="M793" i="2"/>
  <c r="N793" i="2"/>
  <c r="M789" i="2"/>
  <c r="N789" i="2"/>
  <c r="M785" i="2"/>
  <c r="N785" i="2"/>
  <c r="M781" i="2"/>
  <c r="N781" i="2"/>
  <c r="M777" i="2"/>
  <c r="N777" i="2"/>
  <c r="M773" i="2"/>
  <c r="N773" i="2"/>
  <c r="M769" i="2"/>
  <c r="N769" i="2"/>
  <c r="M765" i="2"/>
  <c r="N765" i="2"/>
  <c r="M761" i="2"/>
  <c r="N761" i="2"/>
  <c r="M757" i="2"/>
  <c r="N757" i="2"/>
  <c r="M753" i="2"/>
  <c r="N753" i="2"/>
  <c r="M749" i="2"/>
  <c r="N749" i="2"/>
  <c r="M745" i="2"/>
  <c r="N745" i="2"/>
  <c r="M741" i="2"/>
  <c r="N741" i="2"/>
  <c r="M737" i="2"/>
  <c r="N737" i="2"/>
  <c r="M733" i="2"/>
  <c r="N733" i="2"/>
  <c r="M729" i="2"/>
  <c r="N729" i="2"/>
  <c r="M725" i="2"/>
  <c r="N725" i="2"/>
  <c r="M721" i="2"/>
  <c r="N721" i="2"/>
  <c r="M717" i="2"/>
  <c r="N717" i="2"/>
  <c r="M713" i="2"/>
  <c r="N713" i="2"/>
  <c r="M709" i="2"/>
  <c r="N709" i="2"/>
  <c r="M705" i="2"/>
  <c r="N705" i="2"/>
  <c r="M701" i="2"/>
  <c r="N701" i="2"/>
  <c r="M697" i="2"/>
  <c r="N697" i="2"/>
  <c r="M693" i="2"/>
  <c r="N693" i="2"/>
  <c r="M689" i="2"/>
  <c r="N689" i="2"/>
  <c r="M685" i="2"/>
  <c r="N685" i="2"/>
  <c r="M681" i="2"/>
  <c r="N681" i="2"/>
  <c r="M677" i="2"/>
  <c r="N677" i="2"/>
  <c r="M673" i="2"/>
  <c r="N673" i="2"/>
  <c r="M669" i="2"/>
  <c r="N669" i="2"/>
  <c r="M665" i="2"/>
  <c r="N665" i="2"/>
  <c r="M661" i="2"/>
  <c r="N661" i="2"/>
  <c r="M657" i="2"/>
  <c r="N657" i="2"/>
  <c r="M653" i="2"/>
  <c r="N653" i="2"/>
  <c r="M649" i="2"/>
  <c r="N649" i="2"/>
  <c r="M645" i="2"/>
  <c r="N645" i="2"/>
  <c r="M641" i="2"/>
  <c r="N641" i="2"/>
  <c r="M637" i="2"/>
  <c r="N637" i="2"/>
  <c r="M633" i="2"/>
  <c r="N633" i="2"/>
  <c r="M629" i="2"/>
  <c r="N629" i="2"/>
  <c r="M625" i="2"/>
  <c r="N625" i="2"/>
  <c r="M621" i="2"/>
  <c r="N621" i="2"/>
  <c r="M617" i="2"/>
  <c r="N617" i="2"/>
  <c r="M613" i="2"/>
  <c r="N613" i="2"/>
  <c r="M609" i="2"/>
  <c r="N609" i="2"/>
  <c r="M605" i="2"/>
  <c r="N605" i="2"/>
  <c r="M601" i="2"/>
  <c r="N601" i="2"/>
  <c r="M597" i="2"/>
  <c r="N597" i="2"/>
  <c r="M593" i="2"/>
  <c r="N593" i="2"/>
  <c r="M589" i="2"/>
  <c r="N589" i="2"/>
  <c r="M585" i="2"/>
  <c r="N585" i="2"/>
  <c r="M581" i="2"/>
  <c r="N581" i="2"/>
  <c r="M577" i="2"/>
  <c r="N577" i="2"/>
  <c r="M573" i="2"/>
  <c r="N573" i="2"/>
  <c r="M569" i="2"/>
  <c r="N569" i="2"/>
  <c r="M565" i="2"/>
  <c r="N565" i="2"/>
  <c r="M561" i="2"/>
  <c r="N561" i="2"/>
  <c r="M557" i="2"/>
  <c r="N557" i="2"/>
  <c r="M553" i="2"/>
  <c r="N553" i="2"/>
  <c r="M549" i="2"/>
  <c r="N549" i="2"/>
  <c r="M545" i="2"/>
  <c r="N545" i="2"/>
  <c r="M541" i="2"/>
  <c r="N541" i="2"/>
  <c r="M537" i="2"/>
  <c r="N537" i="2"/>
  <c r="M533" i="2"/>
  <c r="N533" i="2"/>
  <c r="M529" i="2"/>
  <c r="N529" i="2"/>
  <c r="M525" i="2"/>
  <c r="N525" i="2"/>
  <c r="M521" i="2"/>
  <c r="N521" i="2"/>
  <c r="M517" i="2"/>
  <c r="N517" i="2"/>
  <c r="M513" i="2"/>
  <c r="N513" i="2"/>
  <c r="M509" i="2"/>
  <c r="N509" i="2"/>
  <c r="M505" i="2"/>
  <c r="N505" i="2"/>
  <c r="M501" i="2"/>
  <c r="N501" i="2"/>
  <c r="M497" i="2"/>
  <c r="N497" i="2"/>
  <c r="M493" i="2"/>
  <c r="N493" i="2"/>
  <c r="M489" i="2"/>
  <c r="N489" i="2"/>
  <c r="M485" i="2"/>
  <c r="N485" i="2"/>
  <c r="M481" i="2"/>
  <c r="N481" i="2"/>
  <c r="M477" i="2"/>
  <c r="N477" i="2"/>
  <c r="M473" i="2"/>
  <c r="N473" i="2"/>
  <c r="M469" i="2"/>
  <c r="N469" i="2"/>
  <c r="M465" i="2"/>
  <c r="N465" i="2"/>
  <c r="M461" i="2"/>
  <c r="N461" i="2"/>
  <c r="M457" i="2"/>
  <c r="N457" i="2"/>
  <c r="M453" i="2"/>
  <c r="N453" i="2"/>
  <c r="M449" i="2"/>
  <c r="N449" i="2"/>
  <c r="M445" i="2"/>
  <c r="N445" i="2"/>
  <c r="M441" i="2"/>
  <c r="N441" i="2"/>
  <c r="M437" i="2"/>
  <c r="N437" i="2"/>
  <c r="M433" i="2"/>
  <c r="N433" i="2"/>
  <c r="M429" i="2"/>
  <c r="N429" i="2"/>
  <c r="M425" i="2"/>
  <c r="N425" i="2"/>
  <c r="M421" i="2"/>
  <c r="N421" i="2"/>
  <c r="M417" i="2"/>
  <c r="N417" i="2"/>
  <c r="M413" i="2"/>
  <c r="N413" i="2"/>
  <c r="M409" i="2"/>
  <c r="N409" i="2"/>
  <c r="M405" i="2"/>
  <c r="N405" i="2"/>
  <c r="M401" i="2"/>
  <c r="N401" i="2"/>
  <c r="M397" i="2"/>
  <c r="N397" i="2"/>
  <c r="M393" i="2"/>
  <c r="N393" i="2"/>
  <c r="M389" i="2"/>
  <c r="N389" i="2"/>
  <c r="M385" i="2"/>
  <c r="N385" i="2"/>
  <c r="M381" i="2"/>
  <c r="N381" i="2"/>
  <c r="M377" i="2"/>
  <c r="N377" i="2"/>
  <c r="M373" i="2"/>
  <c r="N373" i="2"/>
  <c r="M369" i="2"/>
  <c r="N369" i="2"/>
  <c r="M365" i="2"/>
  <c r="N365" i="2"/>
  <c r="M361" i="2"/>
  <c r="N361" i="2"/>
  <c r="M357" i="2"/>
  <c r="N357" i="2"/>
  <c r="M353" i="2"/>
  <c r="N353" i="2"/>
  <c r="M349" i="2"/>
  <c r="N349" i="2"/>
  <c r="M345" i="2"/>
  <c r="N345" i="2"/>
  <c r="M341" i="2"/>
  <c r="N341" i="2"/>
  <c r="M337" i="2"/>
  <c r="N337" i="2"/>
  <c r="M333" i="2"/>
  <c r="N333" i="2"/>
  <c r="M329" i="2"/>
  <c r="N329" i="2"/>
  <c r="M325" i="2"/>
  <c r="N325" i="2"/>
  <c r="M321" i="2"/>
  <c r="N321" i="2"/>
  <c r="M317" i="2"/>
  <c r="N317" i="2"/>
  <c r="M313" i="2"/>
  <c r="N313" i="2"/>
  <c r="M309" i="2"/>
  <c r="N309" i="2"/>
  <c r="M305" i="2"/>
  <c r="N305" i="2"/>
  <c r="M301" i="2"/>
  <c r="N301" i="2"/>
  <c r="M297" i="2"/>
  <c r="N297" i="2"/>
  <c r="M293" i="2"/>
  <c r="N293" i="2"/>
  <c r="M289" i="2"/>
  <c r="N289" i="2"/>
  <c r="M285" i="2"/>
  <c r="N285" i="2"/>
  <c r="M281" i="2"/>
  <c r="N281" i="2"/>
  <c r="M277" i="2"/>
  <c r="N277" i="2"/>
  <c r="M273" i="2"/>
  <c r="N273" i="2"/>
  <c r="M269" i="2"/>
  <c r="N269" i="2"/>
  <c r="M265" i="2"/>
  <c r="N265" i="2"/>
  <c r="M261" i="2"/>
  <c r="N261" i="2"/>
  <c r="M257" i="2"/>
  <c r="N257" i="2"/>
  <c r="M253" i="2"/>
  <c r="N253" i="2"/>
  <c r="M249" i="2"/>
  <c r="N249" i="2"/>
  <c r="M245" i="2"/>
  <c r="N245" i="2"/>
  <c r="M241" i="2"/>
  <c r="N241" i="2"/>
  <c r="M237" i="2"/>
  <c r="N237" i="2"/>
  <c r="M233" i="2"/>
  <c r="N233" i="2"/>
  <c r="M229" i="2"/>
  <c r="N229" i="2"/>
  <c r="M225" i="2"/>
  <c r="N225" i="2"/>
  <c r="M221" i="2"/>
  <c r="N221" i="2"/>
  <c r="M217" i="2"/>
  <c r="N217" i="2"/>
  <c r="M213" i="2"/>
  <c r="N213" i="2"/>
  <c r="M209" i="2"/>
  <c r="N209" i="2"/>
  <c r="M205" i="2"/>
  <c r="N205" i="2"/>
  <c r="M201" i="2"/>
  <c r="N201" i="2"/>
  <c r="M197" i="2"/>
  <c r="N197" i="2"/>
  <c r="M193" i="2"/>
  <c r="N193" i="2"/>
  <c r="M189" i="2"/>
  <c r="N189" i="2"/>
  <c r="M185" i="2"/>
  <c r="N185" i="2"/>
  <c r="M181" i="2"/>
  <c r="N181" i="2"/>
  <c r="M177" i="2"/>
  <c r="N177" i="2"/>
  <c r="M173" i="2"/>
  <c r="N173" i="2"/>
  <c r="M169" i="2"/>
  <c r="N169" i="2"/>
  <c r="M165" i="2"/>
  <c r="N165" i="2"/>
  <c r="M161" i="2"/>
  <c r="N161" i="2"/>
  <c r="M157" i="2"/>
  <c r="N157" i="2"/>
  <c r="M153" i="2"/>
  <c r="N153" i="2"/>
  <c r="M149" i="2"/>
  <c r="N149" i="2"/>
  <c r="M145" i="2"/>
  <c r="N145" i="2"/>
  <c r="M141" i="2"/>
  <c r="N141" i="2"/>
  <c r="M137" i="2"/>
  <c r="N137" i="2"/>
  <c r="M133" i="2"/>
  <c r="N133" i="2"/>
  <c r="M129" i="2"/>
  <c r="N129" i="2"/>
  <c r="M125" i="2"/>
  <c r="N125" i="2"/>
  <c r="M121" i="2"/>
  <c r="N121" i="2"/>
  <c r="M117" i="2"/>
  <c r="N117" i="2"/>
  <c r="M113" i="2"/>
  <c r="N113" i="2"/>
  <c r="M109" i="2"/>
  <c r="N109" i="2"/>
  <c r="M105" i="2"/>
  <c r="N105" i="2"/>
  <c r="M101" i="2"/>
  <c r="N101" i="2"/>
  <c r="M97" i="2"/>
  <c r="N97" i="2"/>
  <c r="M93" i="2"/>
  <c r="N93" i="2"/>
  <c r="M89" i="2"/>
  <c r="N89" i="2"/>
  <c r="M85" i="2"/>
  <c r="N85" i="2"/>
  <c r="M81" i="2"/>
  <c r="N81" i="2"/>
  <c r="M77" i="2"/>
  <c r="N77" i="2"/>
  <c r="M73" i="2"/>
  <c r="N73" i="2"/>
  <c r="M69" i="2"/>
  <c r="N69" i="2"/>
  <c r="M65" i="2"/>
  <c r="N65" i="2"/>
  <c r="M61" i="2"/>
  <c r="N61" i="2"/>
  <c r="M57" i="2"/>
  <c r="N57" i="2"/>
  <c r="M53" i="2"/>
  <c r="N53" i="2"/>
  <c r="M49" i="2"/>
  <c r="N49" i="2"/>
  <c r="M45" i="2"/>
  <c r="N45" i="2"/>
  <c r="M41" i="2"/>
  <c r="N41" i="2"/>
  <c r="M37" i="2"/>
  <c r="N37" i="2"/>
  <c r="M33" i="2"/>
  <c r="N33" i="2"/>
  <c r="M29" i="2"/>
  <c r="N29" i="2"/>
  <c r="M25" i="2"/>
  <c r="N25" i="2"/>
  <c r="M21" i="2"/>
  <c r="N21" i="2"/>
  <c r="M17" i="2"/>
  <c r="N17" i="2"/>
  <c r="M13" i="2"/>
  <c r="N13" i="2"/>
  <c r="M9" i="2"/>
  <c r="N9" i="2"/>
  <c r="M5" i="2"/>
  <c r="N5" i="2"/>
  <c r="N2" i="2"/>
  <c r="M2" i="2"/>
  <c r="M2128" i="2"/>
  <c r="N2128" i="2"/>
  <c r="M2124" i="2"/>
  <c r="N2124" i="2"/>
  <c r="M2120" i="2"/>
  <c r="N2120" i="2"/>
  <c r="M2116" i="2"/>
  <c r="N2116" i="2"/>
  <c r="M2112" i="2"/>
  <c r="N2112" i="2"/>
  <c r="M2108" i="2"/>
  <c r="N2108" i="2"/>
  <c r="M2104" i="2"/>
  <c r="N2104" i="2"/>
  <c r="M2100" i="2"/>
  <c r="N2100" i="2"/>
  <c r="M2096" i="2"/>
  <c r="N2096" i="2"/>
  <c r="M2092" i="2"/>
  <c r="N2092" i="2"/>
  <c r="M2088" i="2"/>
  <c r="N2088" i="2"/>
  <c r="M2084" i="2"/>
  <c r="N2084" i="2"/>
  <c r="M2080" i="2"/>
  <c r="N2080" i="2"/>
  <c r="M2076" i="2"/>
  <c r="N2076" i="2"/>
  <c r="M2072" i="2"/>
  <c r="N2072" i="2"/>
  <c r="M2068" i="2"/>
  <c r="N2068" i="2"/>
  <c r="M2064" i="2"/>
  <c r="N2064" i="2"/>
  <c r="M2060" i="2"/>
  <c r="N2060" i="2"/>
  <c r="M2056" i="2"/>
  <c r="N2056" i="2"/>
  <c r="M2052" i="2"/>
  <c r="N2052" i="2"/>
  <c r="M2048" i="2"/>
  <c r="N2048" i="2"/>
  <c r="M1827" i="2"/>
  <c r="N1827" i="2"/>
  <c r="M1823" i="2"/>
  <c r="N1823" i="2"/>
  <c r="M1819" i="2"/>
  <c r="N1819" i="2"/>
  <c r="M1815" i="2"/>
  <c r="N1815" i="2"/>
  <c r="M1811" i="2"/>
  <c r="N1811" i="2"/>
  <c r="M1807" i="2"/>
  <c r="N1807" i="2"/>
  <c r="M1803" i="2"/>
  <c r="N1803" i="2"/>
  <c r="M1799" i="2"/>
  <c r="N1799" i="2"/>
  <c r="M1795" i="2"/>
  <c r="N1795" i="2"/>
  <c r="M1791" i="2"/>
  <c r="N1791" i="2"/>
  <c r="M1787" i="2"/>
  <c r="N1787" i="2"/>
  <c r="M1783" i="2"/>
  <c r="N1783" i="2"/>
  <c r="M1779" i="2"/>
  <c r="N1779" i="2"/>
  <c r="M1775" i="2"/>
  <c r="N1775" i="2"/>
  <c r="M1771" i="2"/>
  <c r="N1771" i="2"/>
  <c r="M1767" i="2"/>
  <c r="N1767" i="2"/>
  <c r="M1763" i="2"/>
  <c r="N1763" i="2"/>
  <c r="M1759" i="2"/>
  <c r="N1759" i="2"/>
  <c r="M1755" i="2"/>
  <c r="N1755" i="2"/>
  <c r="M1751" i="2"/>
  <c r="N1751" i="2"/>
  <c r="M1747" i="2"/>
  <c r="N1747" i="2"/>
  <c r="M1743" i="2"/>
  <c r="N1743" i="2"/>
  <c r="M1739" i="2"/>
  <c r="N1739" i="2"/>
  <c r="M1735" i="2"/>
  <c r="N1735" i="2"/>
  <c r="M1731" i="2"/>
  <c r="N1731" i="2"/>
  <c r="M1727" i="2"/>
  <c r="N1727" i="2"/>
  <c r="M1723" i="2"/>
  <c r="N1723" i="2"/>
  <c r="M1719" i="2"/>
  <c r="N1719" i="2"/>
  <c r="M1715" i="2"/>
  <c r="N1715" i="2"/>
  <c r="M1711" i="2"/>
  <c r="N1711" i="2"/>
  <c r="M1707" i="2"/>
  <c r="N1707" i="2"/>
  <c r="M1703" i="2"/>
  <c r="N1703" i="2"/>
  <c r="M1699" i="2"/>
  <c r="N1699" i="2"/>
  <c r="M1695" i="2"/>
  <c r="N1695" i="2"/>
  <c r="M1691" i="2"/>
  <c r="N1691" i="2"/>
  <c r="M1687" i="2"/>
  <c r="N1687" i="2"/>
  <c r="M1683" i="2"/>
  <c r="N1683" i="2"/>
  <c r="M1679" i="2"/>
  <c r="N1679" i="2"/>
  <c r="M1675" i="2"/>
  <c r="N1675" i="2"/>
  <c r="M1671" i="2"/>
  <c r="N1671" i="2"/>
  <c r="M1667" i="2"/>
  <c r="N1667" i="2"/>
  <c r="M1663" i="2"/>
  <c r="N1663" i="2"/>
  <c r="M1659" i="2"/>
  <c r="N1659" i="2"/>
  <c r="M1655" i="2"/>
  <c r="N1655" i="2"/>
  <c r="M1651" i="2"/>
  <c r="N1651" i="2"/>
  <c r="M1647" i="2"/>
  <c r="N1647" i="2"/>
  <c r="M1643" i="2"/>
  <c r="N1643" i="2"/>
  <c r="M1639" i="2"/>
  <c r="N1639" i="2"/>
  <c r="M1635" i="2"/>
  <c r="N1635" i="2"/>
  <c r="M1631" i="2"/>
  <c r="N1631" i="2"/>
  <c r="M1627" i="2"/>
  <c r="N1627" i="2"/>
  <c r="M1623" i="2"/>
  <c r="N1623" i="2"/>
  <c r="M1619" i="2"/>
  <c r="N1619" i="2"/>
  <c r="M1615" i="2"/>
  <c r="N1615" i="2"/>
  <c r="M1611" i="2"/>
  <c r="N1611" i="2"/>
  <c r="M1607" i="2"/>
  <c r="N1607" i="2"/>
  <c r="M1603" i="2"/>
  <c r="N1603" i="2"/>
  <c r="M1599" i="2"/>
  <c r="N1599" i="2"/>
  <c r="M1595" i="2"/>
  <c r="N1595" i="2"/>
  <c r="M1591" i="2"/>
  <c r="N1591" i="2"/>
  <c r="M1587" i="2"/>
  <c r="N1587" i="2"/>
  <c r="M1583" i="2"/>
  <c r="N1583" i="2"/>
  <c r="M1579" i="2"/>
  <c r="N1579" i="2"/>
  <c r="M1575" i="2"/>
  <c r="N1575" i="2"/>
  <c r="M1571" i="2"/>
  <c r="N1571" i="2"/>
  <c r="M1567" i="2"/>
  <c r="N1567" i="2"/>
  <c r="M1563" i="2"/>
  <c r="N1563" i="2"/>
  <c r="M1559" i="2"/>
  <c r="N1559" i="2"/>
  <c r="M1555" i="2"/>
  <c r="N1555" i="2"/>
  <c r="M1551" i="2"/>
  <c r="N1551" i="2"/>
  <c r="M1547" i="2"/>
  <c r="N1547" i="2"/>
  <c r="M1543" i="2"/>
  <c r="N1543" i="2"/>
  <c r="M1539" i="2"/>
  <c r="N1539" i="2"/>
  <c r="M1535" i="2"/>
  <c r="N1535" i="2"/>
  <c r="M1531" i="2"/>
  <c r="N1531" i="2"/>
  <c r="M1527" i="2"/>
  <c r="N1527" i="2"/>
  <c r="M1523" i="2"/>
  <c r="N1523" i="2"/>
  <c r="M1519" i="2"/>
  <c r="N1519" i="2"/>
  <c r="M1515" i="2"/>
  <c r="N1515" i="2"/>
  <c r="M1511" i="2"/>
  <c r="N1511" i="2"/>
  <c r="M1507" i="2"/>
  <c r="N1507" i="2"/>
  <c r="M1503" i="2"/>
  <c r="N1503" i="2"/>
  <c r="M1499" i="2"/>
  <c r="N1499" i="2"/>
  <c r="M1495" i="2"/>
  <c r="N1495" i="2"/>
  <c r="M1491" i="2"/>
  <c r="N1491" i="2"/>
  <c r="M1487" i="2"/>
  <c r="N1487" i="2"/>
  <c r="M1483" i="2"/>
  <c r="N1483" i="2"/>
  <c r="M1479" i="2"/>
  <c r="N1479" i="2"/>
  <c r="M1475" i="2"/>
  <c r="N1475" i="2"/>
  <c r="M1471" i="2"/>
  <c r="N1471" i="2"/>
  <c r="M1467" i="2"/>
  <c r="N1467" i="2"/>
  <c r="M1463" i="2"/>
  <c r="N1463" i="2"/>
  <c r="M1459" i="2"/>
  <c r="N1459" i="2"/>
  <c r="M1455" i="2"/>
  <c r="N1455" i="2"/>
  <c r="M1451" i="2"/>
  <c r="N1451" i="2"/>
  <c r="M1447" i="2"/>
  <c r="N1447" i="2"/>
  <c r="M1443" i="2"/>
  <c r="N1443" i="2"/>
  <c r="M1439" i="2"/>
  <c r="N1439" i="2"/>
  <c r="M1435" i="2"/>
  <c r="N1435" i="2"/>
  <c r="M1431" i="2"/>
  <c r="N1431" i="2"/>
  <c r="M1427" i="2"/>
  <c r="N1427" i="2"/>
  <c r="M1423" i="2"/>
  <c r="N1423" i="2"/>
  <c r="M1419" i="2"/>
  <c r="N1419" i="2"/>
  <c r="M1415" i="2"/>
  <c r="N1415" i="2"/>
  <c r="M1411" i="2"/>
  <c r="N1411" i="2"/>
  <c r="M1407" i="2"/>
  <c r="N1407" i="2"/>
  <c r="M1403" i="2"/>
  <c r="N1403" i="2"/>
  <c r="M1399" i="2"/>
  <c r="N1399" i="2"/>
  <c r="M1395" i="2"/>
  <c r="N1395" i="2"/>
  <c r="M1391" i="2"/>
  <c r="N1391" i="2"/>
  <c r="M1387" i="2"/>
  <c r="N1387" i="2"/>
  <c r="M1383" i="2"/>
  <c r="N1383" i="2"/>
  <c r="M1379" i="2"/>
  <c r="N1379" i="2"/>
  <c r="M1375" i="2"/>
  <c r="N1375" i="2"/>
  <c r="M1371" i="2"/>
  <c r="N1371" i="2"/>
  <c r="M1367" i="2"/>
  <c r="N1367" i="2"/>
  <c r="M1363" i="2"/>
  <c r="N1363" i="2"/>
  <c r="M1359" i="2"/>
  <c r="N1359" i="2"/>
  <c r="M1355" i="2"/>
  <c r="N1355" i="2"/>
  <c r="M1351" i="2"/>
  <c r="N1351" i="2"/>
  <c r="M1347" i="2"/>
  <c r="N1347" i="2"/>
  <c r="M1343" i="2"/>
  <c r="N1343" i="2"/>
  <c r="M1339" i="2"/>
  <c r="N1339" i="2"/>
  <c r="M1335" i="2"/>
  <c r="N1335" i="2"/>
  <c r="M1331" i="2"/>
  <c r="N1331" i="2"/>
  <c r="M1327" i="2"/>
  <c r="N1327" i="2"/>
  <c r="M1323" i="2"/>
  <c r="N1323" i="2"/>
  <c r="M1319" i="2"/>
  <c r="N1319" i="2"/>
  <c r="M1315" i="2"/>
  <c r="N1315" i="2"/>
  <c r="M1311" i="2"/>
  <c r="N1311" i="2"/>
  <c r="M1307" i="2"/>
  <c r="N1307" i="2"/>
  <c r="M1303" i="2"/>
  <c r="N1303" i="2"/>
  <c r="M1299" i="2"/>
  <c r="N1299" i="2"/>
  <c r="M1295" i="2"/>
  <c r="N1295" i="2"/>
  <c r="M1291" i="2"/>
  <c r="N1291" i="2"/>
  <c r="M1287" i="2"/>
  <c r="N1287" i="2"/>
  <c r="M1283" i="2"/>
  <c r="N1283" i="2"/>
  <c r="M1279" i="2"/>
  <c r="N1279" i="2"/>
  <c r="M1275" i="2"/>
  <c r="N1275" i="2"/>
  <c r="M1271" i="2"/>
  <c r="N1271" i="2"/>
  <c r="M1267" i="2"/>
  <c r="N1267" i="2"/>
  <c r="M1263" i="2"/>
  <c r="N1263" i="2"/>
  <c r="M1259" i="2"/>
  <c r="N1259" i="2"/>
  <c r="M1255" i="2"/>
  <c r="N1255" i="2"/>
  <c r="M1251" i="2"/>
  <c r="N1251" i="2"/>
  <c r="M1247" i="2"/>
  <c r="N1247" i="2"/>
  <c r="M1243" i="2"/>
  <c r="N1243" i="2"/>
  <c r="M1239" i="2"/>
  <c r="N1239" i="2"/>
  <c r="M1235" i="2"/>
  <c r="N1235" i="2"/>
  <c r="M1231" i="2"/>
  <c r="N1231" i="2"/>
  <c r="M1227" i="2"/>
  <c r="N1227" i="2"/>
  <c r="M1223" i="2"/>
  <c r="N1223" i="2"/>
  <c r="M1219" i="2"/>
  <c r="N1219" i="2"/>
  <c r="M1215" i="2"/>
  <c r="N1215" i="2"/>
  <c r="M1211" i="2"/>
  <c r="N1211" i="2"/>
  <c r="M1207" i="2"/>
  <c r="N1207" i="2"/>
  <c r="M1203" i="2"/>
  <c r="N1203" i="2"/>
  <c r="M1199" i="2"/>
  <c r="N1199" i="2"/>
  <c r="M1195" i="2"/>
  <c r="N1195" i="2"/>
  <c r="M1191" i="2"/>
  <c r="N1191" i="2"/>
  <c r="M1187" i="2"/>
  <c r="N1187" i="2"/>
  <c r="M1183" i="2"/>
  <c r="N1183" i="2"/>
  <c r="M1179" i="2"/>
  <c r="N1179" i="2"/>
  <c r="M1175" i="2"/>
  <c r="N1175" i="2"/>
  <c r="M1171" i="2"/>
  <c r="N1171" i="2"/>
  <c r="M1167" i="2"/>
  <c r="N1167" i="2"/>
  <c r="M1163" i="2"/>
  <c r="N1163" i="2"/>
  <c r="M1159" i="2"/>
  <c r="N1159" i="2"/>
  <c r="M1155" i="2"/>
  <c r="N1155" i="2"/>
  <c r="M1151" i="2"/>
  <c r="N1151" i="2"/>
  <c r="M1147" i="2"/>
  <c r="N1147" i="2"/>
  <c r="M1143" i="2"/>
  <c r="N1143" i="2"/>
  <c r="M1139" i="2"/>
  <c r="N1139" i="2"/>
  <c r="M1135" i="2"/>
  <c r="N1135" i="2"/>
  <c r="M1131" i="2"/>
  <c r="N1131" i="2"/>
  <c r="M1127" i="2"/>
  <c r="N1127" i="2"/>
  <c r="M1123" i="2"/>
  <c r="N1123" i="2"/>
  <c r="M1119" i="2"/>
  <c r="N1119" i="2"/>
  <c r="M1115" i="2"/>
  <c r="N1115" i="2"/>
  <c r="M1111" i="2"/>
  <c r="N1111" i="2"/>
  <c r="M1107" i="2"/>
  <c r="N1107" i="2"/>
  <c r="M1103" i="2"/>
  <c r="N1103" i="2"/>
  <c r="M1099" i="2"/>
  <c r="N1099" i="2"/>
  <c r="M1095" i="2"/>
  <c r="N1095" i="2"/>
  <c r="M1091" i="2"/>
  <c r="N1091" i="2"/>
  <c r="M1087" i="2"/>
  <c r="N1087" i="2"/>
  <c r="M1083" i="2"/>
  <c r="N1083" i="2"/>
  <c r="M1079" i="2"/>
  <c r="N1079" i="2"/>
  <c r="M1075" i="2"/>
  <c r="N1075" i="2"/>
  <c r="M1071" i="2"/>
  <c r="N1071" i="2"/>
  <c r="M1067" i="2"/>
  <c r="N1067" i="2"/>
  <c r="M1063" i="2"/>
  <c r="N1063" i="2"/>
  <c r="M1059" i="2"/>
  <c r="N1059" i="2"/>
  <c r="M1055" i="2"/>
  <c r="N1055" i="2"/>
  <c r="M1051" i="2"/>
  <c r="N1051" i="2"/>
  <c r="M1047" i="2"/>
  <c r="N1047" i="2"/>
  <c r="M1043" i="2"/>
  <c r="N1043" i="2"/>
  <c r="M1039" i="2"/>
  <c r="N1039" i="2"/>
  <c r="M1035" i="2"/>
  <c r="N1035" i="2"/>
  <c r="M1031" i="2"/>
  <c r="N1031" i="2"/>
  <c r="M1027" i="2"/>
  <c r="N1027" i="2"/>
  <c r="M1023" i="2"/>
  <c r="N1023" i="2"/>
  <c r="M1019" i="2"/>
  <c r="N1019" i="2"/>
  <c r="M1015" i="2"/>
  <c r="N1015" i="2"/>
  <c r="M1011" i="2"/>
  <c r="N1011" i="2"/>
  <c r="M1007" i="2"/>
  <c r="N1007" i="2"/>
  <c r="M1003" i="2"/>
  <c r="N1003" i="2"/>
  <c r="M999" i="2"/>
  <c r="N999" i="2"/>
  <c r="M995" i="2"/>
  <c r="N995" i="2"/>
  <c r="M991" i="2"/>
  <c r="N991" i="2"/>
  <c r="M987" i="2"/>
  <c r="N987" i="2"/>
  <c r="M983" i="2"/>
  <c r="N983" i="2"/>
  <c r="M979" i="2"/>
  <c r="N979" i="2"/>
  <c r="M975" i="2"/>
  <c r="N975" i="2"/>
  <c r="M971" i="2"/>
  <c r="N971" i="2"/>
  <c r="M967" i="2"/>
  <c r="N967" i="2"/>
  <c r="M963" i="2"/>
  <c r="N963" i="2"/>
  <c r="M959" i="2"/>
  <c r="N959" i="2"/>
  <c r="M955" i="2"/>
  <c r="N955" i="2"/>
  <c r="M951" i="2"/>
  <c r="N951" i="2"/>
  <c r="M947" i="2"/>
  <c r="N947" i="2"/>
  <c r="M943" i="2"/>
  <c r="N943" i="2"/>
  <c r="M939" i="2"/>
  <c r="N939" i="2"/>
  <c r="M935" i="2"/>
  <c r="N935" i="2"/>
  <c r="M931" i="2"/>
  <c r="N931" i="2"/>
  <c r="M927" i="2"/>
  <c r="N927" i="2"/>
  <c r="M923" i="2"/>
  <c r="N923" i="2"/>
  <c r="M919" i="2"/>
  <c r="N919" i="2"/>
  <c r="M915" i="2"/>
  <c r="N915" i="2"/>
  <c r="M911" i="2"/>
  <c r="N911" i="2"/>
  <c r="M907" i="2"/>
  <c r="N907" i="2"/>
  <c r="M903" i="2"/>
  <c r="N903" i="2"/>
  <c r="M899" i="2"/>
  <c r="N899" i="2"/>
  <c r="M895" i="2"/>
  <c r="N895" i="2"/>
  <c r="M891" i="2"/>
  <c r="N891" i="2"/>
  <c r="M887" i="2"/>
  <c r="N887" i="2"/>
  <c r="M883" i="2"/>
  <c r="N883" i="2"/>
  <c r="M879" i="2"/>
  <c r="N879" i="2"/>
  <c r="M875" i="2"/>
  <c r="N875" i="2"/>
  <c r="M871" i="2"/>
  <c r="N871" i="2"/>
  <c r="M867" i="2"/>
  <c r="N867" i="2"/>
  <c r="M863" i="2"/>
  <c r="N863" i="2"/>
  <c r="M859" i="2"/>
  <c r="N859" i="2"/>
  <c r="M855" i="2"/>
  <c r="N855" i="2"/>
  <c r="M851" i="2"/>
  <c r="N851" i="2"/>
  <c r="M847" i="2"/>
  <c r="N847" i="2"/>
  <c r="M843" i="2"/>
  <c r="N843" i="2"/>
  <c r="M839" i="2"/>
  <c r="N839" i="2"/>
  <c r="M835" i="2"/>
  <c r="N835" i="2"/>
  <c r="M831" i="2"/>
  <c r="N831" i="2"/>
  <c r="M827" i="2"/>
  <c r="N827" i="2"/>
  <c r="M823" i="2"/>
  <c r="N823" i="2"/>
  <c r="M819" i="2"/>
  <c r="N819" i="2"/>
  <c r="M815" i="2"/>
  <c r="N815" i="2"/>
  <c r="M811" i="2"/>
  <c r="N811" i="2"/>
  <c r="M807" i="2"/>
  <c r="N807" i="2"/>
  <c r="M803" i="2"/>
  <c r="N803" i="2"/>
  <c r="M799" i="2"/>
  <c r="N799" i="2"/>
  <c r="M795" i="2"/>
  <c r="N795" i="2"/>
  <c r="M791" i="2"/>
  <c r="N791" i="2"/>
  <c r="M787" i="2"/>
  <c r="N787" i="2"/>
  <c r="M783" i="2"/>
  <c r="N783" i="2"/>
  <c r="M779" i="2"/>
  <c r="N779" i="2"/>
  <c r="M775" i="2"/>
  <c r="N775" i="2"/>
  <c r="M771" i="2"/>
  <c r="N771" i="2"/>
  <c r="M767" i="2"/>
  <c r="N767" i="2"/>
  <c r="M763" i="2"/>
  <c r="N763" i="2"/>
  <c r="M759" i="2"/>
  <c r="N759" i="2"/>
  <c r="M755" i="2"/>
  <c r="N755" i="2"/>
  <c r="M751" i="2"/>
  <c r="N751" i="2"/>
  <c r="M747" i="2"/>
  <c r="N747" i="2"/>
  <c r="M743" i="2"/>
  <c r="N743" i="2"/>
  <c r="M739" i="2"/>
  <c r="N739" i="2"/>
  <c r="M735" i="2"/>
  <c r="N735" i="2"/>
  <c r="M731" i="2"/>
  <c r="N731" i="2"/>
  <c r="M727" i="2"/>
  <c r="N727" i="2"/>
  <c r="M723" i="2"/>
  <c r="N723" i="2"/>
  <c r="M719" i="2"/>
  <c r="N719" i="2"/>
  <c r="M715" i="2"/>
  <c r="N715" i="2"/>
  <c r="M711" i="2"/>
  <c r="N711" i="2"/>
  <c r="M707" i="2"/>
  <c r="N707" i="2"/>
  <c r="M703" i="2"/>
  <c r="N703" i="2"/>
  <c r="M699" i="2"/>
  <c r="N699" i="2"/>
  <c r="M695" i="2"/>
  <c r="N695" i="2"/>
  <c r="M691" i="2"/>
  <c r="N691" i="2"/>
  <c r="M687" i="2"/>
  <c r="N687" i="2"/>
  <c r="M683" i="2"/>
  <c r="N683" i="2"/>
  <c r="M679" i="2"/>
  <c r="N679" i="2"/>
  <c r="M675" i="2"/>
  <c r="N675" i="2"/>
  <c r="M671" i="2"/>
  <c r="N671" i="2"/>
  <c r="M667" i="2"/>
  <c r="N667" i="2"/>
  <c r="M663" i="2"/>
  <c r="N663" i="2"/>
  <c r="M659" i="2"/>
  <c r="N659" i="2"/>
  <c r="M655" i="2"/>
  <c r="N655" i="2"/>
  <c r="M651" i="2"/>
  <c r="N651" i="2"/>
  <c r="M647" i="2"/>
  <c r="N647" i="2"/>
  <c r="M643" i="2"/>
  <c r="N643" i="2"/>
  <c r="M639" i="2"/>
  <c r="N639" i="2"/>
  <c r="M635" i="2"/>
  <c r="N635" i="2"/>
  <c r="M631" i="2"/>
  <c r="N631" i="2"/>
  <c r="M627" i="2"/>
  <c r="N627" i="2"/>
  <c r="M623" i="2"/>
  <c r="N623" i="2"/>
  <c r="M619" i="2"/>
  <c r="N619" i="2"/>
  <c r="M615" i="2"/>
  <c r="N615" i="2"/>
  <c r="M611" i="2"/>
  <c r="N611" i="2"/>
  <c r="M607" i="2"/>
  <c r="N607" i="2"/>
  <c r="M603" i="2"/>
  <c r="N603" i="2"/>
  <c r="M599" i="2"/>
  <c r="N599" i="2"/>
  <c r="M595" i="2"/>
  <c r="N595" i="2"/>
  <c r="M591" i="2"/>
  <c r="N591" i="2"/>
  <c r="M587" i="2"/>
  <c r="N587" i="2"/>
  <c r="M583" i="2"/>
  <c r="N583" i="2"/>
  <c r="M579" i="2"/>
  <c r="N579" i="2"/>
  <c r="M575" i="2"/>
  <c r="N575" i="2"/>
  <c r="M571" i="2"/>
  <c r="N571" i="2"/>
  <c r="M567" i="2"/>
  <c r="N567" i="2"/>
  <c r="M563" i="2"/>
  <c r="N563" i="2"/>
  <c r="M559" i="2"/>
  <c r="N559" i="2"/>
  <c r="M555" i="2"/>
  <c r="N555" i="2"/>
  <c r="M551" i="2"/>
  <c r="N551" i="2"/>
  <c r="M547" i="2"/>
  <c r="N547" i="2"/>
  <c r="M543" i="2"/>
  <c r="N543" i="2"/>
  <c r="M539" i="2"/>
  <c r="N539" i="2"/>
  <c r="M535" i="2"/>
  <c r="N535" i="2"/>
  <c r="M531" i="2"/>
  <c r="N531" i="2"/>
  <c r="M527" i="2"/>
  <c r="N527" i="2"/>
  <c r="M523" i="2"/>
  <c r="N523" i="2"/>
  <c r="M519" i="2"/>
  <c r="N519" i="2"/>
  <c r="M515" i="2"/>
  <c r="N515" i="2"/>
  <c r="M511" i="2"/>
  <c r="N511" i="2"/>
  <c r="M507" i="2"/>
  <c r="N507" i="2"/>
  <c r="M503" i="2"/>
  <c r="N503" i="2"/>
  <c r="M499" i="2"/>
  <c r="N499" i="2"/>
  <c r="M495" i="2"/>
  <c r="N495" i="2"/>
  <c r="M491" i="2"/>
  <c r="N491" i="2"/>
  <c r="M487" i="2"/>
  <c r="N487" i="2"/>
  <c r="M483" i="2"/>
  <c r="N483" i="2"/>
  <c r="M479" i="2"/>
  <c r="N479" i="2"/>
  <c r="M475" i="2"/>
  <c r="N475" i="2"/>
  <c r="M471" i="2"/>
  <c r="N471" i="2"/>
  <c r="M467" i="2"/>
  <c r="N467" i="2"/>
  <c r="M463" i="2"/>
  <c r="N463" i="2"/>
  <c r="M459" i="2"/>
  <c r="N459" i="2"/>
  <c r="M455" i="2"/>
  <c r="N455" i="2"/>
  <c r="M451" i="2"/>
  <c r="N451" i="2"/>
  <c r="M447" i="2"/>
  <c r="N447" i="2"/>
  <c r="M443" i="2"/>
  <c r="N443" i="2"/>
  <c r="M439" i="2"/>
  <c r="N439" i="2"/>
  <c r="M435" i="2"/>
  <c r="N435" i="2"/>
  <c r="M431" i="2"/>
  <c r="N431" i="2"/>
  <c r="M427" i="2"/>
  <c r="N427" i="2"/>
  <c r="M423" i="2"/>
  <c r="N423" i="2"/>
  <c r="M419" i="2"/>
  <c r="N419" i="2"/>
  <c r="M415" i="2"/>
  <c r="N415" i="2"/>
  <c r="M411" i="2"/>
  <c r="N411" i="2"/>
  <c r="M407" i="2"/>
  <c r="N407" i="2"/>
  <c r="M403" i="2"/>
  <c r="N403" i="2"/>
  <c r="M399" i="2"/>
  <c r="N399" i="2"/>
  <c r="M395" i="2"/>
  <c r="N395" i="2"/>
  <c r="M391" i="2"/>
  <c r="N391" i="2"/>
  <c r="M387" i="2"/>
  <c r="N387" i="2"/>
  <c r="M383" i="2"/>
  <c r="N383" i="2"/>
  <c r="M379" i="2"/>
  <c r="N379" i="2"/>
  <c r="M375" i="2"/>
  <c r="N375" i="2"/>
  <c r="M371" i="2"/>
  <c r="N371" i="2"/>
  <c r="M367" i="2"/>
  <c r="N367" i="2"/>
  <c r="M363" i="2"/>
  <c r="N363" i="2"/>
  <c r="M359" i="2"/>
  <c r="N359" i="2"/>
  <c r="M355" i="2"/>
  <c r="N355" i="2"/>
  <c r="M351" i="2"/>
  <c r="N351" i="2"/>
  <c r="M347" i="2"/>
  <c r="N347" i="2"/>
  <c r="M343" i="2"/>
  <c r="N343" i="2"/>
  <c r="M339" i="2"/>
  <c r="N339" i="2"/>
  <c r="M335" i="2"/>
  <c r="N335" i="2"/>
  <c r="M331" i="2"/>
  <c r="N331" i="2"/>
  <c r="M327" i="2"/>
  <c r="N327" i="2"/>
  <c r="M323" i="2"/>
  <c r="N323" i="2"/>
  <c r="M319" i="2"/>
  <c r="N319" i="2"/>
  <c r="M315" i="2"/>
  <c r="N315" i="2"/>
  <c r="M311" i="2"/>
  <c r="N311" i="2"/>
  <c r="M307" i="2"/>
  <c r="N307" i="2"/>
  <c r="M303" i="2"/>
  <c r="N303" i="2"/>
  <c r="M299" i="2"/>
  <c r="N299" i="2"/>
  <c r="M295" i="2"/>
  <c r="N295" i="2"/>
  <c r="M291" i="2"/>
  <c r="N291" i="2"/>
  <c r="M287" i="2"/>
  <c r="N287" i="2"/>
  <c r="M283" i="2"/>
  <c r="N283" i="2"/>
  <c r="M279" i="2"/>
  <c r="N279" i="2"/>
  <c r="M275" i="2"/>
  <c r="N275" i="2"/>
  <c r="M271" i="2"/>
  <c r="N271" i="2"/>
  <c r="M267" i="2"/>
  <c r="N267" i="2"/>
  <c r="M263" i="2"/>
  <c r="N263" i="2"/>
  <c r="M259" i="2"/>
  <c r="N259" i="2"/>
  <c r="M255" i="2"/>
  <c r="N255" i="2"/>
  <c r="M251" i="2"/>
  <c r="N251" i="2"/>
  <c r="M247" i="2"/>
  <c r="N247" i="2"/>
  <c r="M243" i="2"/>
  <c r="N243" i="2"/>
  <c r="M239" i="2"/>
  <c r="N239" i="2"/>
  <c r="M235" i="2"/>
  <c r="N235" i="2"/>
  <c r="M231" i="2"/>
  <c r="N231" i="2"/>
  <c r="M227" i="2"/>
  <c r="N227" i="2"/>
  <c r="M223" i="2"/>
  <c r="N223" i="2"/>
  <c r="M219" i="2"/>
  <c r="N219" i="2"/>
  <c r="M215" i="2"/>
  <c r="N215" i="2"/>
  <c r="M211" i="2"/>
  <c r="N211" i="2"/>
  <c r="M207" i="2"/>
  <c r="N207" i="2"/>
  <c r="M203" i="2"/>
  <c r="N203" i="2"/>
  <c r="M199" i="2"/>
  <c r="N199" i="2"/>
  <c r="M195" i="2"/>
  <c r="N195" i="2"/>
  <c r="M191" i="2"/>
  <c r="N191" i="2"/>
  <c r="M187" i="2"/>
  <c r="N187" i="2"/>
  <c r="M183" i="2"/>
  <c r="N183" i="2"/>
  <c r="M179" i="2"/>
  <c r="N179" i="2"/>
  <c r="M175" i="2"/>
  <c r="N175" i="2"/>
  <c r="M171" i="2"/>
  <c r="N171" i="2"/>
  <c r="M167" i="2"/>
  <c r="N167" i="2"/>
  <c r="M163" i="2"/>
  <c r="N163" i="2"/>
  <c r="M159" i="2"/>
  <c r="N159" i="2"/>
  <c r="M155" i="2"/>
  <c r="N155" i="2"/>
  <c r="M151" i="2"/>
  <c r="N151" i="2"/>
  <c r="M147" i="2"/>
  <c r="N147" i="2"/>
  <c r="M143" i="2"/>
  <c r="N143" i="2"/>
  <c r="M139" i="2"/>
  <c r="N139" i="2"/>
  <c r="M135" i="2"/>
  <c r="N135" i="2"/>
  <c r="M131" i="2"/>
  <c r="N131" i="2"/>
  <c r="M127" i="2"/>
  <c r="N127" i="2"/>
  <c r="M123" i="2"/>
  <c r="N123" i="2"/>
  <c r="M119" i="2"/>
  <c r="N119" i="2"/>
  <c r="M115" i="2"/>
  <c r="N115" i="2"/>
  <c r="M111" i="2"/>
  <c r="N111" i="2"/>
  <c r="M107" i="2"/>
  <c r="N107" i="2"/>
  <c r="M103" i="2"/>
  <c r="N103" i="2"/>
  <c r="M99" i="2"/>
  <c r="N99" i="2"/>
  <c r="M95" i="2"/>
  <c r="N95" i="2"/>
  <c r="M91" i="2"/>
  <c r="N91" i="2"/>
  <c r="M87" i="2"/>
  <c r="N87" i="2"/>
  <c r="M83" i="2"/>
  <c r="N83" i="2"/>
  <c r="M79" i="2"/>
  <c r="N79" i="2"/>
  <c r="M75" i="2"/>
  <c r="N75" i="2"/>
  <c r="M71" i="2"/>
  <c r="N71" i="2"/>
  <c r="M67" i="2"/>
  <c r="N67" i="2"/>
  <c r="M63" i="2"/>
  <c r="N63" i="2"/>
  <c r="M59" i="2"/>
  <c r="N59" i="2"/>
  <c r="M55" i="2"/>
  <c r="N55" i="2"/>
  <c r="M51" i="2"/>
  <c r="N51" i="2"/>
  <c r="M47" i="2"/>
  <c r="N47" i="2"/>
  <c r="M43" i="2"/>
  <c r="N43" i="2"/>
  <c r="M39" i="2"/>
  <c r="N39" i="2"/>
  <c r="M35" i="2"/>
  <c r="N35" i="2"/>
  <c r="M31" i="2"/>
  <c r="N31" i="2"/>
  <c r="M27" i="2"/>
  <c r="N27" i="2"/>
  <c r="M23" i="2"/>
  <c r="N23" i="2"/>
  <c r="M19" i="2"/>
  <c r="N19" i="2"/>
  <c r="M15" i="2"/>
  <c r="N15" i="2"/>
  <c r="M11" i="2"/>
  <c r="N11" i="2"/>
  <c r="M7" i="2"/>
  <c r="N7" i="2"/>
  <c r="M3" i="2"/>
  <c r="N3" i="2"/>
  <c r="M2042" i="2"/>
  <c r="N2042" i="2"/>
  <c r="M2038" i="2"/>
  <c r="N2038" i="2"/>
  <c r="M2034" i="2"/>
  <c r="N2034" i="2"/>
  <c r="M2030" i="2"/>
  <c r="N2030" i="2"/>
  <c r="M2026" i="2"/>
  <c r="N2026" i="2"/>
  <c r="M2022" i="2"/>
  <c r="N2022" i="2"/>
  <c r="M2018" i="2"/>
  <c r="N2018" i="2"/>
  <c r="M2014" i="2"/>
  <c r="N2014" i="2"/>
  <c r="M2010" i="2"/>
  <c r="N2010" i="2"/>
  <c r="M2006" i="2"/>
  <c r="N2006" i="2"/>
  <c r="M2002" i="2"/>
  <c r="N2002" i="2"/>
  <c r="M1998" i="2"/>
  <c r="N1998" i="2"/>
  <c r="M1994" i="2"/>
  <c r="N1994" i="2"/>
  <c r="M1990" i="2"/>
  <c r="N1990" i="2"/>
  <c r="M1986" i="2"/>
  <c r="N1986" i="2"/>
  <c r="M1982" i="2"/>
  <c r="N1982" i="2"/>
  <c r="M1978" i="2"/>
  <c r="N1978" i="2"/>
  <c r="M1974" i="2"/>
  <c r="N1974" i="2"/>
  <c r="M1970" i="2"/>
  <c r="N1970" i="2"/>
  <c r="M1966" i="2"/>
  <c r="N1966" i="2"/>
  <c r="M1962" i="2"/>
  <c r="N1962" i="2"/>
  <c r="M1958" i="2"/>
  <c r="N1958" i="2"/>
  <c r="M1954" i="2"/>
  <c r="N1954" i="2"/>
  <c r="M1950" i="2"/>
  <c r="N1950" i="2"/>
  <c r="M1946" i="2"/>
  <c r="N1946" i="2"/>
  <c r="M1942" i="2"/>
  <c r="N1942" i="2"/>
  <c r="M1938" i="2"/>
  <c r="N1938" i="2"/>
  <c r="M1934" i="2"/>
  <c r="N1934" i="2"/>
  <c r="M1930" i="2"/>
  <c r="N1930" i="2"/>
  <c r="M1926" i="2"/>
  <c r="N1926" i="2"/>
  <c r="M1922" i="2"/>
  <c r="N1922" i="2"/>
  <c r="M1918" i="2"/>
  <c r="N1918" i="2"/>
  <c r="M1914" i="2"/>
  <c r="N1914" i="2"/>
  <c r="M1910" i="2"/>
  <c r="N1910" i="2"/>
  <c r="M1906" i="2"/>
  <c r="N1906" i="2"/>
  <c r="M1902" i="2"/>
  <c r="N1902" i="2"/>
  <c r="M1898" i="2"/>
  <c r="N1898" i="2"/>
  <c r="M1894" i="2"/>
  <c r="N1894" i="2"/>
  <c r="M1890" i="2"/>
  <c r="N1890" i="2"/>
  <c r="M1886" i="2"/>
  <c r="N1886" i="2"/>
  <c r="M1882" i="2"/>
  <c r="N1882" i="2"/>
  <c r="M1878" i="2"/>
  <c r="N1878" i="2"/>
  <c r="M1874" i="2"/>
  <c r="N1874" i="2"/>
  <c r="M1870" i="2"/>
  <c r="N1870" i="2"/>
  <c r="M1866" i="2"/>
  <c r="N1866" i="2"/>
  <c r="M1862" i="2"/>
  <c r="N1862" i="2"/>
  <c r="M1858" i="2"/>
  <c r="N1858" i="2"/>
  <c r="M1854" i="2"/>
  <c r="N1854" i="2"/>
  <c r="M1850" i="2"/>
  <c r="N1850" i="2"/>
  <c r="M1846" i="2"/>
  <c r="N1846" i="2"/>
  <c r="M1842" i="2"/>
  <c r="N1842" i="2"/>
  <c r="M1838" i="2"/>
  <c r="N1838" i="2"/>
  <c r="M1834" i="2"/>
  <c r="N1834" i="2"/>
  <c r="M1830" i="2"/>
  <c r="N1830" i="2"/>
  <c r="M1826" i="2"/>
  <c r="N1826" i="2"/>
  <c r="M1822" i="2"/>
  <c r="N1822" i="2"/>
  <c r="M1818" i="2"/>
  <c r="N1818" i="2"/>
  <c r="M1814" i="2"/>
  <c r="N1814" i="2"/>
  <c r="M1810" i="2"/>
  <c r="N1810" i="2"/>
  <c r="M1806" i="2"/>
  <c r="N1806" i="2"/>
  <c r="M1802" i="2"/>
  <c r="N1802" i="2"/>
  <c r="M1798" i="2"/>
  <c r="N1798" i="2"/>
  <c r="M1794" i="2"/>
  <c r="N1794" i="2"/>
  <c r="M1790" i="2"/>
  <c r="N1790" i="2"/>
  <c r="M1786" i="2"/>
  <c r="N1786" i="2"/>
  <c r="M1782" i="2"/>
  <c r="N1782" i="2"/>
  <c r="M1778" i="2"/>
  <c r="N1778" i="2"/>
  <c r="M1774" i="2"/>
  <c r="N1774" i="2"/>
  <c r="M1770" i="2"/>
  <c r="N1770" i="2"/>
  <c r="M1766" i="2"/>
  <c r="N1766" i="2"/>
  <c r="M1762" i="2"/>
  <c r="N1762" i="2"/>
  <c r="M1758" i="2"/>
  <c r="N1758" i="2"/>
  <c r="M1754" i="2"/>
  <c r="N1754" i="2"/>
  <c r="M1750" i="2"/>
  <c r="N1750" i="2"/>
  <c r="M1746" i="2"/>
  <c r="N1746" i="2"/>
  <c r="M1742" i="2"/>
  <c r="N1742" i="2"/>
  <c r="M1738" i="2"/>
  <c r="N1738" i="2"/>
  <c r="M1734" i="2"/>
  <c r="N1734" i="2"/>
  <c r="M1730" i="2"/>
  <c r="N1730" i="2"/>
  <c r="M1726" i="2"/>
  <c r="N1726" i="2"/>
  <c r="M1722" i="2"/>
  <c r="N1722" i="2"/>
  <c r="M1718" i="2"/>
  <c r="N1718" i="2"/>
  <c r="M1714" i="2"/>
  <c r="N1714" i="2"/>
  <c r="M1710" i="2"/>
  <c r="N1710" i="2"/>
  <c r="M1706" i="2"/>
  <c r="N1706" i="2"/>
  <c r="M1702" i="2"/>
  <c r="N1702" i="2"/>
  <c r="M1698" i="2"/>
  <c r="N1698" i="2"/>
  <c r="M1694" i="2"/>
  <c r="N1694" i="2"/>
  <c r="M1690" i="2"/>
  <c r="N1690" i="2"/>
  <c r="M1686" i="2"/>
  <c r="N1686" i="2"/>
  <c r="M1682" i="2"/>
  <c r="N1682" i="2"/>
  <c r="M1678" i="2"/>
  <c r="N1678" i="2"/>
  <c r="M1674" i="2"/>
  <c r="N1674" i="2"/>
  <c r="M1670" i="2"/>
  <c r="N1670" i="2"/>
  <c r="M1666" i="2"/>
  <c r="N1666" i="2"/>
  <c r="M1662" i="2"/>
  <c r="N1662" i="2"/>
  <c r="M1658" i="2"/>
  <c r="N1658" i="2"/>
  <c r="M1654" i="2"/>
  <c r="N1654" i="2"/>
  <c r="M1650" i="2"/>
  <c r="N1650" i="2"/>
  <c r="M1646" i="2"/>
  <c r="N1646" i="2"/>
  <c r="M1642" i="2"/>
  <c r="N1642" i="2"/>
  <c r="M1638" i="2"/>
  <c r="N1638" i="2"/>
  <c r="M1634" i="2"/>
  <c r="N1634" i="2"/>
  <c r="M1630" i="2"/>
  <c r="N1630" i="2"/>
  <c r="M1626" i="2"/>
  <c r="N1626" i="2"/>
  <c r="M1622" i="2"/>
  <c r="N1622" i="2"/>
  <c r="M1618" i="2"/>
  <c r="N1618" i="2"/>
  <c r="M1614" i="2"/>
  <c r="N1614" i="2"/>
  <c r="M1610" i="2"/>
  <c r="N1610" i="2"/>
  <c r="M1606" i="2"/>
  <c r="N1606" i="2"/>
  <c r="M1602" i="2"/>
  <c r="N1602" i="2"/>
  <c r="M1598" i="2"/>
  <c r="N1598" i="2"/>
  <c r="M1594" i="2"/>
  <c r="N1594" i="2"/>
  <c r="M1590" i="2"/>
  <c r="N1590" i="2"/>
  <c r="M1586" i="2"/>
  <c r="N1586" i="2"/>
  <c r="M1582" i="2"/>
  <c r="N1582" i="2"/>
  <c r="M1578" i="2"/>
  <c r="N1578" i="2"/>
  <c r="M1574" i="2"/>
  <c r="N1574" i="2"/>
  <c r="M1570" i="2"/>
  <c r="N1570" i="2"/>
  <c r="M1566" i="2"/>
  <c r="N1566" i="2"/>
  <c r="M1562" i="2"/>
  <c r="N1562" i="2"/>
  <c r="M1558" i="2"/>
  <c r="N1558" i="2"/>
  <c r="M1554" i="2"/>
  <c r="N1554" i="2"/>
  <c r="M1550" i="2"/>
  <c r="N1550" i="2"/>
  <c r="M1546" i="2"/>
  <c r="N1546" i="2"/>
  <c r="M1542" i="2"/>
  <c r="N1542" i="2"/>
  <c r="M1538" i="2"/>
  <c r="N1538" i="2"/>
  <c r="M1534" i="2"/>
  <c r="N1534" i="2"/>
  <c r="M1530" i="2"/>
  <c r="N1530" i="2"/>
  <c r="M1526" i="2"/>
  <c r="N1526" i="2"/>
  <c r="M1522" i="2"/>
  <c r="N1522" i="2"/>
  <c r="M1518" i="2"/>
  <c r="N1518" i="2"/>
  <c r="M1514" i="2"/>
  <c r="N1514" i="2"/>
  <c r="M1510" i="2"/>
  <c r="N1510" i="2"/>
  <c r="M1506" i="2"/>
  <c r="N1506" i="2"/>
  <c r="M1502" i="2"/>
  <c r="N1502" i="2"/>
  <c r="M1498" i="2"/>
  <c r="N1498" i="2"/>
  <c r="M1494" i="2"/>
  <c r="N1494" i="2"/>
  <c r="M1490" i="2"/>
  <c r="N1490" i="2"/>
  <c r="M1486" i="2"/>
  <c r="N1486" i="2"/>
  <c r="M1482" i="2"/>
  <c r="N1482" i="2"/>
  <c r="M1478" i="2"/>
  <c r="N1478" i="2"/>
  <c r="M1474" i="2"/>
  <c r="N1474" i="2"/>
  <c r="M1470" i="2"/>
  <c r="N1470" i="2"/>
  <c r="M1466" i="2"/>
  <c r="N1466" i="2"/>
  <c r="M1462" i="2"/>
  <c r="N1462" i="2"/>
  <c r="M1458" i="2"/>
  <c r="N1458" i="2"/>
  <c r="M1454" i="2"/>
  <c r="N1454" i="2"/>
  <c r="M1450" i="2"/>
  <c r="N1450" i="2"/>
  <c r="M1446" i="2"/>
  <c r="N1446" i="2"/>
  <c r="M1442" i="2"/>
  <c r="N1442" i="2"/>
  <c r="M1438" i="2"/>
  <c r="N1438" i="2"/>
  <c r="M1434" i="2"/>
  <c r="N1434" i="2"/>
  <c r="M1430" i="2"/>
  <c r="N1430" i="2"/>
  <c r="M1426" i="2"/>
  <c r="N1426" i="2"/>
  <c r="M1422" i="2"/>
  <c r="N1422" i="2"/>
  <c r="M1418" i="2"/>
  <c r="N1418" i="2"/>
  <c r="M1414" i="2"/>
  <c r="N1414" i="2"/>
  <c r="M1410" i="2"/>
  <c r="N1410" i="2"/>
  <c r="M1406" i="2"/>
  <c r="N1406" i="2"/>
  <c r="M1402" i="2"/>
  <c r="N1402" i="2"/>
  <c r="M1398" i="2"/>
  <c r="N1398" i="2"/>
  <c r="M1394" i="2"/>
  <c r="N1394" i="2"/>
  <c r="M1390" i="2"/>
  <c r="N1390" i="2"/>
  <c r="M1386" i="2"/>
  <c r="N1386" i="2"/>
  <c r="M1382" i="2"/>
  <c r="N1382" i="2"/>
  <c r="M1378" i="2"/>
  <c r="N1378" i="2"/>
  <c r="M1374" i="2"/>
  <c r="N1374" i="2"/>
  <c r="M1370" i="2"/>
  <c r="N1370" i="2"/>
  <c r="M1366" i="2"/>
  <c r="N1366" i="2"/>
  <c r="M1362" i="2"/>
  <c r="N1362" i="2"/>
  <c r="M1358" i="2"/>
  <c r="N1358" i="2"/>
  <c r="M1354" i="2"/>
  <c r="N1354" i="2"/>
  <c r="M1350" i="2"/>
  <c r="N1350" i="2"/>
  <c r="M1346" i="2"/>
  <c r="N1346" i="2"/>
  <c r="M1342" i="2"/>
  <c r="N1342" i="2"/>
  <c r="M1338" i="2"/>
  <c r="N1338" i="2"/>
  <c r="M1334" i="2"/>
  <c r="N1334" i="2"/>
  <c r="M1330" i="2"/>
  <c r="N1330" i="2"/>
  <c r="M1326" i="2"/>
  <c r="N1326" i="2"/>
  <c r="M1322" i="2"/>
  <c r="N1322" i="2"/>
  <c r="M1318" i="2"/>
  <c r="N1318" i="2"/>
  <c r="M1314" i="2"/>
  <c r="N1314" i="2"/>
  <c r="M1310" i="2"/>
  <c r="N1310" i="2"/>
  <c r="M1306" i="2"/>
  <c r="N1306" i="2"/>
  <c r="M1302" i="2"/>
  <c r="N1302" i="2"/>
  <c r="M1298" i="2"/>
  <c r="N1298" i="2"/>
  <c r="M1294" i="2"/>
  <c r="N1294" i="2"/>
  <c r="M1290" i="2"/>
  <c r="N1290" i="2"/>
  <c r="M1286" i="2"/>
  <c r="N1286" i="2"/>
  <c r="M1282" i="2"/>
  <c r="N1282" i="2"/>
  <c r="M1278" i="2"/>
  <c r="N1278" i="2"/>
  <c r="M1274" i="2"/>
  <c r="N1274" i="2"/>
  <c r="M1270" i="2"/>
  <c r="N1270" i="2"/>
  <c r="M1266" i="2"/>
  <c r="N1266" i="2"/>
  <c r="M1262" i="2"/>
  <c r="N1262" i="2"/>
  <c r="M1258" i="2"/>
  <c r="N1258" i="2"/>
  <c r="M1254" i="2"/>
  <c r="N1254" i="2"/>
  <c r="M1250" i="2"/>
  <c r="N1250" i="2"/>
  <c r="M1246" i="2"/>
  <c r="N1246" i="2"/>
  <c r="M1242" i="2"/>
  <c r="N1242" i="2"/>
  <c r="M1238" i="2"/>
  <c r="N1238" i="2"/>
  <c r="M1234" i="2"/>
  <c r="N1234" i="2"/>
  <c r="M1230" i="2"/>
  <c r="N1230" i="2"/>
  <c r="M1226" i="2"/>
  <c r="N1226" i="2"/>
  <c r="M1222" i="2"/>
  <c r="N1222" i="2"/>
  <c r="M1218" i="2"/>
  <c r="N1218" i="2"/>
  <c r="M1214" i="2"/>
  <c r="N1214" i="2"/>
  <c r="M1210" i="2"/>
  <c r="N1210" i="2"/>
  <c r="M1206" i="2"/>
  <c r="N1206" i="2"/>
  <c r="M1202" i="2"/>
  <c r="N1202" i="2"/>
  <c r="M1198" i="2"/>
  <c r="N1198" i="2"/>
  <c r="M1194" i="2"/>
  <c r="N1194" i="2"/>
  <c r="M1190" i="2"/>
  <c r="N1190" i="2"/>
  <c r="M1186" i="2"/>
  <c r="N1186" i="2"/>
  <c r="M1182" i="2"/>
  <c r="N1182" i="2"/>
  <c r="M1178" i="2"/>
  <c r="N1178" i="2"/>
  <c r="M1174" i="2"/>
  <c r="N1174" i="2"/>
  <c r="M1170" i="2"/>
  <c r="N1170" i="2"/>
  <c r="M1166" i="2"/>
  <c r="N1166" i="2"/>
  <c r="M1162" i="2"/>
  <c r="N1162" i="2"/>
  <c r="M1158" i="2"/>
  <c r="N1158" i="2"/>
  <c r="M1154" i="2"/>
  <c r="N1154" i="2"/>
  <c r="M1150" i="2"/>
  <c r="N1150" i="2"/>
  <c r="M1146" i="2"/>
  <c r="N1146" i="2"/>
  <c r="M1142" i="2"/>
  <c r="N1142" i="2"/>
  <c r="M1138" i="2"/>
  <c r="N1138" i="2"/>
  <c r="M1134" i="2"/>
  <c r="N1134" i="2"/>
  <c r="M1130" i="2"/>
  <c r="N1130" i="2"/>
  <c r="M1126" i="2"/>
  <c r="N1126" i="2"/>
  <c r="M1122" i="2"/>
  <c r="N1122" i="2"/>
  <c r="M1118" i="2"/>
  <c r="N1118" i="2"/>
  <c r="M1114" i="2"/>
  <c r="N1114" i="2"/>
  <c r="M1110" i="2"/>
  <c r="N1110" i="2"/>
  <c r="M1106" i="2"/>
  <c r="N1106" i="2"/>
  <c r="M1102" i="2"/>
  <c r="N1102" i="2"/>
  <c r="M1098" i="2"/>
  <c r="N1098" i="2"/>
  <c r="M1094" i="2"/>
  <c r="N1094" i="2"/>
  <c r="M1090" i="2"/>
  <c r="N1090" i="2"/>
  <c r="M1086" i="2"/>
  <c r="N1086" i="2"/>
  <c r="M1082" i="2"/>
  <c r="N1082" i="2"/>
  <c r="M1078" i="2"/>
  <c r="N1078" i="2"/>
  <c r="M1074" i="2"/>
  <c r="N1074" i="2"/>
  <c r="M1070" i="2"/>
  <c r="N1070" i="2"/>
  <c r="M1066" i="2"/>
  <c r="N1066" i="2"/>
  <c r="M1062" i="2"/>
  <c r="N1062" i="2"/>
  <c r="M1058" i="2"/>
  <c r="N1058" i="2"/>
  <c r="M1054" i="2"/>
  <c r="N1054" i="2"/>
  <c r="M1050" i="2"/>
  <c r="N1050" i="2"/>
  <c r="M1046" i="2"/>
  <c r="N1046" i="2"/>
  <c r="M1042" i="2"/>
  <c r="N1042" i="2"/>
  <c r="M1038" i="2"/>
  <c r="N1038" i="2"/>
  <c r="M1034" i="2"/>
  <c r="N1034" i="2"/>
  <c r="M1030" i="2"/>
  <c r="N1030" i="2"/>
  <c r="M1026" i="2"/>
  <c r="N1026" i="2"/>
  <c r="M1022" i="2"/>
  <c r="N1022" i="2"/>
  <c r="M1018" i="2"/>
  <c r="N1018" i="2"/>
  <c r="M1014" i="2"/>
  <c r="N1014" i="2"/>
  <c r="M1010" i="2"/>
  <c r="N1010" i="2"/>
  <c r="M1006" i="2"/>
  <c r="N1006" i="2"/>
  <c r="M1002" i="2"/>
  <c r="N1002" i="2"/>
  <c r="M998" i="2"/>
  <c r="N998" i="2"/>
  <c r="M994" i="2"/>
  <c r="N994" i="2"/>
  <c r="M990" i="2"/>
  <c r="N990" i="2"/>
  <c r="M986" i="2"/>
  <c r="N986" i="2"/>
  <c r="M982" i="2"/>
  <c r="N982" i="2"/>
  <c r="M978" i="2"/>
  <c r="N978" i="2"/>
  <c r="M974" i="2"/>
  <c r="N974" i="2"/>
  <c r="M970" i="2"/>
  <c r="N970" i="2"/>
  <c r="M966" i="2"/>
  <c r="N966" i="2"/>
  <c r="M962" i="2"/>
  <c r="N962" i="2"/>
  <c r="M958" i="2"/>
  <c r="N958" i="2"/>
  <c r="M954" i="2"/>
  <c r="N954" i="2"/>
  <c r="M950" i="2"/>
  <c r="N950" i="2"/>
  <c r="M946" i="2"/>
  <c r="N946" i="2"/>
  <c r="M942" i="2"/>
  <c r="N942" i="2"/>
  <c r="M938" i="2"/>
  <c r="N938" i="2"/>
  <c r="M934" i="2"/>
  <c r="N934" i="2"/>
  <c r="M930" i="2"/>
  <c r="N930" i="2"/>
  <c r="M926" i="2"/>
  <c r="N926" i="2"/>
  <c r="M922" i="2"/>
  <c r="N922" i="2"/>
  <c r="M918" i="2"/>
  <c r="N918" i="2"/>
  <c r="M914" i="2"/>
  <c r="N914" i="2"/>
  <c r="M910" i="2"/>
  <c r="N910" i="2"/>
  <c r="M906" i="2"/>
  <c r="N906" i="2"/>
  <c r="M902" i="2"/>
  <c r="N902" i="2"/>
  <c r="M898" i="2"/>
  <c r="N898" i="2"/>
  <c r="M894" i="2"/>
  <c r="N894" i="2"/>
  <c r="M890" i="2"/>
  <c r="N890" i="2"/>
  <c r="M886" i="2"/>
  <c r="N886" i="2"/>
  <c r="M882" i="2"/>
  <c r="N882" i="2"/>
  <c r="M878" i="2"/>
  <c r="N878" i="2"/>
  <c r="M874" i="2"/>
  <c r="N874" i="2"/>
  <c r="M870" i="2"/>
  <c r="N870" i="2"/>
  <c r="M866" i="2"/>
  <c r="N866" i="2"/>
  <c r="M862" i="2"/>
  <c r="N862" i="2"/>
  <c r="M858" i="2"/>
  <c r="N858" i="2"/>
  <c r="M854" i="2"/>
  <c r="N854" i="2"/>
  <c r="M850" i="2"/>
  <c r="N850" i="2"/>
  <c r="M846" i="2"/>
  <c r="N846" i="2"/>
  <c r="M842" i="2"/>
  <c r="N842" i="2"/>
  <c r="M838" i="2"/>
  <c r="N838" i="2"/>
  <c r="M834" i="2"/>
  <c r="N834" i="2"/>
  <c r="M830" i="2"/>
  <c r="N830" i="2"/>
  <c r="M826" i="2"/>
  <c r="N826" i="2"/>
  <c r="M822" i="2"/>
  <c r="N822" i="2"/>
  <c r="M818" i="2"/>
  <c r="N818" i="2"/>
  <c r="M814" i="2"/>
  <c r="N814" i="2"/>
  <c r="M810" i="2"/>
  <c r="N810" i="2"/>
  <c r="M806" i="2"/>
  <c r="N806" i="2"/>
  <c r="M802" i="2"/>
  <c r="N802" i="2"/>
  <c r="M798" i="2"/>
  <c r="N798" i="2"/>
  <c r="M794" i="2"/>
  <c r="N794" i="2"/>
  <c r="M790" i="2"/>
  <c r="N790" i="2"/>
  <c r="M786" i="2"/>
  <c r="N786" i="2"/>
  <c r="M782" i="2"/>
  <c r="N782" i="2"/>
  <c r="M778" i="2"/>
  <c r="N778" i="2"/>
  <c r="M774" i="2"/>
  <c r="N774" i="2"/>
  <c r="M770" i="2"/>
  <c r="N770" i="2"/>
  <c r="M766" i="2"/>
  <c r="N766" i="2"/>
  <c r="M762" i="2"/>
  <c r="N762" i="2"/>
  <c r="M758" i="2"/>
  <c r="N758" i="2"/>
  <c r="M754" i="2"/>
  <c r="N754" i="2"/>
  <c r="M750" i="2"/>
  <c r="N750" i="2"/>
  <c r="M746" i="2"/>
  <c r="N746" i="2"/>
  <c r="M742" i="2"/>
  <c r="N742" i="2"/>
  <c r="M738" i="2"/>
  <c r="N738" i="2"/>
  <c r="M734" i="2"/>
  <c r="N734" i="2"/>
  <c r="M730" i="2"/>
  <c r="N730" i="2"/>
  <c r="M726" i="2"/>
  <c r="N726" i="2"/>
  <c r="M722" i="2"/>
  <c r="N722" i="2"/>
  <c r="M718" i="2"/>
  <c r="N718" i="2"/>
  <c r="M714" i="2"/>
  <c r="N714" i="2"/>
  <c r="M710" i="2"/>
  <c r="N710" i="2"/>
  <c r="M706" i="2"/>
  <c r="N706" i="2"/>
  <c r="M702" i="2"/>
  <c r="N702" i="2"/>
  <c r="M698" i="2"/>
  <c r="N698" i="2"/>
  <c r="M694" i="2"/>
  <c r="N694" i="2"/>
  <c r="M690" i="2"/>
  <c r="N690" i="2"/>
  <c r="M686" i="2"/>
  <c r="N686" i="2"/>
  <c r="M682" i="2"/>
  <c r="N682" i="2"/>
  <c r="M678" i="2"/>
  <c r="N678" i="2"/>
  <c r="M674" i="2"/>
  <c r="N674" i="2"/>
  <c r="M670" i="2"/>
  <c r="N670" i="2"/>
  <c r="M666" i="2"/>
  <c r="N666" i="2"/>
  <c r="M662" i="2"/>
  <c r="N662" i="2"/>
  <c r="M658" i="2"/>
  <c r="N658" i="2"/>
  <c r="M654" i="2"/>
  <c r="N654" i="2"/>
  <c r="M650" i="2"/>
  <c r="N650" i="2"/>
  <c r="M646" i="2"/>
  <c r="N646" i="2"/>
  <c r="M642" i="2"/>
  <c r="N642" i="2"/>
  <c r="M638" i="2"/>
  <c r="N638" i="2"/>
  <c r="M634" i="2"/>
  <c r="N634" i="2"/>
  <c r="M630" i="2"/>
  <c r="N630" i="2"/>
  <c r="M626" i="2"/>
  <c r="N626" i="2"/>
  <c r="M622" i="2"/>
  <c r="N622" i="2"/>
  <c r="M618" i="2"/>
  <c r="N618" i="2"/>
  <c r="M614" i="2"/>
  <c r="N614" i="2"/>
  <c r="M610" i="2"/>
  <c r="N610" i="2"/>
  <c r="M606" i="2"/>
  <c r="N606" i="2"/>
  <c r="M602" i="2"/>
  <c r="N602" i="2"/>
  <c r="M598" i="2"/>
  <c r="N598" i="2"/>
  <c r="M594" i="2"/>
  <c r="N594" i="2"/>
  <c r="M590" i="2"/>
  <c r="N590" i="2"/>
  <c r="M586" i="2"/>
  <c r="N586" i="2"/>
  <c r="M582" i="2"/>
  <c r="N582" i="2"/>
  <c r="M578" i="2"/>
  <c r="N578" i="2"/>
  <c r="M574" i="2"/>
  <c r="N574" i="2"/>
  <c r="M570" i="2"/>
  <c r="N570" i="2"/>
  <c r="M566" i="2"/>
  <c r="N566" i="2"/>
  <c r="M562" i="2"/>
  <c r="N562" i="2"/>
  <c r="M558" i="2"/>
  <c r="N558" i="2"/>
  <c r="M554" i="2"/>
  <c r="N554" i="2"/>
  <c r="M550" i="2"/>
  <c r="N550" i="2"/>
  <c r="M546" i="2"/>
  <c r="N546" i="2"/>
  <c r="M542" i="2"/>
  <c r="N542" i="2"/>
  <c r="M538" i="2"/>
  <c r="N538" i="2"/>
  <c r="M534" i="2"/>
  <c r="N534" i="2"/>
  <c r="M530" i="2"/>
  <c r="N530" i="2"/>
  <c r="M526" i="2"/>
  <c r="N526" i="2"/>
  <c r="M522" i="2"/>
  <c r="N522" i="2"/>
  <c r="M518" i="2"/>
  <c r="N518" i="2"/>
  <c r="M514" i="2"/>
  <c r="N514" i="2"/>
  <c r="M510" i="2"/>
  <c r="N510" i="2"/>
  <c r="M506" i="2"/>
  <c r="N506" i="2"/>
  <c r="M502" i="2"/>
  <c r="N502" i="2"/>
  <c r="M498" i="2"/>
  <c r="N498" i="2"/>
  <c r="M494" i="2"/>
  <c r="N494" i="2"/>
  <c r="M490" i="2"/>
  <c r="N490" i="2"/>
  <c r="M486" i="2"/>
  <c r="N486" i="2"/>
  <c r="M482" i="2"/>
  <c r="N482" i="2"/>
  <c r="M478" i="2"/>
  <c r="N478" i="2"/>
  <c r="M474" i="2"/>
  <c r="N474" i="2"/>
  <c r="M470" i="2"/>
  <c r="N470" i="2"/>
  <c r="M466" i="2"/>
  <c r="N466" i="2"/>
  <c r="M462" i="2"/>
  <c r="N462" i="2"/>
  <c r="M458" i="2"/>
  <c r="N458" i="2"/>
  <c r="M454" i="2"/>
  <c r="N454" i="2"/>
  <c r="M450" i="2"/>
  <c r="N450" i="2"/>
  <c r="M446" i="2"/>
  <c r="N446" i="2"/>
  <c r="M442" i="2"/>
  <c r="N442" i="2"/>
  <c r="M438" i="2"/>
  <c r="N438" i="2"/>
  <c r="M434" i="2"/>
  <c r="N434" i="2"/>
  <c r="M430" i="2"/>
  <c r="N430" i="2"/>
  <c r="M426" i="2"/>
  <c r="N426" i="2"/>
  <c r="M422" i="2"/>
  <c r="N422" i="2"/>
  <c r="M418" i="2"/>
  <c r="N418" i="2"/>
  <c r="M414" i="2"/>
  <c r="N414" i="2"/>
  <c r="M410" i="2"/>
  <c r="N410" i="2"/>
  <c r="M406" i="2"/>
  <c r="N406" i="2"/>
  <c r="M402" i="2"/>
  <c r="N402" i="2"/>
  <c r="M398" i="2"/>
  <c r="N398" i="2"/>
  <c r="M394" i="2"/>
  <c r="N394" i="2"/>
  <c r="M390" i="2"/>
  <c r="N390" i="2"/>
  <c r="M386" i="2"/>
  <c r="N386" i="2"/>
  <c r="M382" i="2"/>
  <c r="N382" i="2"/>
  <c r="M378" i="2"/>
  <c r="N378" i="2"/>
  <c r="M374" i="2"/>
  <c r="N374" i="2"/>
  <c r="M370" i="2"/>
  <c r="N370" i="2"/>
  <c r="M366" i="2"/>
  <c r="N366" i="2"/>
  <c r="M362" i="2"/>
  <c r="N362" i="2"/>
  <c r="M358" i="2"/>
  <c r="N358" i="2"/>
  <c r="M354" i="2"/>
  <c r="N354" i="2"/>
  <c r="M350" i="2"/>
  <c r="N350" i="2"/>
  <c r="M346" i="2"/>
  <c r="N346" i="2"/>
  <c r="M342" i="2"/>
  <c r="N342" i="2"/>
  <c r="M338" i="2"/>
  <c r="N338" i="2"/>
  <c r="M334" i="2"/>
  <c r="N334" i="2"/>
  <c r="M330" i="2"/>
  <c r="N330" i="2"/>
  <c r="M326" i="2"/>
  <c r="N326" i="2"/>
  <c r="M322" i="2"/>
  <c r="N322" i="2"/>
  <c r="M318" i="2"/>
  <c r="N318" i="2"/>
  <c r="M314" i="2"/>
  <c r="N314" i="2"/>
  <c r="M310" i="2"/>
  <c r="N310" i="2"/>
  <c r="M306" i="2"/>
  <c r="N306" i="2"/>
  <c r="M302" i="2"/>
  <c r="N302" i="2"/>
  <c r="M298" i="2"/>
  <c r="N298" i="2"/>
  <c r="M294" i="2"/>
  <c r="N294" i="2"/>
  <c r="M290" i="2"/>
  <c r="N290" i="2"/>
  <c r="M286" i="2"/>
  <c r="N286" i="2"/>
  <c r="M282" i="2"/>
  <c r="N282" i="2"/>
  <c r="M278" i="2"/>
  <c r="N278" i="2"/>
  <c r="M274" i="2"/>
  <c r="N274" i="2"/>
  <c r="M270" i="2"/>
  <c r="N270" i="2"/>
  <c r="M266" i="2"/>
  <c r="N266" i="2"/>
  <c r="M262" i="2"/>
  <c r="N262" i="2"/>
  <c r="M258" i="2"/>
  <c r="N258" i="2"/>
  <c r="M254" i="2"/>
  <c r="N254" i="2"/>
  <c r="M250" i="2"/>
  <c r="N250" i="2"/>
  <c r="M246" i="2"/>
  <c r="N246" i="2"/>
  <c r="M242" i="2"/>
  <c r="N242" i="2"/>
  <c r="M238" i="2"/>
  <c r="N238" i="2"/>
  <c r="M234" i="2"/>
  <c r="N234" i="2"/>
  <c r="M230" i="2"/>
  <c r="N230" i="2"/>
  <c r="M226" i="2"/>
  <c r="N226" i="2"/>
  <c r="M222" i="2"/>
  <c r="N222" i="2"/>
  <c r="M218" i="2"/>
  <c r="N218" i="2"/>
  <c r="M214" i="2"/>
  <c r="N214" i="2"/>
  <c r="M210" i="2"/>
  <c r="N210" i="2"/>
  <c r="M206" i="2"/>
  <c r="N206" i="2"/>
  <c r="M202" i="2"/>
  <c r="N202" i="2"/>
  <c r="M198" i="2"/>
  <c r="N198" i="2"/>
  <c r="M194" i="2"/>
  <c r="N194" i="2"/>
  <c r="M190" i="2"/>
  <c r="N190" i="2"/>
  <c r="M186" i="2"/>
  <c r="N186" i="2"/>
  <c r="M182" i="2"/>
  <c r="N182" i="2"/>
  <c r="M178" i="2"/>
  <c r="N178" i="2"/>
  <c r="M174" i="2"/>
  <c r="N174" i="2"/>
  <c r="M170" i="2"/>
  <c r="N170" i="2"/>
  <c r="M166" i="2"/>
  <c r="N166" i="2"/>
  <c r="M162" i="2"/>
  <c r="N162" i="2"/>
  <c r="M158" i="2"/>
  <c r="N158" i="2"/>
  <c r="M154" i="2"/>
  <c r="N154" i="2"/>
  <c r="M150" i="2"/>
  <c r="N150" i="2"/>
  <c r="M146" i="2"/>
  <c r="N146" i="2"/>
  <c r="M142" i="2"/>
  <c r="N142" i="2"/>
  <c r="M138" i="2"/>
  <c r="N138" i="2"/>
  <c r="M134" i="2"/>
  <c r="N134" i="2"/>
  <c r="M130" i="2"/>
  <c r="N130" i="2"/>
  <c r="M126" i="2"/>
  <c r="N126" i="2"/>
  <c r="M122" i="2"/>
  <c r="N122" i="2"/>
  <c r="M118" i="2"/>
  <c r="N118" i="2"/>
  <c r="M114" i="2"/>
  <c r="N114" i="2"/>
  <c r="M110" i="2"/>
  <c r="N110" i="2"/>
  <c r="M106" i="2"/>
  <c r="N106" i="2"/>
  <c r="M102" i="2"/>
  <c r="N102" i="2"/>
  <c r="M98" i="2"/>
  <c r="N98" i="2"/>
  <c r="M94" i="2"/>
  <c r="N94" i="2"/>
  <c r="M90" i="2"/>
  <c r="N90" i="2"/>
  <c r="M86" i="2"/>
  <c r="N86" i="2"/>
  <c r="M82" i="2"/>
  <c r="N82" i="2"/>
  <c r="M78" i="2"/>
  <c r="N78" i="2"/>
  <c r="M74" i="2"/>
  <c r="N74" i="2"/>
  <c r="M70" i="2"/>
  <c r="N70" i="2"/>
  <c r="M66" i="2"/>
  <c r="N66" i="2"/>
  <c r="M62" i="2"/>
  <c r="N62" i="2"/>
  <c r="M58" i="2"/>
  <c r="N58" i="2"/>
  <c r="M54" i="2"/>
  <c r="N54" i="2"/>
  <c r="M50" i="2"/>
  <c r="N50" i="2"/>
  <c r="M46" i="2"/>
  <c r="N46" i="2"/>
  <c r="M42" i="2"/>
  <c r="N42" i="2"/>
  <c r="M38" i="2"/>
  <c r="N38" i="2"/>
  <c r="M34" i="2"/>
  <c r="N34" i="2"/>
  <c r="M30" i="2"/>
  <c r="N30" i="2"/>
  <c r="M26" i="2"/>
  <c r="N26" i="2"/>
  <c r="M22" i="2"/>
  <c r="N22" i="2"/>
  <c r="M18" i="2"/>
  <c r="N18" i="2"/>
  <c r="M14" i="2"/>
  <c r="N14" i="2"/>
  <c r="M10" i="2"/>
  <c r="N10" i="2"/>
  <c r="M6" i="2"/>
  <c r="N6" i="2"/>
  <c r="M2044" i="2"/>
  <c r="N2044" i="2"/>
  <c r="M2040" i="2"/>
  <c r="N2040" i="2"/>
  <c r="M2036" i="2"/>
  <c r="N2036" i="2"/>
  <c r="M2032" i="2"/>
  <c r="N2032" i="2"/>
  <c r="M2028" i="2"/>
  <c r="N2028" i="2"/>
  <c r="M2024" i="2"/>
  <c r="N2024" i="2"/>
  <c r="M2020" i="2"/>
  <c r="N2020" i="2"/>
  <c r="M2016" i="2"/>
  <c r="N2016" i="2"/>
  <c r="M2012" i="2"/>
  <c r="N2012" i="2"/>
  <c r="M2008" i="2"/>
  <c r="N2008" i="2"/>
  <c r="M2004" i="2"/>
  <c r="N2004" i="2"/>
  <c r="M2000" i="2"/>
  <c r="N2000" i="2"/>
  <c r="M1996" i="2"/>
  <c r="N1996" i="2"/>
  <c r="M1992" i="2"/>
  <c r="N1992" i="2"/>
  <c r="M1988" i="2"/>
  <c r="N1988" i="2"/>
  <c r="M1984" i="2"/>
  <c r="N1984" i="2"/>
  <c r="M1980" i="2"/>
  <c r="N1980" i="2"/>
  <c r="M1976" i="2"/>
  <c r="N1976" i="2"/>
  <c r="M1972" i="2"/>
  <c r="N1972" i="2"/>
  <c r="M1968" i="2"/>
  <c r="N1968" i="2"/>
  <c r="M1964" i="2"/>
  <c r="N1964" i="2"/>
  <c r="M1960" i="2"/>
  <c r="N1960" i="2"/>
  <c r="M1956" i="2"/>
  <c r="N1956" i="2"/>
  <c r="M1952" i="2"/>
  <c r="N1952" i="2"/>
  <c r="M1948" i="2"/>
  <c r="N1948" i="2"/>
  <c r="M1944" i="2"/>
  <c r="N1944" i="2"/>
  <c r="M1940" i="2"/>
  <c r="N1940" i="2"/>
  <c r="M1936" i="2"/>
  <c r="N1936" i="2"/>
  <c r="M1932" i="2"/>
  <c r="N1932" i="2"/>
  <c r="M1928" i="2"/>
  <c r="N1928" i="2"/>
  <c r="M1924" i="2"/>
  <c r="N1924" i="2"/>
  <c r="M1920" i="2"/>
  <c r="N1920" i="2"/>
  <c r="M1916" i="2"/>
  <c r="N1916" i="2"/>
  <c r="M1912" i="2"/>
  <c r="N1912" i="2"/>
  <c r="M1908" i="2"/>
  <c r="N1908" i="2"/>
  <c r="M1904" i="2"/>
  <c r="N1904" i="2"/>
  <c r="M1900" i="2"/>
  <c r="N1900" i="2"/>
  <c r="M1896" i="2"/>
  <c r="N1896" i="2"/>
  <c r="M1892" i="2"/>
  <c r="N1892" i="2"/>
  <c r="M1888" i="2"/>
  <c r="N1888" i="2"/>
  <c r="M1884" i="2"/>
  <c r="N1884" i="2"/>
  <c r="M1880" i="2"/>
  <c r="N1880" i="2"/>
  <c r="M1876" i="2"/>
  <c r="N1876" i="2"/>
  <c r="M1872" i="2"/>
  <c r="N1872" i="2"/>
  <c r="M1868" i="2"/>
  <c r="N1868" i="2"/>
  <c r="M1864" i="2"/>
  <c r="N1864" i="2"/>
  <c r="M1860" i="2"/>
  <c r="N1860" i="2"/>
  <c r="M1856" i="2"/>
  <c r="N1856" i="2"/>
  <c r="M1852" i="2"/>
  <c r="N1852" i="2"/>
  <c r="M1848" i="2"/>
  <c r="N1848" i="2"/>
  <c r="M1844" i="2"/>
  <c r="N1844" i="2"/>
  <c r="M1840" i="2"/>
  <c r="N1840" i="2"/>
  <c r="M1836" i="2"/>
  <c r="N1836" i="2"/>
  <c r="M1832" i="2"/>
  <c r="N1832" i="2"/>
  <c r="M1828" i="2"/>
  <c r="N1828" i="2"/>
  <c r="M1824" i="2"/>
  <c r="N1824" i="2"/>
  <c r="M1820" i="2"/>
  <c r="N1820" i="2"/>
  <c r="M1816" i="2"/>
  <c r="N1816" i="2"/>
  <c r="M1812" i="2"/>
  <c r="N1812" i="2"/>
  <c r="M1808" i="2"/>
  <c r="N1808" i="2"/>
  <c r="M1804" i="2"/>
  <c r="N1804" i="2"/>
  <c r="M1800" i="2"/>
  <c r="N1800" i="2"/>
  <c r="M1796" i="2"/>
  <c r="N1796" i="2"/>
  <c r="M1792" i="2"/>
  <c r="N1792" i="2"/>
  <c r="M1788" i="2"/>
  <c r="N1788" i="2"/>
  <c r="M1784" i="2"/>
  <c r="N1784" i="2"/>
  <c r="M1780" i="2"/>
  <c r="N1780" i="2"/>
  <c r="M1776" i="2"/>
  <c r="N1776" i="2"/>
  <c r="M1772" i="2"/>
  <c r="N1772" i="2"/>
  <c r="M1768" i="2"/>
  <c r="N1768" i="2"/>
  <c r="M1764" i="2"/>
  <c r="N1764" i="2"/>
  <c r="M1760" i="2"/>
  <c r="N1760" i="2"/>
  <c r="M1756" i="2"/>
  <c r="N1756" i="2"/>
  <c r="M1752" i="2"/>
  <c r="N1752" i="2"/>
  <c r="M1748" i="2"/>
  <c r="N1748" i="2"/>
  <c r="M1744" i="2"/>
  <c r="N1744" i="2"/>
  <c r="M1740" i="2"/>
  <c r="N1740" i="2"/>
  <c r="M1736" i="2"/>
  <c r="N1736" i="2"/>
  <c r="M1732" i="2"/>
  <c r="N1732" i="2"/>
  <c r="M1728" i="2"/>
  <c r="N1728" i="2"/>
  <c r="M1724" i="2"/>
  <c r="N1724" i="2"/>
  <c r="M1720" i="2"/>
  <c r="N1720" i="2"/>
  <c r="M1716" i="2"/>
  <c r="N1716" i="2"/>
  <c r="M1712" i="2"/>
  <c r="N1712" i="2"/>
  <c r="M1708" i="2"/>
  <c r="N1708" i="2"/>
  <c r="M1704" i="2"/>
  <c r="N1704" i="2"/>
  <c r="M1700" i="2"/>
  <c r="N1700" i="2"/>
  <c r="M1696" i="2"/>
  <c r="N1696" i="2"/>
  <c r="M1692" i="2"/>
  <c r="N1692" i="2"/>
  <c r="M1688" i="2"/>
  <c r="N1688" i="2"/>
  <c r="M1684" i="2"/>
  <c r="N1684" i="2"/>
  <c r="M1680" i="2"/>
  <c r="N1680" i="2"/>
  <c r="M1676" i="2"/>
  <c r="N1676" i="2"/>
  <c r="M1672" i="2"/>
  <c r="N1672" i="2"/>
  <c r="M1668" i="2"/>
  <c r="N1668" i="2"/>
  <c r="M1664" i="2"/>
  <c r="N1664" i="2"/>
  <c r="M1660" i="2"/>
  <c r="N1660" i="2"/>
  <c r="M1656" i="2"/>
  <c r="N1656" i="2"/>
  <c r="M1652" i="2"/>
  <c r="N1652" i="2"/>
  <c r="M1648" i="2"/>
  <c r="N1648" i="2"/>
  <c r="M1644" i="2"/>
  <c r="N1644" i="2"/>
  <c r="M1640" i="2"/>
  <c r="N1640" i="2"/>
  <c r="M1636" i="2"/>
  <c r="N1636" i="2"/>
  <c r="M1632" i="2"/>
  <c r="N1632" i="2"/>
  <c r="M1628" i="2"/>
  <c r="N1628" i="2"/>
  <c r="M1624" i="2"/>
  <c r="N1624" i="2"/>
  <c r="M1620" i="2"/>
  <c r="N1620" i="2"/>
  <c r="M1616" i="2"/>
  <c r="N1616" i="2"/>
  <c r="M1612" i="2"/>
  <c r="N1612" i="2"/>
  <c r="M1608" i="2"/>
  <c r="N1608" i="2"/>
  <c r="M1604" i="2"/>
  <c r="N1604" i="2"/>
  <c r="M1600" i="2"/>
  <c r="N1600" i="2"/>
  <c r="M1596" i="2"/>
  <c r="N1596" i="2"/>
  <c r="M1592" i="2"/>
  <c r="N1592" i="2"/>
  <c r="M1588" i="2"/>
  <c r="N1588" i="2"/>
  <c r="M1584" i="2"/>
  <c r="N1584" i="2"/>
  <c r="M1580" i="2"/>
  <c r="N1580" i="2"/>
  <c r="M1576" i="2"/>
  <c r="N1576" i="2"/>
  <c r="M1572" i="2"/>
  <c r="N1572" i="2"/>
  <c r="M1568" i="2"/>
  <c r="N1568" i="2"/>
  <c r="M1564" i="2"/>
  <c r="N1564" i="2"/>
  <c r="M1560" i="2"/>
  <c r="N1560" i="2"/>
  <c r="M1556" i="2"/>
  <c r="N1556" i="2"/>
  <c r="M1552" i="2"/>
  <c r="N1552" i="2"/>
  <c r="M1548" i="2"/>
  <c r="N1548" i="2"/>
  <c r="M1544" i="2"/>
  <c r="N1544" i="2"/>
  <c r="M1540" i="2"/>
  <c r="N1540" i="2"/>
  <c r="M1536" i="2"/>
  <c r="N1536" i="2"/>
  <c r="M1532" i="2"/>
  <c r="N1532" i="2"/>
  <c r="M1528" i="2"/>
  <c r="N1528" i="2"/>
  <c r="M1524" i="2"/>
  <c r="N1524" i="2"/>
  <c r="M1520" i="2"/>
  <c r="N1520" i="2"/>
  <c r="M1516" i="2"/>
  <c r="N1516" i="2"/>
  <c r="M1512" i="2"/>
  <c r="N1512" i="2"/>
  <c r="M1508" i="2"/>
  <c r="N1508" i="2"/>
  <c r="M1504" i="2"/>
  <c r="N1504" i="2"/>
  <c r="M1500" i="2"/>
  <c r="N1500" i="2"/>
  <c r="M1496" i="2"/>
  <c r="N1496" i="2"/>
  <c r="M1492" i="2"/>
  <c r="N1492" i="2"/>
  <c r="M1488" i="2"/>
  <c r="N1488" i="2"/>
  <c r="M1484" i="2"/>
  <c r="N1484" i="2"/>
  <c r="M1480" i="2"/>
  <c r="N1480" i="2"/>
  <c r="M1476" i="2"/>
  <c r="N1476" i="2"/>
  <c r="M1472" i="2"/>
  <c r="N1472" i="2"/>
  <c r="M1468" i="2"/>
  <c r="N1468" i="2"/>
  <c r="M1464" i="2"/>
  <c r="N1464" i="2"/>
  <c r="M1460" i="2"/>
  <c r="N1460" i="2"/>
  <c r="M1456" i="2"/>
  <c r="N1456" i="2"/>
  <c r="M1452" i="2"/>
  <c r="N1452" i="2"/>
  <c r="M1448" i="2"/>
  <c r="N1448" i="2"/>
  <c r="M1444" i="2"/>
  <c r="N1444" i="2"/>
  <c r="M1440" i="2"/>
  <c r="N1440" i="2"/>
  <c r="M1436" i="2"/>
  <c r="N1436" i="2"/>
  <c r="M1432" i="2"/>
  <c r="N1432" i="2"/>
  <c r="M1428" i="2"/>
  <c r="N1428" i="2"/>
  <c r="M1424" i="2"/>
  <c r="N1424" i="2"/>
  <c r="M1420" i="2"/>
  <c r="N1420" i="2"/>
  <c r="M1416" i="2"/>
  <c r="N1416" i="2"/>
  <c r="M1412" i="2"/>
  <c r="N1412" i="2"/>
  <c r="M1408" i="2"/>
  <c r="N1408" i="2"/>
  <c r="M1404" i="2"/>
  <c r="N1404" i="2"/>
  <c r="M1400" i="2"/>
  <c r="N1400" i="2"/>
  <c r="M1396" i="2"/>
  <c r="N1396" i="2"/>
  <c r="M1392" i="2"/>
  <c r="N1392" i="2"/>
  <c r="M1388" i="2"/>
  <c r="N1388" i="2"/>
  <c r="M1384" i="2"/>
  <c r="N1384" i="2"/>
  <c r="M1380" i="2"/>
  <c r="N1380" i="2"/>
  <c r="M1376" i="2"/>
  <c r="N1376" i="2"/>
  <c r="M1372" i="2"/>
  <c r="N1372" i="2"/>
  <c r="M1368" i="2"/>
  <c r="N1368" i="2"/>
  <c r="M1364" i="2"/>
  <c r="N1364" i="2"/>
  <c r="M1360" i="2"/>
  <c r="N1360" i="2"/>
  <c r="M1356" i="2"/>
  <c r="N1356" i="2"/>
  <c r="M1352" i="2"/>
  <c r="N1352" i="2"/>
  <c r="M1348" i="2"/>
  <c r="N1348" i="2"/>
  <c r="M1344" i="2"/>
  <c r="N1344" i="2"/>
  <c r="M1340" i="2"/>
  <c r="N1340" i="2"/>
  <c r="M1336" i="2"/>
  <c r="N1336" i="2"/>
  <c r="M1332" i="2"/>
  <c r="N1332" i="2"/>
  <c r="M1328" i="2"/>
  <c r="N1328" i="2"/>
  <c r="M1324" i="2"/>
  <c r="N1324" i="2"/>
  <c r="M1320" i="2"/>
  <c r="N1320" i="2"/>
  <c r="M1316" i="2"/>
  <c r="N1316" i="2"/>
  <c r="M1312" i="2"/>
  <c r="N1312" i="2"/>
  <c r="M1308" i="2"/>
  <c r="N1308" i="2"/>
  <c r="M1304" i="2"/>
  <c r="N1304" i="2"/>
  <c r="M1300" i="2"/>
  <c r="N1300" i="2"/>
  <c r="M1296" i="2"/>
  <c r="N1296" i="2"/>
  <c r="M1292" i="2"/>
  <c r="N1292" i="2"/>
  <c r="M1288" i="2"/>
  <c r="N1288" i="2"/>
  <c r="M1284" i="2"/>
  <c r="N1284" i="2"/>
  <c r="M1280" i="2"/>
  <c r="N1280" i="2"/>
  <c r="M1276" i="2"/>
  <c r="N1276" i="2"/>
  <c r="M1272" i="2"/>
  <c r="N1272" i="2"/>
  <c r="M1268" i="2"/>
  <c r="N1268" i="2"/>
  <c r="M1264" i="2"/>
  <c r="N1264" i="2"/>
  <c r="M1260" i="2"/>
  <c r="N1260" i="2"/>
  <c r="M1256" i="2"/>
  <c r="N1256" i="2"/>
  <c r="M1252" i="2"/>
  <c r="N1252" i="2"/>
  <c r="M1248" i="2"/>
  <c r="N1248" i="2"/>
  <c r="M1244" i="2"/>
  <c r="N1244" i="2"/>
  <c r="M1240" i="2"/>
  <c r="N1240" i="2"/>
  <c r="M1236" i="2"/>
  <c r="N1236" i="2"/>
  <c r="M1232" i="2"/>
  <c r="N1232" i="2"/>
  <c r="M1228" i="2"/>
  <c r="N1228" i="2"/>
  <c r="M1224" i="2"/>
  <c r="N1224" i="2"/>
  <c r="M1220" i="2"/>
  <c r="N1220" i="2"/>
  <c r="M1216" i="2"/>
  <c r="N1216" i="2"/>
  <c r="M1212" i="2"/>
  <c r="N1212" i="2"/>
  <c r="M1208" i="2"/>
  <c r="N1208" i="2"/>
  <c r="M1204" i="2"/>
  <c r="N1204" i="2"/>
  <c r="M1200" i="2"/>
  <c r="N1200" i="2"/>
  <c r="M1196" i="2"/>
  <c r="N1196" i="2"/>
  <c r="M1192" i="2"/>
  <c r="N1192" i="2"/>
  <c r="M1188" i="2"/>
  <c r="N1188" i="2"/>
  <c r="M1184" i="2"/>
  <c r="N1184" i="2"/>
  <c r="M1180" i="2"/>
  <c r="N1180" i="2"/>
  <c r="M1176" i="2"/>
  <c r="N1176" i="2"/>
  <c r="M1172" i="2"/>
  <c r="N1172" i="2"/>
  <c r="M1168" i="2"/>
  <c r="N1168" i="2"/>
  <c r="M1164" i="2"/>
  <c r="N1164" i="2"/>
  <c r="M1160" i="2"/>
  <c r="N1160" i="2"/>
  <c r="M1156" i="2"/>
  <c r="N1156" i="2"/>
  <c r="M1152" i="2"/>
  <c r="N1152" i="2"/>
  <c r="M1148" i="2"/>
  <c r="N1148" i="2"/>
  <c r="M1144" i="2"/>
  <c r="N1144" i="2"/>
  <c r="M1140" i="2"/>
  <c r="N1140" i="2"/>
  <c r="M1136" i="2"/>
  <c r="N1136" i="2"/>
  <c r="M1132" i="2"/>
  <c r="N1132" i="2"/>
  <c r="M1128" i="2"/>
  <c r="N1128" i="2"/>
  <c r="M1124" i="2"/>
  <c r="N1124" i="2"/>
  <c r="M1120" i="2"/>
  <c r="N1120" i="2"/>
  <c r="M1116" i="2"/>
  <c r="N1116" i="2"/>
  <c r="M1112" i="2"/>
  <c r="N1112" i="2"/>
  <c r="M1108" i="2"/>
  <c r="N1108" i="2"/>
  <c r="M1104" i="2"/>
  <c r="N1104" i="2"/>
  <c r="M1100" i="2"/>
  <c r="N1100" i="2"/>
  <c r="M1096" i="2"/>
  <c r="N1096" i="2"/>
  <c r="M1092" i="2"/>
  <c r="N1092" i="2"/>
  <c r="M1088" i="2"/>
  <c r="N1088" i="2"/>
  <c r="M1084" i="2"/>
  <c r="N1084" i="2"/>
  <c r="M1080" i="2"/>
  <c r="N1080" i="2"/>
  <c r="M1076" i="2"/>
  <c r="N1076" i="2"/>
  <c r="M1072" i="2"/>
  <c r="N1072" i="2"/>
  <c r="M1068" i="2"/>
  <c r="N1068" i="2"/>
  <c r="M1064" i="2"/>
  <c r="N1064" i="2"/>
  <c r="M1060" i="2"/>
  <c r="N1060" i="2"/>
  <c r="M1056" i="2"/>
  <c r="N1056" i="2"/>
  <c r="M1052" i="2"/>
  <c r="N1052" i="2"/>
  <c r="M1048" i="2"/>
  <c r="N1048" i="2"/>
  <c r="M1044" i="2"/>
  <c r="N1044" i="2"/>
  <c r="M1040" i="2"/>
  <c r="N1040" i="2"/>
  <c r="M1036" i="2"/>
  <c r="N1036" i="2"/>
  <c r="M1032" i="2"/>
  <c r="N1032" i="2"/>
  <c r="M1028" i="2"/>
  <c r="N1028" i="2"/>
  <c r="M1024" i="2"/>
  <c r="N1024" i="2"/>
  <c r="M1020" i="2"/>
  <c r="N1020" i="2"/>
  <c r="M1016" i="2"/>
  <c r="N1016" i="2"/>
  <c r="M1012" i="2"/>
  <c r="N1012" i="2"/>
  <c r="M1008" i="2"/>
  <c r="N1008" i="2"/>
  <c r="M1004" i="2"/>
  <c r="N1004" i="2"/>
  <c r="M1000" i="2"/>
  <c r="N1000" i="2"/>
  <c r="M996" i="2"/>
  <c r="N996" i="2"/>
  <c r="M992" i="2"/>
  <c r="N992" i="2"/>
  <c r="M988" i="2"/>
  <c r="N988" i="2"/>
  <c r="M984" i="2"/>
  <c r="N984" i="2"/>
  <c r="M980" i="2"/>
  <c r="N980" i="2"/>
  <c r="M976" i="2"/>
  <c r="N976" i="2"/>
  <c r="M972" i="2"/>
  <c r="N972" i="2"/>
  <c r="M968" i="2"/>
  <c r="N968" i="2"/>
  <c r="M964" i="2"/>
  <c r="N964" i="2"/>
  <c r="M960" i="2"/>
  <c r="N960" i="2"/>
  <c r="M956" i="2"/>
  <c r="N956" i="2"/>
  <c r="M952" i="2"/>
  <c r="N952" i="2"/>
  <c r="M948" i="2"/>
  <c r="N948" i="2"/>
  <c r="M944" i="2"/>
  <c r="N944" i="2"/>
  <c r="M940" i="2"/>
  <c r="N940" i="2"/>
  <c r="M936" i="2"/>
  <c r="N936" i="2"/>
  <c r="M932" i="2"/>
  <c r="N932" i="2"/>
  <c r="M928" i="2"/>
  <c r="N928" i="2"/>
  <c r="M924" i="2"/>
  <c r="N924" i="2"/>
  <c r="M920" i="2"/>
  <c r="N920" i="2"/>
  <c r="M916" i="2"/>
  <c r="N916" i="2"/>
  <c r="M912" i="2"/>
  <c r="N912" i="2"/>
  <c r="M908" i="2"/>
  <c r="N908" i="2"/>
  <c r="M904" i="2"/>
  <c r="N904" i="2"/>
  <c r="M900" i="2"/>
  <c r="N900" i="2"/>
  <c r="M896" i="2"/>
  <c r="N896" i="2"/>
  <c r="M892" i="2"/>
  <c r="N892" i="2"/>
  <c r="M888" i="2"/>
  <c r="N888" i="2"/>
  <c r="M884" i="2"/>
  <c r="N884" i="2"/>
  <c r="M880" i="2"/>
  <c r="N880" i="2"/>
  <c r="M876" i="2"/>
  <c r="N876" i="2"/>
  <c r="M872" i="2"/>
  <c r="N872" i="2"/>
  <c r="M868" i="2"/>
  <c r="N868" i="2"/>
  <c r="M864" i="2"/>
  <c r="N864" i="2"/>
  <c r="M860" i="2"/>
  <c r="N860" i="2"/>
  <c r="M856" i="2"/>
  <c r="N856" i="2"/>
  <c r="M852" i="2"/>
  <c r="N852" i="2"/>
  <c r="M848" i="2"/>
  <c r="N848" i="2"/>
  <c r="M844" i="2"/>
  <c r="N844" i="2"/>
  <c r="M840" i="2"/>
  <c r="N840" i="2"/>
  <c r="M836" i="2"/>
  <c r="N836" i="2"/>
  <c r="M832" i="2"/>
  <c r="N832" i="2"/>
  <c r="M828" i="2"/>
  <c r="N828" i="2"/>
  <c r="M824" i="2"/>
  <c r="N824" i="2"/>
  <c r="M820" i="2"/>
  <c r="N820" i="2"/>
  <c r="M816" i="2"/>
  <c r="N816" i="2"/>
  <c r="M812" i="2"/>
  <c r="N812" i="2"/>
  <c r="M808" i="2"/>
  <c r="N808" i="2"/>
  <c r="M804" i="2"/>
  <c r="N804" i="2"/>
  <c r="M800" i="2"/>
  <c r="N800" i="2"/>
  <c r="M796" i="2"/>
  <c r="N796" i="2"/>
  <c r="M792" i="2"/>
  <c r="N792" i="2"/>
  <c r="M788" i="2"/>
  <c r="N788" i="2"/>
  <c r="M784" i="2"/>
  <c r="N784" i="2"/>
  <c r="M780" i="2"/>
  <c r="N780" i="2"/>
  <c r="M776" i="2"/>
  <c r="N776" i="2"/>
  <c r="M772" i="2"/>
  <c r="N772" i="2"/>
  <c r="M768" i="2"/>
  <c r="N768" i="2"/>
  <c r="M764" i="2"/>
  <c r="N764" i="2"/>
  <c r="M760" i="2"/>
  <c r="N760" i="2"/>
  <c r="M756" i="2"/>
  <c r="N756" i="2"/>
  <c r="M752" i="2"/>
  <c r="N752" i="2"/>
  <c r="M748" i="2"/>
  <c r="N748" i="2"/>
  <c r="M744" i="2"/>
  <c r="N744" i="2"/>
  <c r="M740" i="2"/>
  <c r="N740" i="2"/>
  <c r="M736" i="2"/>
  <c r="N736" i="2"/>
  <c r="M732" i="2"/>
  <c r="N732" i="2"/>
  <c r="M728" i="2"/>
  <c r="N728" i="2"/>
  <c r="M724" i="2"/>
  <c r="N724" i="2"/>
  <c r="M720" i="2"/>
  <c r="N720" i="2"/>
  <c r="M716" i="2"/>
  <c r="N716" i="2"/>
  <c r="M712" i="2"/>
  <c r="N712" i="2"/>
  <c r="M708" i="2"/>
  <c r="N708" i="2"/>
  <c r="M704" i="2"/>
  <c r="N704" i="2"/>
  <c r="M700" i="2"/>
  <c r="N700" i="2"/>
  <c r="M696" i="2"/>
  <c r="N696" i="2"/>
  <c r="M692" i="2"/>
  <c r="N692" i="2"/>
  <c r="M688" i="2"/>
  <c r="N688" i="2"/>
  <c r="M684" i="2"/>
  <c r="N684" i="2"/>
  <c r="M680" i="2"/>
  <c r="N680" i="2"/>
  <c r="M676" i="2"/>
  <c r="N676" i="2"/>
  <c r="M672" i="2"/>
  <c r="N672" i="2"/>
  <c r="M668" i="2"/>
  <c r="N668" i="2"/>
  <c r="M664" i="2"/>
  <c r="N664" i="2"/>
  <c r="M660" i="2"/>
  <c r="N660" i="2"/>
  <c r="M656" i="2"/>
  <c r="N656" i="2"/>
  <c r="M652" i="2"/>
  <c r="N652" i="2"/>
  <c r="M648" i="2"/>
  <c r="N648" i="2"/>
  <c r="M644" i="2"/>
  <c r="N644" i="2"/>
  <c r="M640" i="2"/>
  <c r="N640" i="2"/>
  <c r="M636" i="2"/>
  <c r="N636" i="2"/>
  <c r="M632" i="2"/>
  <c r="N632" i="2"/>
  <c r="M628" i="2"/>
  <c r="N628" i="2"/>
  <c r="M624" i="2"/>
  <c r="N624" i="2"/>
  <c r="M620" i="2"/>
  <c r="N620" i="2"/>
  <c r="M616" i="2"/>
  <c r="N616" i="2"/>
  <c r="M612" i="2"/>
  <c r="N612" i="2"/>
  <c r="M608" i="2"/>
  <c r="N608" i="2"/>
  <c r="M604" i="2"/>
  <c r="N604" i="2"/>
  <c r="M600" i="2"/>
  <c r="N600" i="2"/>
  <c r="M596" i="2"/>
  <c r="N596" i="2"/>
  <c r="M592" i="2"/>
  <c r="N592" i="2"/>
  <c r="M588" i="2"/>
  <c r="N588" i="2"/>
  <c r="M584" i="2"/>
  <c r="N584" i="2"/>
  <c r="M580" i="2"/>
  <c r="N580" i="2"/>
  <c r="M576" i="2"/>
  <c r="N576" i="2"/>
  <c r="M572" i="2"/>
  <c r="N572" i="2"/>
  <c r="M568" i="2"/>
  <c r="N568" i="2"/>
  <c r="M564" i="2"/>
  <c r="N564" i="2"/>
  <c r="M560" i="2"/>
  <c r="N560" i="2"/>
  <c r="M556" i="2"/>
  <c r="N556" i="2"/>
  <c r="M552" i="2"/>
  <c r="N552" i="2"/>
  <c r="M548" i="2"/>
  <c r="N548" i="2"/>
  <c r="M544" i="2"/>
  <c r="N544" i="2"/>
  <c r="M540" i="2"/>
  <c r="N540" i="2"/>
  <c r="M536" i="2"/>
  <c r="N536" i="2"/>
  <c r="M532" i="2"/>
  <c r="N532" i="2"/>
  <c r="M528" i="2"/>
  <c r="N528" i="2"/>
  <c r="M524" i="2"/>
  <c r="N524" i="2"/>
  <c r="M520" i="2"/>
  <c r="N520" i="2"/>
  <c r="M516" i="2"/>
  <c r="N516" i="2"/>
  <c r="M512" i="2"/>
  <c r="N512" i="2"/>
  <c r="M508" i="2"/>
  <c r="N508" i="2"/>
  <c r="M504" i="2"/>
  <c r="N504" i="2"/>
  <c r="M500" i="2"/>
  <c r="N500" i="2"/>
  <c r="M496" i="2"/>
  <c r="N496" i="2"/>
  <c r="M492" i="2"/>
  <c r="N492" i="2"/>
  <c r="M488" i="2"/>
  <c r="N488" i="2"/>
  <c r="M484" i="2"/>
  <c r="N484" i="2"/>
  <c r="M480" i="2"/>
  <c r="N480" i="2"/>
  <c r="M476" i="2"/>
  <c r="N476" i="2"/>
  <c r="M472" i="2"/>
  <c r="N472" i="2"/>
  <c r="M468" i="2"/>
  <c r="N468" i="2"/>
  <c r="M464" i="2"/>
  <c r="N464" i="2"/>
  <c r="M460" i="2"/>
  <c r="N460" i="2"/>
  <c r="M456" i="2"/>
  <c r="N456" i="2"/>
  <c r="M452" i="2"/>
  <c r="N452" i="2"/>
  <c r="M448" i="2"/>
  <c r="N448" i="2"/>
  <c r="M444" i="2"/>
  <c r="N444" i="2"/>
  <c r="M440" i="2"/>
  <c r="N440" i="2"/>
  <c r="M436" i="2"/>
  <c r="N436" i="2"/>
  <c r="M432" i="2"/>
  <c r="N432" i="2"/>
  <c r="M428" i="2"/>
  <c r="N428" i="2"/>
  <c r="M424" i="2"/>
  <c r="N424" i="2"/>
  <c r="M420" i="2"/>
  <c r="N420" i="2"/>
  <c r="M416" i="2"/>
  <c r="N416" i="2"/>
  <c r="M412" i="2"/>
  <c r="N412" i="2"/>
  <c r="M408" i="2"/>
  <c r="N408" i="2"/>
  <c r="M404" i="2"/>
  <c r="N404" i="2"/>
  <c r="M400" i="2"/>
  <c r="N400" i="2"/>
  <c r="M396" i="2"/>
  <c r="N396" i="2"/>
  <c r="M392" i="2"/>
  <c r="N392" i="2"/>
  <c r="M388" i="2"/>
  <c r="N388" i="2"/>
  <c r="M384" i="2"/>
  <c r="N384" i="2"/>
  <c r="M380" i="2"/>
  <c r="N380" i="2"/>
  <c r="M376" i="2"/>
  <c r="N376" i="2"/>
  <c r="M372" i="2"/>
  <c r="N372" i="2"/>
  <c r="M368" i="2"/>
  <c r="N368" i="2"/>
  <c r="M364" i="2"/>
  <c r="N364" i="2"/>
  <c r="M360" i="2"/>
  <c r="N360" i="2"/>
  <c r="M356" i="2"/>
  <c r="N356" i="2"/>
  <c r="M352" i="2"/>
  <c r="N352" i="2"/>
  <c r="M348" i="2"/>
  <c r="N348" i="2"/>
  <c r="M344" i="2"/>
  <c r="N344" i="2"/>
  <c r="M340" i="2"/>
  <c r="N340" i="2"/>
  <c r="M336" i="2"/>
  <c r="N336" i="2"/>
  <c r="M332" i="2"/>
  <c r="N332" i="2"/>
  <c r="M328" i="2"/>
  <c r="N328" i="2"/>
  <c r="M324" i="2"/>
  <c r="N324" i="2"/>
  <c r="M320" i="2"/>
  <c r="N320" i="2"/>
  <c r="M316" i="2"/>
  <c r="N316" i="2"/>
  <c r="M312" i="2"/>
  <c r="N312" i="2"/>
  <c r="M308" i="2"/>
  <c r="N308" i="2"/>
  <c r="M304" i="2"/>
  <c r="N304" i="2"/>
  <c r="M300" i="2"/>
  <c r="N300" i="2"/>
  <c r="M296" i="2"/>
  <c r="N296" i="2"/>
  <c r="M292" i="2"/>
  <c r="N292" i="2"/>
  <c r="M288" i="2"/>
  <c r="N288" i="2"/>
  <c r="M284" i="2"/>
  <c r="N284" i="2"/>
  <c r="M280" i="2"/>
  <c r="N280" i="2"/>
  <c r="M276" i="2"/>
  <c r="N276" i="2"/>
  <c r="M272" i="2"/>
  <c r="N272" i="2"/>
  <c r="M268" i="2"/>
  <c r="N268" i="2"/>
  <c r="M264" i="2"/>
  <c r="N264" i="2"/>
  <c r="M260" i="2"/>
  <c r="N260" i="2"/>
  <c r="M256" i="2"/>
  <c r="N256" i="2"/>
  <c r="M252" i="2"/>
  <c r="N252" i="2"/>
  <c r="M248" i="2"/>
  <c r="N248" i="2"/>
  <c r="M244" i="2"/>
  <c r="N244" i="2"/>
  <c r="M240" i="2"/>
  <c r="N240" i="2"/>
  <c r="M236" i="2"/>
  <c r="N236" i="2"/>
  <c r="M232" i="2"/>
  <c r="N232" i="2"/>
  <c r="M228" i="2"/>
  <c r="N228" i="2"/>
  <c r="M224" i="2"/>
  <c r="N224" i="2"/>
  <c r="M220" i="2"/>
  <c r="N220" i="2"/>
  <c r="M216" i="2"/>
  <c r="N216" i="2"/>
  <c r="M212" i="2"/>
  <c r="N212" i="2"/>
  <c r="M208" i="2"/>
  <c r="N208" i="2"/>
  <c r="M204" i="2"/>
  <c r="N204" i="2"/>
  <c r="M200" i="2"/>
  <c r="N200" i="2"/>
  <c r="M196" i="2"/>
  <c r="N196" i="2"/>
  <c r="M192" i="2"/>
  <c r="N192" i="2"/>
  <c r="M188" i="2"/>
  <c r="N188" i="2"/>
  <c r="M184" i="2"/>
  <c r="N184" i="2"/>
  <c r="M180" i="2"/>
  <c r="N180" i="2"/>
  <c r="M176" i="2"/>
  <c r="N176" i="2"/>
  <c r="M172" i="2"/>
  <c r="N172" i="2"/>
  <c r="M168" i="2"/>
  <c r="N168" i="2"/>
  <c r="M164" i="2"/>
  <c r="N164" i="2"/>
  <c r="M160" i="2"/>
  <c r="N160" i="2"/>
  <c r="M156" i="2"/>
  <c r="N156" i="2"/>
  <c r="M152" i="2"/>
  <c r="N152" i="2"/>
  <c r="M148" i="2"/>
  <c r="N148" i="2"/>
  <c r="M144" i="2"/>
  <c r="N144" i="2"/>
  <c r="M140" i="2"/>
  <c r="N140" i="2"/>
  <c r="M136" i="2"/>
  <c r="N136" i="2"/>
  <c r="M132" i="2"/>
  <c r="N132" i="2"/>
  <c r="M128" i="2"/>
  <c r="N128" i="2"/>
  <c r="M124" i="2"/>
  <c r="N124" i="2"/>
  <c r="M120" i="2"/>
  <c r="N120" i="2"/>
  <c r="M116" i="2"/>
  <c r="N116" i="2"/>
  <c r="M112" i="2"/>
  <c r="N112" i="2"/>
  <c r="M108" i="2"/>
  <c r="N108" i="2"/>
  <c r="M104" i="2"/>
  <c r="N104" i="2"/>
  <c r="M100" i="2"/>
  <c r="N100" i="2"/>
  <c r="M96" i="2"/>
  <c r="N96" i="2"/>
  <c r="M92" i="2"/>
  <c r="N92" i="2"/>
  <c r="M88" i="2"/>
  <c r="N88" i="2"/>
  <c r="M84" i="2"/>
  <c r="N84" i="2"/>
  <c r="M80" i="2"/>
  <c r="N80" i="2"/>
  <c r="M76" i="2"/>
  <c r="N76" i="2"/>
  <c r="M72" i="2"/>
  <c r="N72" i="2"/>
  <c r="M68" i="2"/>
  <c r="N68" i="2"/>
  <c r="M64" i="2"/>
  <c r="N64" i="2"/>
  <c r="M60" i="2"/>
  <c r="N60" i="2"/>
  <c r="M56" i="2"/>
  <c r="N56" i="2"/>
  <c r="M52" i="2"/>
  <c r="N52" i="2"/>
  <c r="M48" i="2"/>
  <c r="N48" i="2"/>
  <c r="M44" i="2"/>
  <c r="N44" i="2"/>
  <c r="M40" i="2"/>
  <c r="N40" i="2"/>
  <c r="M36" i="2"/>
  <c r="N36" i="2"/>
  <c r="M32" i="2"/>
  <c r="N32" i="2"/>
  <c r="M28" i="2"/>
  <c r="N28" i="2"/>
  <c r="M24" i="2"/>
  <c r="N24" i="2"/>
  <c r="M20" i="2"/>
  <c r="N20" i="2"/>
  <c r="M16" i="2"/>
  <c r="N16" i="2"/>
  <c r="M12" i="2"/>
  <c r="N12" i="2"/>
  <c r="M8" i="2"/>
  <c r="N8" i="2"/>
  <c r="M4" i="2"/>
  <c r="N4" i="2"/>
  <c r="H2131" i="2"/>
  <c r="H2127" i="2"/>
  <c r="H2123" i="2"/>
  <c r="H2119" i="2"/>
  <c r="H2115" i="2"/>
  <c r="H2111" i="2"/>
  <c r="H2107" i="2"/>
  <c r="H2103" i="2"/>
  <c r="H2099" i="2"/>
  <c r="H2095" i="2"/>
  <c r="H2091" i="2"/>
  <c r="H2087" i="2"/>
  <c r="H2083" i="2"/>
  <c r="H2079" i="2"/>
  <c r="H2075" i="2"/>
  <c r="H2071" i="2"/>
  <c r="H2067" i="2"/>
  <c r="H2063" i="2"/>
  <c r="H2059" i="2"/>
  <c r="H2055" i="2"/>
  <c r="H2051" i="2"/>
  <c r="H2047" i="2"/>
  <c r="H2043" i="2"/>
  <c r="H2" i="2"/>
  <c r="H2128" i="2"/>
  <c r="H2124" i="2"/>
  <c r="H2120" i="2"/>
  <c r="H2116" i="2"/>
  <c r="H2112" i="2"/>
  <c r="H2108" i="2"/>
  <c r="H2104" i="2"/>
  <c r="H2100" i="2"/>
  <c r="H2096" i="2"/>
  <c r="H2092" i="2"/>
  <c r="H2088" i="2"/>
  <c r="H2084" i="2"/>
  <c r="H2080" i="2"/>
  <c r="H2076" i="2"/>
  <c r="H2072" i="2"/>
  <c r="H2068" i="2"/>
  <c r="H2064" i="2"/>
  <c r="H2060" i="2"/>
  <c r="H2056" i="2"/>
  <c r="H2052" i="2"/>
  <c r="H2048" i="2"/>
  <c r="H2044" i="2"/>
  <c r="H2039" i="2"/>
  <c r="H2035" i="2"/>
  <c r="H2031" i="2"/>
  <c r="H2027" i="2"/>
  <c r="H2023" i="2"/>
  <c r="H2019" i="2"/>
  <c r="H2015" i="2"/>
  <c r="H2011" i="2"/>
  <c r="H2007" i="2"/>
  <c r="H2003" i="2"/>
  <c r="H1999" i="2"/>
  <c r="H1995" i="2"/>
  <c r="H1991" i="2"/>
  <c r="H1987" i="2"/>
  <c r="H1983" i="2"/>
  <c r="H1979" i="2"/>
  <c r="H1975" i="2"/>
  <c r="H1971" i="2"/>
  <c r="H1967" i="2"/>
  <c r="H1963" i="2"/>
  <c r="H1959" i="2"/>
  <c r="H1955" i="2"/>
  <c r="H1951" i="2"/>
  <c r="H1947" i="2"/>
  <c r="H1943" i="2"/>
  <c r="H1939" i="2"/>
  <c r="H1935" i="2"/>
  <c r="H1931" i="2"/>
  <c r="H1927" i="2"/>
  <c r="H1923" i="2"/>
  <c r="H1919" i="2"/>
  <c r="H1915" i="2"/>
  <c r="H1911" i="2"/>
  <c r="H1907" i="2"/>
  <c r="H1903" i="2"/>
  <c r="H1899" i="2"/>
  <c r="H1895" i="2"/>
  <c r="H1891" i="2"/>
  <c r="H1887" i="2"/>
  <c r="H1883" i="2"/>
  <c r="H1879" i="2"/>
  <c r="H1875" i="2"/>
  <c r="H1871" i="2"/>
  <c r="H1867" i="2"/>
  <c r="H1863" i="2"/>
  <c r="H1859" i="2"/>
  <c r="H1855" i="2"/>
  <c r="H1851" i="2"/>
  <c r="H1847" i="2"/>
  <c r="H1843" i="2"/>
  <c r="H1839" i="2"/>
  <c r="H1835" i="2"/>
  <c r="H1831" i="2"/>
  <c r="H1827" i="2"/>
  <c r="H1823" i="2"/>
  <c r="H1819" i="2"/>
  <c r="H1815" i="2"/>
  <c r="H1811" i="2"/>
  <c r="H1807" i="2"/>
  <c r="H1803" i="2"/>
  <c r="H1799" i="2"/>
  <c r="H1795" i="2"/>
  <c r="H1791" i="2"/>
  <c r="H1787" i="2"/>
  <c r="H1783" i="2"/>
  <c r="H1779" i="2"/>
  <c r="H1775" i="2"/>
  <c r="H1771" i="2"/>
  <c r="H1767" i="2"/>
  <c r="H1763" i="2"/>
  <c r="H1759" i="2"/>
  <c r="H1755" i="2"/>
  <c r="H1751" i="2"/>
  <c r="H1747" i="2"/>
  <c r="H1743" i="2"/>
  <c r="H1739" i="2"/>
  <c r="H1735" i="2"/>
  <c r="H1731" i="2"/>
  <c r="H1727" i="2"/>
  <c r="H1723" i="2"/>
  <c r="H1719" i="2"/>
  <c r="H1715" i="2"/>
  <c r="H1711" i="2"/>
  <c r="H1707" i="2"/>
  <c r="H1703" i="2"/>
  <c r="H1699" i="2"/>
  <c r="H1695" i="2"/>
  <c r="H1691" i="2"/>
  <c r="H1687" i="2"/>
  <c r="H1683" i="2"/>
  <c r="H1679" i="2"/>
  <c r="H1675" i="2"/>
  <c r="H1671" i="2"/>
  <c r="H1667" i="2"/>
  <c r="H1663" i="2"/>
  <c r="H1659" i="2"/>
  <c r="H1655" i="2"/>
  <c r="H1651" i="2"/>
  <c r="H1647" i="2"/>
  <c r="H1643" i="2"/>
  <c r="H1639" i="2"/>
  <c r="H1635" i="2"/>
  <c r="H1631" i="2"/>
  <c r="H1627" i="2"/>
  <c r="H1623" i="2"/>
  <c r="H1619" i="2"/>
  <c r="H1615" i="2"/>
  <c r="H1611" i="2"/>
  <c r="H1607" i="2"/>
  <c r="H1603" i="2"/>
  <c r="H1599" i="2"/>
  <c r="H1595" i="2"/>
  <c r="H1591" i="2"/>
  <c r="H1587" i="2"/>
  <c r="H1583" i="2"/>
  <c r="H1579" i="2"/>
  <c r="H1575" i="2"/>
  <c r="H1571" i="2"/>
  <c r="H1567" i="2"/>
  <c r="H1563" i="2"/>
  <c r="H1559" i="2"/>
  <c r="H1555" i="2"/>
  <c r="H1551" i="2"/>
  <c r="H1547" i="2"/>
  <c r="H1543" i="2"/>
  <c r="H1539" i="2"/>
  <c r="H1535" i="2"/>
  <c r="H1531" i="2"/>
  <c r="H1527" i="2"/>
  <c r="H1523" i="2"/>
  <c r="H1519" i="2"/>
  <c r="H1515" i="2"/>
  <c r="H1511" i="2"/>
  <c r="H1507" i="2"/>
  <c r="H1503" i="2"/>
  <c r="H1499" i="2"/>
  <c r="H1495" i="2"/>
  <c r="H1491" i="2"/>
  <c r="H1487" i="2"/>
  <c r="H1483" i="2"/>
  <c r="H1479" i="2"/>
  <c r="H1475" i="2"/>
  <c r="H1471" i="2"/>
  <c r="H1467" i="2"/>
  <c r="H1463" i="2"/>
  <c r="H1459" i="2"/>
  <c r="H1455" i="2"/>
  <c r="H1451" i="2"/>
  <c r="H1447" i="2"/>
  <c r="H1443" i="2"/>
  <c r="H1439" i="2"/>
  <c r="H1435" i="2"/>
  <c r="H1431" i="2"/>
  <c r="H1427" i="2"/>
  <c r="H1423" i="2"/>
  <c r="H1419" i="2"/>
  <c r="H1415" i="2"/>
  <c r="H1411" i="2"/>
  <c r="H1407" i="2"/>
  <c r="H1403" i="2"/>
  <c r="H1399" i="2"/>
  <c r="H1395" i="2"/>
  <c r="H1391" i="2"/>
  <c r="H1387" i="2"/>
  <c r="H1383" i="2"/>
  <c r="H1379" i="2"/>
  <c r="H1375" i="2"/>
  <c r="H1371" i="2"/>
  <c r="H1367" i="2"/>
  <c r="H1363" i="2"/>
  <c r="H1359" i="2"/>
  <c r="H1355" i="2"/>
  <c r="H1351" i="2"/>
  <c r="H1347" i="2"/>
  <c r="H1343" i="2"/>
  <c r="H1339" i="2"/>
  <c r="H1335" i="2"/>
  <c r="H1331" i="2"/>
  <c r="H1327" i="2"/>
  <c r="H1323" i="2"/>
  <c r="H1319" i="2"/>
  <c r="H1315" i="2"/>
  <c r="H1311" i="2"/>
  <c r="H1307" i="2"/>
  <c r="H1303" i="2"/>
  <c r="H1299" i="2"/>
  <c r="H1295" i="2"/>
  <c r="H1291" i="2"/>
  <c r="H1287" i="2"/>
  <c r="H1283" i="2"/>
  <c r="H1279" i="2"/>
  <c r="H1275" i="2"/>
  <c r="H1271" i="2"/>
  <c r="H1267" i="2"/>
  <c r="H1263" i="2"/>
  <c r="H1259" i="2"/>
  <c r="H1255" i="2"/>
  <c r="H1251" i="2"/>
  <c r="H1247" i="2"/>
  <c r="H1243" i="2"/>
  <c r="H1239" i="2"/>
  <c r="H1235" i="2"/>
  <c r="H1231" i="2"/>
  <c r="H1227" i="2"/>
  <c r="H1223" i="2"/>
  <c r="H1219" i="2"/>
  <c r="H1215" i="2"/>
  <c r="H1211" i="2"/>
  <c r="H1207" i="2"/>
  <c r="H1203" i="2"/>
  <c r="H1199" i="2"/>
  <c r="H1195" i="2"/>
  <c r="H1191" i="2"/>
  <c r="H1187" i="2"/>
  <c r="H1183" i="2"/>
  <c r="H1179" i="2"/>
  <c r="H1175" i="2"/>
  <c r="H1171" i="2"/>
  <c r="H1167" i="2"/>
  <c r="H1163" i="2"/>
  <c r="H1159" i="2"/>
  <c r="H1155" i="2"/>
  <c r="H1151" i="2"/>
  <c r="H1147" i="2"/>
  <c r="H1143" i="2"/>
  <c r="H1139" i="2"/>
  <c r="H1135" i="2"/>
  <c r="H1131" i="2"/>
  <c r="H1127" i="2"/>
  <c r="H1123" i="2"/>
  <c r="H1119" i="2"/>
  <c r="H1115" i="2"/>
  <c r="H1111" i="2"/>
  <c r="H1107" i="2"/>
  <c r="H1103" i="2"/>
  <c r="H1099" i="2"/>
  <c r="H1095" i="2"/>
  <c r="H1091" i="2"/>
  <c r="H1087" i="2"/>
  <c r="H1083" i="2"/>
  <c r="H1079" i="2"/>
  <c r="H1075" i="2"/>
  <c r="H1071" i="2"/>
  <c r="H1067" i="2"/>
  <c r="H1063" i="2"/>
  <c r="H1059" i="2"/>
  <c r="H1055" i="2"/>
  <c r="H1051" i="2"/>
  <c r="H1047" i="2"/>
  <c r="H1043" i="2"/>
  <c r="H1039" i="2"/>
  <c r="H1035" i="2"/>
  <c r="H1031" i="2"/>
  <c r="H1027" i="2"/>
  <c r="H1023" i="2"/>
  <c r="H1019" i="2"/>
  <c r="H1015" i="2"/>
  <c r="H1011" i="2"/>
  <c r="H1007" i="2"/>
  <c r="H1003" i="2"/>
  <c r="H999" i="2"/>
  <c r="H995" i="2"/>
  <c r="H991" i="2"/>
  <c r="H987" i="2"/>
  <c r="H983" i="2"/>
  <c r="H979" i="2"/>
  <c r="H975" i="2"/>
  <c r="H971" i="2"/>
  <c r="H967" i="2"/>
  <c r="H963" i="2"/>
  <c r="H959" i="2"/>
  <c r="H955" i="2"/>
  <c r="H951" i="2"/>
  <c r="H947" i="2"/>
  <c r="H943" i="2"/>
  <c r="H939" i="2"/>
  <c r="H935" i="2"/>
  <c r="H931" i="2"/>
  <c r="H927" i="2"/>
  <c r="H923" i="2"/>
  <c r="H919" i="2"/>
  <c r="H915" i="2"/>
  <c r="H911" i="2"/>
  <c r="H907" i="2"/>
  <c r="H903" i="2"/>
  <c r="H899" i="2"/>
  <c r="H895" i="2"/>
  <c r="H891" i="2"/>
  <c r="H887" i="2"/>
  <c r="H883" i="2"/>
  <c r="H879" i="2"/>
  <c r="H875" i="2"/>
  <c r="H871" i="2"/>
  <c r="H867" i="2"/>
  <c r="H863" i="2"/>
  <c r="H859" i="2"/>
  <c r="H855" i="2"/>
  <c r="H851" i="2"/>
  <c r="H847" i="2"/>
  <c r="H843" i="2"/>
  <c r="H839" i="2"/>
  <c r="H835" i="2"/>
  <c r="H831" i="2"/>
  <c r="H827" i="2"/>
  <c r="H823" i="2"/>
  <c r="H819" i="2"/>
  <c r="H815" i="2"/>
  <c r="H811" i="2"/>
  <c r="H807" i="2"/>
  <c r="H803" i="2"/>
  <c r="H799" i="2"/>
  <c r="H795" i="2"/>
  <c r="H791" i="2"/>
  <c r="H787" i="2"/>
  <c r="H783" i="2"/>
  <c r="H779" i="2"/>
  <c r="H775" i="2"/>
  <c r="H771" i="2"/>
  <c r="H767" i="2"/>
  <c r="H763" i="2"/>
  <c r="H759" i="2"/>
  <c r="H755" i="2"/>
  <c r="H751" i="2"/>
  <c r="H747" i="2"/>
  <c r="H743" i="2"/>
  <c r="H739" i="2"/>
  <c r="H735" i="2"/>
  <c r="H731" i="2"/>
  <c r="H727" i="2"/>
  <c r="H723" i="2"/>
  <c r="H719" i="2"/>
  <c r="H715" i="2"/>
  <c r="H711" i="2"/>
  <c r="H707" i="2"/>
  <c r="H703" i="2"/>
  <c r="H699" i="2"/>
  <c r="H695" i="2"/>
  <c r="H691" i="2"/>
  <c r="H687" i="2"/>
  <c r="H683" i="2"/>
  <c r="H679" i="2"/>
  <c r="H675" i="2"/>
  <c r="H671" i="2"/>
  <c r="H667" i="2"/>
  <c r="H663" i="2"/>
  <c r="H659" i="2"/>
  <c r="H655" i="2"/>
  <c r="H651" i="2"/>
  <c r="H647" i="2"/>
  <c r="H643" i="2"/>
  <c r="H639" i="2"/>
  <c r="H635" i="2"/>
  <c r="H631" i="2"/>
  <c r="H627" i="2"/>
  <c r="H623" i="2"/>
  <c r="H619" i="2"/>
  <c r="H615" i="2"/>
  <c r="H611" i="2"/>
  <c r="H607" i="2"/>
  <c r="H603" i="2"/>
  <c r="H599" i="2"/>
  <c r="H595" i="2"/>
  <c r="H591" i="2"/>
  <c r="H587" i="2"/>
  <c r="H583" i="2"/>
  <c r="H579" i="2"/>
  <c r="H575" i="2"/>
  <c r="H571" i="2"/>
  <c r="H567" i="2"/>
  <c r="H563" i="2"/>
  <c r="H559" i="2"/>
  <c r="H555" i="2"/>
  <c r="H551" i="2"/>
  <c r="H547" i="2"/>
  <c r="H543" i="2"/>
  <c r="H539" i="2"/>
  <c r="H535" i="2"/>
  <c r="H531" i="2"/>
  <c r="H527" i="2"/>
  <c r="H523" i="2"/>
  <c r="H519" i="2"/>
  <c r="H515" i="2"/>
  <c r="H511" i="2"/>
  <c r="H507" i="2"/>
  <c r="H503" i="2"/>
  <c r="H499" i="2"/>
  <c r="H495" i="2"/>
  <c r="H491" i="2"/>
  <c r="H487" i="2"/>
  <c r="H483" i="2"/>
  <c r="H479" i="2"/>
  <c r="H475" i="2"/>
  <c r="H471" i="2"/>
  <c r="H467" i="2"/>
  <c r="H463" i="2"/>
  <c r="H459" i="2"/>
  <c r="H455" i="2"/>
  <c r="H451" i="2"/>
  <c r="H447" i="2"/>
  <c r="H443" i="2"/>
  <c r="H439" i="2"/>
  <c r="H435" i="2"/>
  <c r="H431" i="2"/>
  <c r="H427" i="2"/>
  <c r="H423" i="2"/>
  <c r="H419" i="2"/>
  <c r="H415" i="2"/>
  <c r="H411" i="2"/>
  <c r="H407" i="2"/>
  <c r="H403" i="2"/>
  <c r="H399" i="2"/>
  <c r="H395" i="2"/>
  <c r="H391" i="2"/>
  <c r="H387" i="2"/>
  <c r="H383" i="2"/>
  <c r="H379" i="2"/>
  <c r="H375" i="2"/>
  <c r="H371" i="2"/>
  <c r="H367" i="2"/>
  <c r="H363" i="2"/>
  <c r="H359" i="2"/>
  <c r="H355" i="2"/>
  <c r="H351" i="2"/>
  <c r="H347" i="2"/>
  <c r="H343" i="2"/>
  <c r="H339" i="2"/>
  <c r="H335" i="2"/>
  <c r="H331" i="2"/>
  <c r="H327" i="2"/>
  <c r="H323" i="2"/>
  <c r="H319" i="2"/>
  <c r="H315" i="2"/>
  <c r="H311" i="2"/>
  <c r="H307" i="2"/>
  <c r="H303" i="2"/>
  <c r="H299" i="2"/>
  <c r="H295" i="2"/>
  <c r="H291" i="2"/>
  <c r="H287" i="2"/>
  <c r="H283" i="2"/>
  <c r="H279" i="2"/>
  <c r="H275" i="2"/>
  <c r="H271" i="2"/>
  <c r="H267" i="2"/>
  <c r="H263" i="2"/>
  <c r="H259" i="2"/>
  <c r="H255" i="2"/>
  <c r="H251" i="2"/>
  <c r="H247" i="2"/>
  <c r="H243" i="2"/>
  <c r="H239" i="2"/>
  <c r="H235" i="2"/>
  <c r="H231" i="2"/>
  <c r="H227" i="2"/>
  <c r="H223" i="2"/>
  <c r="H219" i="2"/>
  <c r="H215" i="2"/>
  <c r="H211" i="2"/>
  <c r="H207" i="2"/>
  <c r="H203" i="2"/>
  <c r="H199" i="2"/>
  <c r="H195" i="2"/>
  <c r="H191" i="2"/>
  <c r="H187" i="2"/>
  <c r="H183" i="2"/>
  <c r="H179" i="2"/>
  <c r="H175" i="2"/>
  <c r="H171" i="2"/>
  <c r="H167" i="2"/>
  <c r="H163" i="2"/>
  <c r="H159" i="2"/>
  <c r="H155" i="2"/>
  <c r="H151" i="2"/>
  <c r="H147" i="2"/>
  <c r="H143" i="2"/>
  <c r="H139" i="2"/>
  <c r="H135" i="2"/>
  <c r="H131" i="2"/>
  <c r="H127" i="2"/>
  <c r="H123" i="2"/>
  <c r="H119" i="2"/>
  <c r="H115" i="2"/>
  <c r="H111" i="2"/>
  <c r="H107" i="2"/>
  <c r="H103" i="2"/>
  <c r="H99" i="2"/>
  <c r="H95" i="2"/>
  <c r="H91" i="2"/>
  <c r="H87" i="2"/>
  <c r="H83" i="2"/>
  <c r="H79" i="2"/>
  <c r="H75" i="2"/>
  <c r="H71" i="2"/>
  <c r="H67" i="2"/>
  <c r="H63" i="2"/>
  <c r="H59" i="2"/>
  <c r="H55" i="2"/>
  <c r="H51" i="2"/>
  <c r="H47" i="2"/>
  <c r="H43" i="2"/>
  <c r="H39" i="2"/>
  <c r="H35" i="2"/>
  <c r="H31" i="2"/>
  <c r="H27" i="2"/>
  <c r="H23" i="2"/>
  <c r="H19" i="2"/>
  <c r="H15" i="2"/>
  <c r="H11" i="2"/>
  <c r="H7" i="2"/>
  <c r="H3" i="2"/>
  <c r="H1010" i="2"/>
  <c r="H330" i="2"/>
  <c r="H326" i="2"/>
  <c r="H322" i="2"/>
  <c r="H318" i="2"/>
  <c r="H314" i="2"/>
  <c r="H310" i="2"/>
  <c r="H306" i="2"/>
  <c r="H302" i="2"/>
  <c r="H298" i="2"/>
  <c r="H294" i="2"/>
  <c r="H290" i="2"/>
  <c r="H286" i="2"/>
  <c r="H282" i="2"/>
  <c r="H278" i="2"/>
  <c r="H274" i="2"/>
  <c r="H270" i="2"/>
  <c r="H266" i="2"/>
  <c r="H262" i="2"/>
  <c r="H258" i="2"/>
  <c r="H254" i="2"/>
  <c r="H250" i="2"/>
  <c r="H246" i="2"/>
  <c r="H242" i="2"/>
  <c r="H238" i="2"/>
  <c r="H234" i="2"/>
  <c r="H230" i="2"/>
  <c r="H226" i="2"/>
  <c r="H222" i="2"/>
  <c r="H218" i="2"/>
  <c r="H214" i="2"/>
  <c r="H210" i="2"/>
  <c r="H206" i="2"/>
  <c r="H202" i="2"/>
  <c r="H198" i="2"/>
  <c r="H194" i="2"/>
  <c r="H190" i="2"/>
  <c r="H186" i="2"/>
  <c r="H182" i="2"/>
  <c r="H178" i="2"/>
  <c r="H174" i="2"/>
  <c r="H170" i="2"/>
  <c r="H166" i="2"/>
  <c r="H162" i="2"/>
  <c r="H158" i="2"/>
  <c r="H154" i="2"/>
  <c r="H150" i="2"/>
  <c r="H146" i="2"/>
  <c r="H142" i="2"/>
  <c r="H138" i="2"/>
  <c r="H134" i="2"/>
  <c r="H130" i="2"/>
  <c r="H126" i="2"/>
  <c r="H122" i="2"/>
  <c r="H118" i="2"/>
  <c r="H114" i="2"/>
  <c r="H110" i="2"/>
  <c r="H106" i="2"/>
  <c r="H102" i="2"/>
  <c r="H98" i="2"/>
  <c r="H94" i="2"/>
  <c r="H90" i="2"/>
  <c r="H86" i="2"/>
  <c r="H82" i="2"/>
  <c r="H78" i="2"/>
  <c r="H74" i="2"/>
  <c r="H70" i="2"/>
  <c r="H66" i="2"/>
  <c r="H62" i="2"/>
  <c r="H58" i="2"/>
  <c r="H54" i="2"/>
  <c r="H50" i="2"/>
  <c r="H46" i="2"/>
  <c r="H42" i="2"/>
  <c r="H38" i="2"/>
  <c r="H34" i="2"/>
  <c r="H30" i="2"/>
  <c r="H26" i="2"/>
  <c r="H22" i="2"/>
  <c r="H18" i="2"/>
  <c r="H14" i="2"/>
  <c r="H10" i="2"/>
  <c r="H6" i="2"/>
  <c r="H2040" i="2"/>
  <c r="H2036" i="2"/>
  <c r="H2032" i="2"/>
  <c r="H2028" i="2"/>
  <c r="H2024" i="2"/>
  <c r="H2020" i="2"/>
  <c r="H2016" i="2"/>
  <c r="H2012" i="2"/>
  <c r="H2008" i="2"/>
  <c r="H2004" i="2"/>
  <c r="H2000" i="2"/>
  <c r="H1996" i="2"/>
  <c r="H1992" i="2"/>
  <c r="H1988" i="2"/>
  <c r="H1984" i="2"/>
  <c r="H1980" i="2"/>
  <c r="H1976" i="2"/>
  <c r="H1972" i="2"/>
  <c r="H1968" i="2"/>
  <c r="H1964" i="2"/>
  <c r="H1960" i="2"/>
  <c r="H1956" i="2"/>
  <c r="H1952" i="2"/>
  <c r="H1948" i="2"/>
  <c r="H1944" i="2"/>
  <c r="H1940" i="2"/>
  <c r="H1936" i="2"/>
  <c r="H1932" i="2"/>
  <c r="H1928" i="2"/>
  <c r="H1924" i="2"/>
  <c r="H1920" i="2"/>
  <c r="H1916" i="2"/>
  <c r="H1912" i="2"/>
  <c r="H1908" i="2"/>
  <c r="H1904" i="2"/>
  <c r="H1900" i="2"/>
  <c r="H1896" i="2"/>
  <c r="H1892" i="2"/>
  <c r="H1888" i="2"/>
  <c r="H1884" i="2"/>
  <c r="H1880" i="2"/>
  <c r="H1876" i="2"/>
  <c r="H1872" i="2"/>
  <c r="H1868" i="2"/>
  <c r="H1864" i="2"/>
  <c r="H1860" i="2"/>
  <c r="H1856" i="2"/>
  <c r="H1852" i="2"/>
  <c r="H1848" i="2"/>
  <c r="H1844" i="2"/>
  <c r="H1840" i="2"/>
  <c r="H1836" i="2"/>
  <c r="H1832" i="2"/>
  <c r="H1828" i="2"/>
  <c r="H1824" i="2"/>
  <c r="H1820" i="2"/>
  <c r="H1816" i="2"/>
  <c r="H1812" i="2"/>
  <c r="H1808" i="2"/>
  <c r="H1804" i="2"/>
  <c r="H1800" i="2"/>
  <c r="H1796" i="2"/>
  <c r="H1792" i="2"/>
  <c r="H1788" i="2"/>
  <c r="H1784" i="2"/>
  <c r="H1780" i="2"/>
  <c r="H1776" i="2"/>
  <c r="H1772" i="2"/>
  <c r="H1768" i="2"/>
  <c r="H1764" i="2"/>
  <c r="H1760" i="2"/>
  <c r="H1756" i="2"/>
  <c r="H1752" i="2"/>
  <c r="H1748" i="2"/>
  <c r="H1744" i="2"/>
  <c r="H1740" i="2"/>
  <c r="H1736" i="2"/>
  <c r="H1732" i="2"/>
  <c r="H1728" i="2"/>
  <c r="H1724" i="2"/>
  <c r="H1720" i="2"/>
  <c r="H1716" i="2"/>
  <c r="H1712" i="2"/>
  <c r="H1708" i="2"/>
  <c r="H1704" i="2"/>
  <c r="H1700" i="2"/>
  <c r="H1696" i="2"/>
  <c r="H1692" i="2"/>
  <c r="H1688" i="2"/>
  <c r="H1684" i="2"/>
  <c r="H1680" i="2"/>
  <c r="H1676" i="2"/>
  <c r="H1672" i="2"/>
  <c r="H1668" i="2"/>
  <c r="H1664" i="2"/>
  <c r="H1660" i="2"/>
  <c r="H1656" i="2"/>
  <c r="H1652" i="2"/>
  <c r="H1648" i="2"/>
  <c r="H1644" i="2"/>
  <c r="H1640" i="2"/>
  <c r="H1636" i="2"/>
  <c r="H1632" i="2"/>
  <c r="H1628" i="2"/>
  <c r="H1624" i="2"/>
  <c r="H1620" i="2"/>
  <c r="H1616" i="2"/>
  <c r="H1612" i="2"/>
  <c r="H1608" i="2"/>
  <c r="H1604" i="2"/>
  <c r="H1600" i="2"/>
  <c r="H1596" i="2"/>
  <c r="H1592" i="2"/>
  <c r="H1588" i="2"/>
  <c r="H1584" i="2"/>
  <c r="H1580" i="2"/>
  <c r="H1576" i="2"/>
  <c r="H1572" i="2"/>
  <c r="H1568" i="2"/>
  <c r="H1564" i="2"/>
  <c r="H1560" i="2"/>
  <c r="H1556" i="2"/>
  <c r="H1552" i="2"/>
  <c r="H1548" i="2"/>
  <c r="H1544" i="2"/>
  <c r="H1540" i="2"/>
  <c r="H1536" i="2"/>
  <c r="H1532" i="2"/>
  <c r="H1528" i="2"/>
  <c r="H1524" i="2"/>
  <c r="H1520" i="2"/>
  <c r="H1516" i="2"/>
  <c r="H1512" i="2"/>
  <c r="H1508" i="2"/>
  <c r="H1504" i="2"/>
  <c r="H1500" i="2"/>
  <c r="H1496" i="2"/>
  <c r="H1492" i="2"/>
  <c r="H1488" i="2"/>
  <c r="H1484" i="2"/>
  <c r="H1480" i="2"/>
  <c r="H1476" i="2"/>
  <c r="H1472" i="2"/>
  <c r="H1468" i="2"/>
  <c r="H1464" i="2"/>
  <c r="H1460" i="2"/>
  <c r="H1456" i="2"/>
  <c r="H1452" i="2"/>
  <c r="H1448" i="2"/>
  <c r="H1444" i="2"/>
  <c r="H1440" i="2"/>
  <c r="H1436" i="2"/>
  <c r="H1432" i="2"/>
  <c r="H1428" i="2"/>
  <c r="H1424" i="2"/>
  <c r="H1420" i="2"/>
  <c r="H1416" i="2"/>
  <c r="H1412" i="2"/>
  <c r="H1408" i="2"/>
  <c r="H1404" i="2"/>
  <c r="H1400" i="2"/>
  <c r="H1396" i="2"/>
  <c r="H1392" i="2"/>
  <c r="H1388" i="2"/>
  <c r="H1384" i="2"/>
  <c r="H1380" i="2"/>
  <c r="H1376" i="2"/>
  <c r="H1372" i="2"/>
  <c r="H1368" i="2"/>
  <c r="H1364" i="2"/>
  <c r="H1360" i="2"/>
  <c r="H1356" i="2"/>
  <c r="H1352" i="2"/>
  <c r="H1348" i="2"/>
  <c r="H1344" i="2"/>
  <c r="H1340" i="2"/>
  <c r="H1336" i="2"/>
  <c r="H1332" i="2"/>
  <c r="H1328" i="2"/>
  <c r="H1324" i="2"/>
  <c r="H1320" i="2"/>
  <c r="H1316" i="2"/>
  <c r="H1312" i="2"/>
  <c r="H1308" i="2"/>
  <c r="H1304" i="2"/>
  <c r="H1300" i="2"/>
  <c r="H1296" i="2"/>
  <c r="H1292" i="2"/>
  <c r="H1288" i="2"/>
  <c r="H1284" i="2"/>
  <c r="H1280" i="2"/>
  <c r="H1276" i="2"/>
  <c r="H1272" i="2"/>
  <c r="H1268" i="2"/>
  <c r="H1264" i="2"/>
  <c r="H1260" i="2"/>
  <c r="H1256" i="2"/>
  <c r="H1252" i="2"/>
  <c r="H1248" i="2"/>
  <c r="H1244" i="2"/>
  <c r="H1240" i="2"/>
  <c r="H1236" i="2"/>
  <c r="H1232" i="2"/>
  <c r="H1228" i="2"/>
  <c r="H1224" i="2"/>
  <c r="H1220" i="2"/>
  <c r="H1216" i="2"/>
  <c r="H1212" i="2"/>
  <c r="H1208" i="2"/>
  <c r="H1204" i="2"/>
  <c r="H1200" i="2"/>
  <c r="H1196" i="2"/>
  <c r="H1192" i="2"/>
  <c r="H1188" i="2"/>
  <c r="H1184" i="2"/>
  <c r="H1180" i="2"/>
  <c r="H1176" i="2"/>
  <c r="H1172" i="2"/>
  <c r="H1168" i="2"/>
  <c r="H1164" i="2"/>
  <c r="H1160" i="2"/>
  <c r="H1156" i="2"/>
  <c r="H1152" i="2"/>
  <c r="H1148" i="2"/>
  <c r="H1144" i="2"/>
  <c r="H1140" i="2"/>
  <c r="H1136" i="2"/>
  <c r="H1132" i="2"/>
  <c r="H1128" i="2"/>
  <c r="H1124" i="2"/>
  <c r="H1120" i="2"/>
  <c r="H1116" i="2"/>
  <c r="H1112" i="2"/>
  <c r="H1108" i="2"/>
  <c r="H1104" i="2"/>
  <c r="H1100" i="2"/>
  <c r="H1096" i="2"/>
  <c r="H1092" i="2"/>
  <c r="H1088" i="2"/>
  <c r="H1084" i="2"/>
  <c r="H1080" i="2"/>
  <c r="H1076" i="2"/>
  <c r="H1072" i="2"/>
  <c r="H1068" i="2"/>
  <c r="H1064" i="2"/>
  <c r="H1060" i="2"/>
  <c r="H1056" i="2"/>
  <c r="H1052" i="2"/>
  <c r="H1048" i="2"/>
  <c r="H1044" i="2"/>
  <c r="H1040" i="2"/>
  <c r="H1036" i="2"/>
  <c r="H1032" i="2"/>
  <c r="H1028" i="2"/>
  <c r="H1024" i="2"/>
  <c r="H1020" i="2"/>
  <c r="H1016" i="2"/>
  <c r="H1012" i="2"/>
  <c r="H1008" i="2"/>
  <c r="H1004" i="2"/>
  <c r="H1000" i="2"/>
  <c r="H996" i="2"/>
  <c r="H992" i="2"/>
  <c r="H988" i="2"/>
  <c r="H984" i="2"/>
  <c r="H980" i="2"/>
  <c r="H976" i="2"/>
  <c r="H972" i="2"/>
  <c r="H968" i="2"/>
  <c r="H964" i="2"/>
  <c r="H960" i="2"/>
  <c r="H956" i="2"/>
  <c r="H952" i="2"/>
  <c r="H948" i="2"/>
  <c r="H944" i="2"/>
  <c r="H940" i="2"/>
  <c r="H936" i="2"/>
  <c r="H932" i="2"/>
  <c r="H928" i="2"/>
  <c r="H924" i="2"/>
  <c r="H920" i="2"/>
  <c r="H916" i="2"/>
  <c r="H912" i="2"/>
  <c r="H908" i="2"/>
  <c r="H904" i="2"/>
  <c r="H900" i="2"/>
  <c r="H896" i="2"/>
  <c r="H892" i="2"/>
  <c r="H888" i="2"/>
  <c r="H884" i="2"/>
  <c r="H880" i="2"/>
  <c r="H876" i="2"/>
  <c r="H872" i="2"/>
  <c r="H868" i="2"/>
  <c r="H864" i="2"/>
  <c r="H860" i="2"/>
  <c r="H856" i="2"/>
  <c r="H852" i="2"/>
  <c r="H848" i="2"/>
  <c r="H844" i="2"/>
  <c r="H840" i="2"/>
  <c r="H836" i="2"/>
  <c r="H832" i="2"/>
  <c r="H828" i="2"/>
  <c r="H824" i="2"/>
  <c r="H820" i="2"/>
  <c r="H816" i="2"/>
  <c r="H812" i="2"/>
  <c r="H808" i="2"/>
  <c r="H804" i="2"/>
  <c r="H800" i="2"/>
  <c r="H796" i="2"/>
  <c r="H792" i="2"/>
  <c r="H788" i="2"/>
  <c r="H784" i="2"/>
  <c r="H780" i="2"/>
  <c r="H776" i="2"/>
  <c r="H772" i="2"/>
  <c r="H768" i="2"/>
  <c r="H764" i="2"/>
  <c r="H760" i="2"/>
  <c r="H756" i="2"/>
  <c r="H752" i="2"/>
  <c r="H748" i="2"/>
  <c r="H744" i="2"/>
  <c r="H740" i="2"/>
  <c r="H736" i="2"/>
  <c r="H732" i="2"/>
  <c r="H728" i="2"/>
  <c r="H724" i="2"/>
  <c r="H720" i="2"/>
  <c r="H716" i="2"/>
  <c r="H712" i="2"/>
  <c r="H708" i="2"/>
  <c r="H704" i="2"/>
  <c r="H700" i="2"/>
  <c r="H696" i="2"/>
  <c r="H692" i="2"/>
  <c r="H688" i="2"/>
  <c r="H684" i="2"/>
  <c r="H680" i="2"/>
  <c r="H676" i="2"/>
  <c r="H672" i="2"/>
  <c r="H668" i="2"/>
  <c r="H664" i="2"/>
  <c r="H660" i="2"/>
  <c r="H656" i="2"/>
  <c r="H652" i="2"/>
  <c r="H648" i="2"/>
  <c r="H644" i="2"/>
  <c r="H640" i="2"/>
  <c r="H636" i="2"/>
  <c r="H632" i="2"/>
  <c r="H628" i="2"/>
  <c r="H624" i="2"/>
  <c r="H620" i="2"/>
  <c r="H616" i="2"/>
  <c r="H612" i="2"/>
  <c r="H608" i="2"/>
  <c r="H604" i="2"/>
  <c r="H600" i="2"/>
  <c r="H596" i="2"/>
  <c r="H592" i="2"/>
  <c r="H588" i="2"/>
  <c r="H584" i="2"/>
  <c r="H580" i="2"/>
  <c r="H576" i="2"/>
  <c r="H572" i="2"/>
  <c r="H568" i="2"/>
  <c r="H564" i="2"/>
  <c r="H560" i="2"/>
  <c r="H556" i="2"/>
  <c r="H552" i="2"/>
  <c r="H548" i="2"/>
  <c r="H544" i="2"/>
  <c r="H540" i="2"/>
  <c r="H536" i="2"/>
  <c r="H532" i="2"/>
  <c r="H528" i="2"/>
  <c r="H524" i="2"/>
  <c r="H520" i="2"/>
  <c r="H516" i="2"/>
  <c r="H512" i="2"/>
  <c r="H508" i="2"/>
  <c r="H504" i="2"/>
  <c r="H500" i="2"/>
  <c r="H496" i="2"/>
  <c r="H492" i="2"/>
  <c r="H488" i="2"/>
  <c r="H484" i="2"/>
  <c r="H480" i="2"/>
  <c r="H476" i="2"/>
  <c r="H472" i="2"/>
  <c r="H468" i="2"/>
  <c r="H464" i="2"/>
  <c r="H460" i="2"/>
  <c r="H456" i="2"/>
  <c r="H452" i="2"/>
  <c r="H448" i="2"/>
  <c r="H444" i="2"/>
  <c r="H440" i="2"/>
  <c r="H436" i="2"/>
  <c r="H432" i="2"/>
  <c r="H428" i="2"/>
  <c r="H424" i="2"/>
  <c r="H420" i="2"/>
  <c r="H416" i="2"/>
  <c r="H412" i="2"/>
  <c r="H408" i="2"/>
  <c r="H404" i="2"/>
  <c r="H400" i="2"/>
  <c r="H396" i="2"/>
  <c r="H392" i="2"/>
  <c r="H388" i="2"/>
  <c r="H384" i="2"/>
  <c r="H380" i="2"/>
  <c r="H376" i="2"/>
  <c r="H372" i="2"/>
  <c r="H368" i="2"/>
  <c r="H364" i="2"/>
  <c r="H360" i="2"/>
  <c r="H356" i="2"/>
  <c r="H352" i="2"/>
  <c r="H348" i="2"/>
  <c r="H344" i="2"/>
  <c r="H340" i="2"/>
  <c r="H336" i="2"/>
  <c r="H332" i="2"/>
  <c r="H328" i="2"/>
  <c r="H324" i="2"/>
  <c r="H320" i="2"/>
  <c r="H316" i="2"/>
  <c r="H312" i="2"/>
  <c r="H308" i="2"/>
  <c r="H304" i="2"/>
  <c r="H300" i="2"/>
  <c r="H296" i="2"/>
  <c r="H292" i="2"/>
  <c r="H288" i="2"/>
  <c r="H284" i="2"/>
  <c r="H280" i="2"/>
  <c r="H276" i="2"/>
  <c r="H272" i="2"/>
  <c r="H268" i="2"/>
  <c r="H264" i="2"/>
  <c r="H260" i="2"/>
  <c r="H256" i="2"/>
  <c r="H252" i="2"/>
  <c r="H248" i="2"/>
  <c r="H244" i="2"/>
  <c r="H240" i="2"/>
  <c r="H236" i="2"/>
  <c r="H232" i="2"/>
  <c r="H228" i="2"/>
  <c r="H224" i="2"/>
  <c r="H220" i="2"/>
  <c r="H216" i="2"/>
  <c r="H212" i="2"/>
  <c r="H208" i="2"/>
  <c r="H204" i="2"/>
  <c r="H200" i="2"/>
  <c r="H196" i="2"/>
  <c r="H192" i="2"/>
  <c r="H188" i="2"/>
  <c r="H184" i="2"/>
  <c r="H180" i="2"/>
  <c r="H176" i="2"/>
  <c r="H172" i="2"/>
  <c r="H168" i="2"/>
  <c r="H164" i="2"/>
  <c r="H160" i="2"/>
  <c r="H156" i="2"/>
  <c r="H152" i="2"/>
  <c r="H148" i="2"/>
  <c r="H144" i="2"/>
  <c r="H140" i="2"/>
  <c r="H136" i="2"/>
  <c r="H132" i="2"/>
  <c r="H128" i="2"/>
  <c r="H124" i="2"/>
  <c r="H120" i="2"/>
  <c r="H116" i="2"/>
  <c r="H112" i="2"/>
  <c r="H108" i="2"/>
  <c r="H104" i="2"/>
  <c r="H100" i="2"/>
  <c r="H96" i="2"/>
  <c r="H92" i="2"/>
  <c r="H88" i="2"/>
  <c r="H84" i="2"/>
  <c r="H80" i="2"/>
  <c r="H76" i="2"/>
  <c r="H72" i="2"/>
  <c r="H68" i="2"/>
  <c r="H64" i="2"/>
  <c r="H60" i="2"/>
  <c r="H56" i="2"/>
  <c r="H52" i="2"/>
  <c r="H48" i="2"/>
  <c r="H44" i="2"/>
  <c r="H40" i="2"/>
  <c r="H36" i="2"/>
  <c r="H32" i="2"/>
  <c r="H28" i="2"/>
  <c r="H24" i="2"/>
  <c r="H20" i="2"/>
  <c r="H16" i="2"/>
  <c r="H12" i="2"/>
  <c r="H8" i="2"/>
  <c r="H4" i="2"/>
  <c r="H2038" i="2"/>
  <c r="E3" i="1"/>
  <c r="E74" i="1"/>
  <c r="E76" i="1"/>
  <c r="E78" i="1"/>
  <c r="E80" i="1"/>
  <c r="E82" i="1"/>
  <c r="E84" i="1"/>
  <c r="E86" i="1"/>
  <c r="E88" i="1"/>
  <c r="E90" i="1"/>
  <c r="E92" i="1"/>
  <c r="E94" i="1"/>
  <c r="E96" i="1"/>
  <c r="E2" i="1"/>
  <c r="E4" i="1"/>
  <c r="E5" i="1"/>
  <c r="E98" i="1"/>
  <c r="E100" i="1"/>
  <c r="E102" i="1"/>
  <c r="E104" i="1"/>
  <c r="E106" i="1"/>
  <c r="H2130" i="2"/>
  <c r="H2126" i="2"/>
  <c r="H2122" i="2"/>
  <c r="H2118" i="2"/>
  <c r="H2114" i="2"/>
  <c r="H2110" i="2"/>
  <c r="H2106" i="2"/>
  <c r="H2102" i="2"/>
  <c r="H2098" i="2"/>
  <c r="H2094" i="2"/>
  <c r="H2090" i="2"/>
  <c r="H2086" i="2"/>
  <c r="H2082" i="2"/>
  <c r="H2078" i="2"/>
  <c r="H2074" i="2"/>
  <c r="H2070" i="2"/>
  <c r="H2066" i="2"/>
  <c r="H2062" i="2"/>
  <c r="H2058" i="2"/>
  <c r="H2054" i="2"/>
  <c r="H2050" i="2"/>
  <c r="H2046" i="2"/>
  <c r="H2042" i="2"/>
  <c r="H2034" i="2"/>
  <c r="H2030" i="2"/>
  <c r="H2026" i="2"/>
  <c r="H2022" i="2"/>
  <c r="H2018" i="2"/>
  <c r="H2014" i="2"/>
  <c r="H2010" i="2"/>
  <c r="H2006" i="2"/>
  <c r="H2002" i="2"/>
  <c r="H1998" i="2"/>
  <c r="H1994" i="2"/>
  <c r="H1990" i="2"/>
  <c r="H1986" i="2"/>
  <c r="H1982" i="2"/>
  <c r="H1978" i="2"/>
  <c r="H1974" i="2"/>
  <c r="H1970" i="2"/>
  <c r="H1966" i="2"/>
  <c r="H1962" i="2"/>
  <c r="H1958" i="2"/>
  <c r="H1954" i="2"/>
  <c r="H1950" i="2"/>
  <c r="H1946" i="2"/>
  <c r="H1942" i="2"/>
  <c r="H1938" i="2"/>
  <c r="H1934" i="2"/>
  <c r="H1930" i="2"/>
  <c r="H1926" i="2"/>
  <c r="H1922" i="2"/>
  <c r="H1918" i="2"/>
  <c r="H1914" i="2"/>
  <c r="H1910" i="2"/>
  <c r="H1906" i="2"/>
  <c r="H1902" i="2"/>
  <c r="H1898" i="2"/>
  <c r="H1894" i="2"/>
  <c r="H1890" i="2"/>
  <c r="H1886" i="2"/>
  <c r="H1882" i="2"/>
  <c r="H1878" i="2"/>
  <c r="H1874" i="2"/>
  <c r="H1870" i="2"/>
  <c r="H1866" i="2"/>
  <c r="H1862" i="2"/>
  <c r="H1858" i="2"/>
  <c r="H1854" i="2"/>
  <c r="H1850" i="2"/>
  <c r="H1846" i="2"/>
  <c r="H1842" i="2"/>
  <c r="H1838" i="2"/>
  <c r="H1834" i="2"/>
  <c r="H1830" i="2"/>
  <c r="H1826" i="2"/>
  <c r="H1822" i="2"/>
  <c r="H1818" i="2"/>
  <c r="H1814" i="2"/>
  <c r="H1810" i="2"/>
  <c r="H1806" i="2"/>
  <c r="H1802" i="2"/>
  <c r="H1798" i="2"/>
  <c r="H1794" i="2"/>
  <c r="H1790" i="2"/>
  <c r="H1786" i="2"/>
  <c r="H1782" i="2"/>
  <c r="H1778" i="2"/>
  <c r="H1774" i="2"/>
  <c r="H1770" i="2"/>
  <c r="H1766" i="2"/>
  <c r="H1762" i="2"/>
  <c r="H1758" i="2"/>
  <c r="H1754" i="2"/>
  <c r="H1750" i="2"/>
  <c r="H1746" i="2"/>
  <c r="H1742" i="2"/>
  <c r="H1738" i="2"/>
  <c r="H1734" i="2"/>
  <c r="H1730" i="2"/>
  <c r="H1726" i="2"/>
  <c r="H1722" i="2"/>
  <c r="H1718" i="2"/>
  <c r="H1714" i="2"/>
  <c r="H1710" i="2"/>
  <c r="H1706" i="2"/>
  <c r="H1702" i="2"/>
  <c r="H1698" i="2"/>
  <c r="H1694" i="2"/>
  <c r="H1690" i="2"/>
  <c r="H1686" i="2"/>
  <c r="H1682" i="2"/>
  <c r="H1678" i="2"/>
  <c r="H1674" i="2"/>
  <c r="H1670" i="2"/>
  <c r="H1666" i="2"/>
  <c r="H1662" i="2"/>
  <c r="H1658" i="2"/>
  <c r="H1654" i="2"/>
  <c r="H1650" i="2"/>
  <c r="H1646" i="2"/>
  <c r="H1642" i="2"/>
  <c r="H1638" i="2"/>
  <c r="H1634" i="2"/>
  <c r="H1630" i="2"/>
  <c r="H1626" i="2"/>
  <c r="H1622" i="2"/>
  <c r="H1618" i="2"/>
  <c r="H1614" i="2"/>
  <c r="H1610" i="2"/>
  <c r="H1606" i="2"/>
  <c r="H1602" i="2"/>
  <c r="H1598" i="2"/>
  <c r="H1594" i="2"/>
  <c r="H1590" i="2"/>
  <c r="H1586" i="2"/>
  <c r="H1582" i="2"/>
  <c r="H1578" i="2"/>
  <c r="H1574" i="2"/>
  <c r="H1570" i="2"/>
  <c r="H1566" i="2"/>
  <c r="H1562" i="2"/>
  <c r="H1558" i="2"/>
  <c r="H1554" i="2"/>
  <c r="H1550" i="2"/>
  <c r="H1546" i="2"/>
  <c r="H1542" i="2"/>
  <c r="H1538" i="2"/>
  <c r="H1534" i="2"/>
  <c r="H1530" i="2"/>
  <c r="H1526" i="2"/>
  <c r="H1522" i="2"/>
  <c r="H1518" i="2"/>
  <c r="H1514" i="2"/>
  <c r="H1510" i="2"/>
  <c r="H1506" i="2"/>
  <c r="H1502" i="2"/>
  <c r="H1498" i="2"/>
  <c r="H1494" i="2"/>
  <c r="H1490" i="2"/>
  <c r="H1486" i="2"/>
  <c r="H1482" i="2"/>
  <c r="H1478" i="2"/>
  <c r="H1474" i="2"/>
  <c r="H1470" i="2"/>
  <c r="H1466" i="2"/>
  <c r="H1462" i="2"/>
  <c r="H1458" i="2"/>
  <c r="H1454" i="2"/>
  <c r="H1450" i="2"/>
  <c r="H1446" i="2"/>
  <c r="H1442" i="2"/>
  <c r="H1438" i="2"/>
  <c r="H1434" i="2"/>
  <c r="H1430" i="2"/>
  <c r="H1426" i="2"/>
  <c r="H1422" i="2"/>
  <c r="H1418" i="2"/>
  <c r="H1414" i="2"/>
  <c r="H1410" i="2"/>
  <c r="H1406" i="2"/>
  <c r="H1402" i="2"/>
  <c r="H1398" i="2"/>
  <c r="H1394" i="2"/>
  <c r="H1390" i="2"/>
  <c r="H1386" i="2"/>
  <c r="H1382" i="2"/>
  <c r="H1378" i="2"/>
  <c r="H1374" i="2"/>
  <c r="H1370" i="2"/>
  <c r="H1366" i="2"/>
  <c r="H1362" i="2"/>
  <c r="H1358" i="2"/>
  <c r="H1354" i="2"/>
  <c r="H1350" i="2"/>
  <c r="H1346" i="2"/>
  <c r="H1342" i="2"/>
  <c r="H1338" i="2"/>
  <c r="H1334" i="2"/>
  <c r="H1330" i="2"/>
  <c r="H1326" i="2"/>
  <c r="H1322" i="2"/>
  <c r="H1318" i="2"/>
  <c r="H1314" i="2"/>
  <c r="H1310" i="2"/>
  <c r="H1306" i="2"/>
  <c r="H1302" i="2"/>
  <c r="H1298" i="2"/>
  <c r="H1294" i="2"/>
  <c r="H1290" i="2"/>
  <c r="H1286" i="2"/>
  <c r="H1282" i="2"/>
  <c r="H1278" i="2"/>
  <c r="H1274" i="2"/>
  <c r="H1270" i="2"/>
  <c r="H1266" i="2"/>
  <c r="H1262" i="2"/>
  <c r="H1258" i="2"/>
  <c r="H1254" i="2"/>
  <c r="H1250" i="2"/>
  <c r="H1246" i="2"/>
  <c r="H1242" i="2"/>
  <c r="H1238" i="2"/>
  <c r="H1234" i="2"/>
  <c r="H1230" i="2"/>
  <c r="H1226" i="2"/>
  <c r="H1222" i="2"/>
  <c r="H1218" i="2"/>
  <c r="H1214" i="2"/>
  <c r="H1210" i="2"/>
  <c r="H1206" i="2"/>
  <c r="H1202" i="2"/>
  <c r="H1198" i="2"/>
  <c r="H1194" i="2"/>
  <c r="H1190" i="2"/>
  <c r="H1186" i="2"/>
  <c r="H1182" i="2"/>
  <c r="H1178" i="2"/>
  <c r="H1174" i="2"/>
  <c r="H1170" i="2"/>
  <c r="H1166" i="2"/>
  <c r="H1162" i="2"/>
  <c r="H1158" i="2"/>
  <c r="H1154" i="2"/>
  <c r="H1150" i="2"/>
  <c r="H1146" i="2"/>
  <c r="H1142" i="2"/>
  <c r="H1138" i="2"/>
  <c r="H1134" i="2"/>
  <c r="H1130" i="2"/>
  <c r="H1126" i="2"/>
  <c r="H1122" i="2"/>
  <c r="H1118" i="2"/>
  <c r="H1114" i="2"/>
  <c r="H1110" i="2"/>
  <c r="H1106" i="2"/>
  <c r="H1102" i="2"/>
  <c r="H1098" i="2"/>
  <c r="H1094" i="2"/>
  <c r="H1090" i="2"/>
  <c r="H1086" i="2"/>
  <c r="H1082" i="2"/>
  <c r="H1078" i="2"/>
  <c r="H1074" i="2"/>
  <c r="H1070" i="2"/>
  <c r="H1066" i="2"/>
  <c r="H1062" i="2"/>
  <c r="H1058" i="2"/>
  <c r="H1054" i="2"/>
  <c r="H1050" i="2"/>
  <c r="H1046" i="2"/>
  <c r="H1042" i="2"/>
  <c r="H1038" i="2"/>
  <c r="H1034" i="2"/>
  <c r="H1030" i="2"/>
  <c r="H1026" i="2"/>
  <c r="H1022" i="2"/>
  <c r="H1018" i="2"/>
  <c r="H1014" i="2"/>
  <c r="H1002" i="2"/>
  <c r="H994" i="2"/>
  <c r="H986" i="2"/>
  <c r="H978" i="2"/>
  <c r="H970" i="2"/>
  <c r="H962" i="2"/>
  <c r="H958" i="2"/>
  <c r="H950" i="2"/>
  <c r="H942" i="2"/>
  <c r="H934" i="2"/>
  <c r="H926" i="2"/>
  <c r="H918" i="2"/>
  <c r="H910" i="2"/>
  <c r="H902" i="2"/>
  <c r="H894" i="2"/>
  <c r="H886" i="2"/>
  <c r="H878" i="2"/>
  <c r="H874" i="2"/>
  <c r="H866" i="2"/>
  <c r="H858" i="2"/>
  <c r="H850" i="2"/>
  <c r="H842" i="2"/>
  <c r="H834" i="2"/>
  <c r="H826" i="2"/>
  <c r="H818" i="2"/>
  <c r="H810" i="2"/>
  <c r="H802" i="2"/>
  <c r="H794" i="2"/>
  <c r="H786" i="2"/>
  <c r="H782" i="2"/>
  <c r="H774" i="2"/>
  <c r="H766" i="2"/>
  <c r="H758" i="2"/>
  <c r="H750" i="2"/>
  <c r="H742" i="2"/>
  <c r="H738" i="2"/>
  <c r="H730" i="2"/>
  <c r="H722" i="2"/>
  <c r="H710" i="2"/>
  <c r="H702" i="2"/>
  <c r="H698" i="2"/>
  <c r="H690" i="2"/>
  <c r="H682" i="2"/>
  <c r="H674" i="2"/>
  <c r="H666" i="2"/>
  <c r="H658" i="2"/>
  <c r="H650" i="2"/>
  <c r="H642" i="2"/>
  <c r="H634" i="2"/>
  <c r="H626" i="2"/>
  <c r="H618" i="2"/>
  <c r="H610" i="2"/>
  <c r="H602" i="2"/>
  <c r="H594" i="2"/>
  <c r="H586" i="2"/>
  <c r="H578" i="2"/>
  <c r="H570" i="2"/>
  <c r="H562" i="2"/>
  <c r="H554" i="2"/>
  <c r="H546" i="2"/>
  <c r="H538" i="2"/>
  <c r="H530" i="2"/>
  <c r="H522" i="2"/>
  <c r="H514" i="2"/>
  <c r="H506" i="2"/>
  <c r="H498" i="2"/>
  <c r="H490" i="2"/>
  <c r="H482" i="2"/>
  <c r="H474" i="2"/>
  <c r="H466" i="2"/>
  <c r="H458" i="2"/>
  <c r="H450" i="2"/>
  <c r="H442" i="2"/>
  <c r="H434" i="2"/>
  <c r="H426" i="2"/>
  <c r="H418" i="2"/>
  <c r="H410" i="2"/>
  <c r="H402" i="2"/>
  <c r="H398" i="2"/>
  <c r="H390" i="2"/>
  <c r="H378" i="2"/>
  <c r="H370" i="2"/>
  <c r="H362" i="2"/>
  <c r="H354" i="2"/>
  <c r="H346" i="2"/>
  <c r="H1006" i="2"/>
  <c r="H998" i="2"/>
  <c r="H990" i="2"/>
  <c r="H982" i="2"/>
  <c r="H974" i="2"/>
  <c r="H966" i="2"/>
  <c r="H954" i="2"/>
  <c r="H946" i="2"/>
  <c r="H938" i="2"/>
  <c r="H930" i="2"/>
  <c r="H922" i="2"/>
  <c r="H914" i="2"/>
  <c r="H906" i="2"/>
  <c r="H898" i="2"/>
  <c r="H890" i="2"/>
  <c r="H882" i="2"/>
  <c r="H870" i="2"/>
  <c r="H862" i="2"/>
  <c r="H854" i="2"/>
  <c r="H846" i="2"/>
  <c r="H838" i="2"/>
  <c r="H830" i="2"/>
  <c r="H822" i="2"/>
  <c r="H814" i="2"/>
  <c r="H806" i="2"/>
  <c r="H798" i="2"/>
  <c r="H790" i="2"/>
  <c r="H778" i="2"/>
  <c r="H770" i="2"/>
  <c r="H762" i="2"/>
  <c r="H754" i="2"/>
  <c r="H746" i="2"/>
  <c r="H734" i="2"/>
  <c r="H726" i="2"/>
  <c r="H718" i="2"/>
  <c r="H714" i="2"/>
  <c r="H706" i="2"/>
  <c r="H694" i="2"/>
  <c r="H686" i="2"/>
  <c r="H678" i="2"/>
  <c r="H670" i="2"/>
  <c r="H662" i="2"/>
  <c r="H654" i="2"/>
  <c r="H646" i="2"/>
  <c r="H638" i="2"/>
  <c r="H630" i="2"/>
  <c r="H622" i="2"/>
  <c r="H614" i="2"/>
  <c r="H606" i="2"/>
  <c r="H598" i="2"/>
  <c r="H590" i="2"/>
  <c r="H582" i="2"/>
  <c r="H574" i="2"/>
  <c r="H566" i="2"/>
  <c r="H558" i="2"/>
  <c r="H550" i="2"/>
  <c r="H542" i="2"/>
  <c r="H534" i="2"/>
  <c r="H526" i="2"/>
  <c r="H518" i="2"/>
  <c r="H510" i="2"/>
  <c r="H502" i="2"/>
  <c r="H494" i="2"/>
  <c r="H486" i="2"/>
  <c r="H478" i="2"/>
  <c r="H470" i="2"/>
  <c r="H462" i="2"/>
  <c r="H454" i="2"/>
  <c r="H446" i="2"/>
  <c r="H438" i="2"/>
  <c r="H430" i="2"/>
  <c r="H422" i="2"/>
  <c r="H414" i="2"/>
  <c r="H406" i="2"/>
  <c r="H394" i="2"/>
  <c r="H386" i="2"/>
  <c r="H382" i="2"/>
  <c r="H374" i="2"/>
  <c r="H366" i="2"/>
  <c r="H358" i="2"/>
  <c r="H350" i="2"/>
  <c r="H342" i="2"/>
  <c r="H338" i="2"/>
  <c r="H334" i="2"/>
  <c r="L2" i="2"/>
  <c r="H2129" i="2"/>
  <c r="H2125" i="2"/>
  <c r="H2121" i="2"/>
  <c r="H2117" i="2"/>
  <c r="H2113" i="2"/>
  <c r="H2109" i="2"/>
  <c r="H2105" i="2"/>
  <c r="H2101" i="2"/>
  <c r="H2097" i="2"/>
  <c r="H2093" i="2"/>
  <c r="H2089" i="2"/>
  <c r="H2085" i="2"/>
  <c r="H2081" i="2"/>
  <c r="H2077" i="2"/>
  <c r="H2073" i="2"/>
  <c r="H2069" i="2"/>
  <c r="H2065" i="2"/>
  <c r="H2061" i="2"/>
  <c r="H2057" i="2"/>
  <c r="H2053" i="2"/>
  <c r="H2049" i="2"/>
  <c r="H2045" i="2"/>
  <c r="H2041" i="2"/>
  <c r="H2037" i="2"/>
  <c r="H2033" i="2"/>
  <c r="H2029" i="2"/>
  <c r="H2025" i="2"/>
  <c r="H2021" i="2"/>
  <c r="H2017" i="2"/>
  <c r="H2013" i="2"/>
  <c r="H2009" i="2"/>
  <c r="H2005" i="2"/>
  <c r="H2001" i="2"/>
  <c r="H1997" i="2"/>
  <c r="H1993" i="2"/>
  <c r="H1989" i="2"/>
  <c r="H1985" i="2"/>
  <c r="H1981" i="2"/>
  <c r="H1977" i="2"/>
  <c r="H1973" i="2"/>
  <c r="H1969" i="2"/>
  <c r="H1965" i="2"/>
  <c r="H1961" i="2"/>
  <c r="H1957" i="2"/>
  <c r="H1953" i="2"/>
  <c r="H1949" i="2"/>
  <c r="H1945" i="2"/>
  <c r="H1941" i="2"/>
  <c r="H1937" i="2"/>
  <c r="H1933" i="2"/>
  <c r="H1929" i="2"/>
  <c r="H1925" i="2"/>
  <c r="H1921" i="2"/>
  <c r="H1917" i="2"/>
  <c r="H1913" i="2"/>
  <c r="H1909" i="2"/>
  <c r="H1905" i="2"/>
  <c r="H1901" i="2"/>
  <c r="H1897" i="2"/>
  <c r="H1893" i="2"/>
  <c r="H1889" i="2"/>
  <c r="H1885" i="2"/>
  <c r="H1881" i="2"/>
  <c r="H1877" i="2"/>
  <c r="H1873" i="2"/>
  <c r="H1869" i="2"/>
  <c r="H1865" i="2"/>
  <c r="H1861" i="2"/>
  <c r="H1857" i="2"/>
  <c r="H1853" i="2"/>
  <c r="H1849" i="2"/>
  <c r="H1845" i="2"/>
  <c r="H1841" i="2"/>
  <c r="H1837" i="2"/>
  <c r="H1833" i="2"/>
  <c r="H1829" i="2"/>
  <c r="H1825" i="2"/>
  <c r="H1821" i="2"/>
  <c r="H1817" i="2"/>
  <c r="H1813" i="2"/>
  <c r="H1809" i="2"/>
  <c r="H1805" i="2"/>
  <c r="H1801" i="2"/>
  <c r="H1797" i="2"/>
  <c r="H1793" i="2"/>
  <c r="H1789" i="2"/>
  <c r="H1785" i="2"/>
  <c r="H1781" i="2"/>
  <c r="H1777" i="2"/>
  <c r="H1773" i="2"/>
  <c r="H1769" i="2"/>
  <c r="H1765" i="2"/>
  <c r="H1761" i="2"/>
  <c r="H1757" i="2"/>
  <c r="H1753" i="2"/>
  <c r="H1749" i="2"/>
  <c r="H1745" i="2"/>
  <c r="H1741" i="2"/>
  <c r="H1737" i="2"/>
  <c r="H1733" i="2"/>
  <c r="H1729" i="2"/>
  <c r="H1725" i="2"/>
  <c r="H1721" i="2"/>
  <c r="H1717" i="2"/>
  <c r="H1713" i="2"/>
  <c r="H1709" i="2"/>
  <c r="H1705" i="2"/>
  <c r="H1701" i="2"/>
  <c r="H1697" i="2"/>
  <c r="H1693" i="2"/>
  <c r="H1689" i="2"/>
  <c r="H1685" i="2"/>
  <c r="H1681" i="2"/>
  <c r="H1677" i="2"/>
  <c r="H1673" i="2"/>
  <c r="H1669" i="2"/>
  <c r="H1665" i="2"/>
  <c r="H1661" i="2"/>
  <c r="H1657" i="2"/>
  <c r="H1653" i="2"/>
  <c r="H1649" i="2"/>
  <c r="H1645" i="2"/>
  <c r="H1641" i="2"/>
  <c r="H1637" i="2"/>
  <c r="H1633" i="2"/>
  <c r="H1629" i="2"/>
  <c r="H1625" i="2"/>
  <c r="H1621" i="2"/>
  <c r="H1617" i="2"/>
  <c r="H1613" i="2"/>
  <c r="H1609" i="2"/>
  <c r="H1605" i="2"/>
  <c r="H1601" i="2"/>
  <c r="H1597" i="2"/>
  <c r="H1593" i="2"/>
  <c r="H1589" i="2"/>
  <c r="H1585" i="2"/>
  <c r="H1581" i="2"/>
  <c r="H1577" i="2"/>
  <c r="H1573" i="2"/>
  <c r="H1569" i="2"/>
  <c r="H1565" i="2"/>
  <c r="H1561" i="2"/>
  <c r="H1557" i="2"/>
  <c r="H1553" i="2"/>
  <c r="H1549" i="2"/>
  <c r="H1545" i="2"/>
  <c r="H1541" i="2"/>
  <c r="H1537" i="2"/>
  <c r="H1533" i="2"/>
  <c r="H1529" i="2"/>
  <c r="H1525" i="2"/>
  <c r="H1521" i="2"/>
  <c r="H1517" i="2"/>
  <c r="H1513" i="2"/>
  <c r="H1509" i="2"/>
  <c r="H1505" i="2"/>
  <c r="H1501" i="2"/>
  <c r="H1497" i="2"/>
  <c r="H1493" i="2"/>
  <c r="H1489" i="2"/>
  <c r="H1485" i="2"/>
  <c r="H1481" i="2"/>
  <c r="H1477" i="2"/>
  <c r="H1473" i="2"/>
  <c r="H1469" i="2"/>
  <c r="H1465" i="2"/>
  <c r="H1461" i="2"/>
  <c r="H1457" i="2"/>
  <c r="H1453" i="2"/>
  <c r="H1449" i="2"/>
  <c r="H1445" i="2"/>
  <c r="H1441" i="2"/>
  <c r="H1437" i="2"/>
  <c r="H1433" i="2"/>
  <c r="H1429" i="2"/>
  <c r="H1425" i="2"/>
  <c r="H1421" i="2"/>
  <c r="H1417" i="2"/>
  <c r="H1413" i="2"/>
  <c r="H1409" i="2"/>
  <c r="H1405" i="2"/>
  <c r="H1401" i="2"/>
  <c r="H1397" i="2"/>
  <c r="H1393" i="2"/>
  <c r="H1389" i="2"/>
  <c r="H1385" i="2"/>
  <c r="H1381" i="2"/>
  <c r="H1377" i="2"/>
  <c r="H1373" i="2"/>
  <c r="H1369" i="2"/>
  <c r="H1365" i="2"/>
  <c r="H1361" i="2"/>
  <c r="H1357" i="2"/>
  <c r="H1353" i="2"/>
  <c r="H1349" i="2"/>
  <c r="H1345" i="2"/>
  <c r="H1341" i="2"/>
  <c r="H1337" i="2"/>
  <c r="H1333" i="2"/>
  <c r="H1329" i="2"/>
  <c r="H1325" i="2"/>
  <c r="H1321" i="2"/>
  <c r="H1317" i="2"/>
  <c r="H1313" i="2"/>
  <c r="H1309" i="2"/>
  <c r="H1305" i="2"/>
  <c r="H1301" i="2"/>
  <c r="H1297" i="2"/>
  <c r="H1293" i="2"/>
  <c r="H1289" i="2"/>
  <c r="H1285" i="2"/>
  <c r="H1281" i="2"/>
  <c r="H1277" i="2"/>
  <c r="H1273" i="2"/>
  <c r="H1269" i="2"/>
  <c r="H1265" i="2"/>
  <c r="H1261" i="2"/>
  <c r="H1257" i="2"/>
  <c r="H1253" i="2"/>
  <c r="H1249" i="2"/>
  <c r="H1245" i="2"/>
  <c r="H1241" i="2"/>
  <c r="H1237" i="2"/>
  <c r="H1233" i="2"/>
  <c r="H1229" i="2"/>
  <c r="H1225" i="2"/>
  <c r="H1221" i="2"/>
  <c r="H1217" i="2"/>
  <c r="H1213" i="2"/>
  <c r="H1209" i="2"/>
  <c r="H1205" i="2"/>
  <c r="H1201" i="2"/>
  <c r="H1197" i="2"/>
  <c r="H1193" i="2"/>
  <c r="H1189" i="2"/>
  <c r="H1185" i="2"/>
  <c r="H1181" i="2"/>
  <c r="H1177" i="2"/>
  <c r="H1173" i="2"/>
  <c r="H1169" i="2"/>
  <c r="H1165" i="2"/>
  <c r="H1161" i="2"/>
  <c r="H1157" i="2"/>
  <c r="H1153" i="2"/>
  <c r="H1149" i="2"/>
  <c r="H1145" i="2"/>
  <c r="H1141" i="2"/>
  <c r="H1137" i="2"/>
  <c r="H1133" i="2"/>
  <c r="H1129" i="2"/>
  <c r="H1125" i="2"/>
  <c r="H1121" i="2"/>
  <c r="H1117" i="2"/>
  <c r="H1113" i="2"/>
  <c r="H1109" i="2"/>
  <c r="H1105" i="2"/>
  <c r="H1101" i="2"/>
  <c r="H1097" i="2"/>
  <c r="H1093" i="2"/>
  <c r="H1089" i="2"/>
  <c r="H1085" i="2"/>
  <c r="H1081" i="2"/>
  <c r="H1077" i="2"/>
  <c r="H1073" i="2"/>
  <c r="H1069" i="2"/>
  <c r="H1065" i="2"/>
  <c r="H1061" i="2"/>
  <c r="H1057" i="2"/>
  <c r="H1053" i="2"/>
  <c r="H1049" i="2"/>
  <c r="H1045" i="2"/>
  <c r="H1041" i="2"/>
  <c r="H1037" i="2"/>
  <c r="H1033" i="2"/>
  <c r="H1029" i="2"/>
  <c r="H1025" i="2"/>
  <c r="H1021" i="2"/>
  <c r="H1017" i="2"/>
  <c r="H1013" i="2"/>
  <c r="H1009" i="2"/>
  <c r="H1005" i="2"/>
  <c r="H1001" i="2"/>
  <c r="H997" i="2"/>
  <c r="H993" i="2"/>
  <c r="H989" i="2"/>
  <c r="H985" i="2"/>
  <c r="H981" i="2"/>
  <c r="H977" i="2"/>
  <c r="H973" i="2"/>
  <c r="H969" i="2"/>
  <c r="H965" i="2"/>
  <c r="H961" i="2"/>
  <c r="H957" i="2"/>
  <c r="H953" i="2"/>
  <c r="H949" i="2"/>
  <c r="H945" i="2"/>
  <c r="H941" i="2"/>
  <c r="H937" i="2"/>
  <c r="H933" i="2"/>
  <c r="H929" i="2"/>
  <c r="H925" i="2"/>
  <c r="H921" i="2"/>
  <c r="H917" i="2"/>
  <c r="H913" i="2"/>
  <c r="H909" i="2"/>
  <c r="H905" i="2"/>
  <c r="H901" i="2"/>
  <c r="H897" i="2"/>
  <c r="H893" i="2"/>
  <c r="H889" i="2"/>
  <c r="H885" i="2"/>
  <c r="H881" i="2"/>
  <c r="H877" i="2"/>
  <c r="H873" i="2"/>
  <c r="H869" i="2"/>
  <c r="H865" i="2"/>
  <c r="H861" i="2"/>
  <c r="H857" i="2"/>
  <c r="H853" i="2"/>
  <c r="H849" i="2"/>
  <c r="H845" i="2"/>
  <c r="H841" i="2"/>
  <c r="H837" i="2"/>
  <c r="H833" i="2"/>
  <c r="H829" i="2"/>
  <c r="H825" i="2"/>
  <c r="H821" i="2"/>
  <c r="H817" i="2"/>
  <c r="H813" i="2"/>
  <c r="H809" i="2"/>
  <c r="H805" i="2"/>
  <c r="H801" i="2"/>
  <c r="H797" i="2"/>
  <c r="H793" i="2"/>
  <c r="H789" i="2"/>
  <c r="H785" i="2"/>
  <c r="H781" i="2"/>
  <c r="H777" i="2"/>
  <c r="H773" i="2"/>
  <c r="H769" i="2"/>
  <c r="H765" i="2"/>
  <c r="H761" i="2"/>
  <c r="H757" i="2"/>
  <c r="H753" i="2"/>
  <c r="H749" i="2"/>
  <c r="H745" i="2"/>
  <c r="H741" i="2"/>
  <c r="H737" i="2"/>
  <c r="H733" i="2"/>
  <c r="H729" i="2"/>
  <c r="H725" i="2"/>
  <c r="H721" i="2"/>
  <c r="H717" i="2"/>
  <c r="H713" i="2"/>
  <c r="H709" i="2"/>
  <c r="H705" i="2"/>
  <c r="H701" i="2"/>
  <c r="H697" i="2"/>
  <c r="H693" i="2"/>
  <c r="H689" i="2"/>
  <c r="H685" i="2"/>
  <c r="H681" i="2"/>
  <c r="H677" i="2"/>
  <c r="H673" i="2"/>
  <c r="H669" i="2"/>
  <c r="H665" i="2"/>
  <c r="H661" i="2"/>
  <c r="H657" i="2"/>
  <c r="H653" i="2"/>
  <c r="H649" i="2"/>
  <c r="H645" i="2"/>
  <c r="H641" i="2"/>
  <c r="H637" i="2"/>
  <c r="H633" i="2"/>
  <c r="H629" i="2"/>
  <c r="H625" i="2"/>
  <c r="H621" i="2"/>
  <c r="H617" i="2"/>
  <c r="H613" i="2"/>
  <c r="H609" i="2"/>
  <c r="H605" i="2"/>
  <c r="H601" i="2"/>
  <c r="H597" i="2"/>
  <c r="H593" i="2"/>
  <c r="H589" i="2"/>
  <c r="H585" i="2"/>
  <c r="H581" i="2"/>
  <c r="H577" i="2"/>
  <c r="H573" i="2"/>
  <c r="H569" i="2"/>
  <c r="H565" i="2"/>
  <c r="H561" i="2"/>
  <c r="H557" i="2"/>
  <c r="H553" i="2"/>
  <c r="H549" i="2"/>
  <c r="H545" i="2"/>
  <c r="H541" i="2"/>
  <c r="H537" i="2"/>
  <c r="H533" i="2"/>
  <c r="H529" i="2"/>
  <c r="H525" i="2"/>
  <c r="H521" i="2"/>
  <c r="H517" i="2"/>
  <c r="H513" i="2"/>
  <c r="H509" i="2"/>
  <c r="H505" i="2"/>
  <c r="H501" i="2"/>
  <c r="H497" i="2"/>
  <c r="H493" i="2"/>
  <c r="H489" i="2"/>
  <c r="H485" i="2"/>
  <c r="H481" i="2"/>
  <c r="H477" i="2"/>
  <c r="H473" i="2"/>
  <c r="H469" i="2"/>
  <c r="H465" i="2"/>
  <c r="H461" i="2"/>
  <c r="H457" i="2"/>
  <c r="H453" i="2"/>
  <c r="H449" i="2"/>
  <c r="H445" i="2"/>
  <c r="H441" i="2"/>
  <c r="H437" i="2"/>
  <c r="H433" i="2"/>
  <c r="H429" i="2"/>
  <c r="H425" i="2"/>
  <c r="H421" i="2"/>
  <c r="H417" i="2"/>
  <c r="H413" i="2"/>
  <c r="H409" i="2"/>
  <c r="H405" i="2"/>
  <c r="H401" i="2"/>
  <c r="H397" i="2"/>
  <c r="H393" i="2"/>
  <c r="H389" i="2"/>
  <c r="H385" i="2"/>
  <c r="H381" i="2"/>
  <c r="H377" i="2"/>
  <c r="H373" i="2"/>
  <c r="H369" i="2"/>
  <c r="H365" i="2"/>
  <c r="H361" i="2"/>
  <c r="H357" i="2"/>
  <c r="H353" i="2"/>
  <c r="H349" i="2"/>
  <c r="H345" i="2"/>
  <c r="H341" i="2"/>
  <c r="H337" i="2"/>
  <c r="H333" i="2"/>
  <c r="H329" i="2"/>
  <c r="H325" i="2"/>
  <c r="H321" i="2"/>
  <c r="H317" i="2"/>
  <c r="H313" i="2"/>
  <c r="H309" i="2"/>
  <c r="H305" i="2"/>
  <c r="H301" i="2"/>
  <c r="H297" i="2"/>
  <c r="H293" i="2"/>
  <c r="H289" i="2"/>
  <c r="H285" i="2"/>
  <c r="H281" i="2"/>
  <c r="H277" i="2"/>
  <c r="H273" i="2"/>
  <c r="H269" i="2"/>
  <c r="H265" i="2"/>
  <c r="H261" i="2"/>
  <c r="H257" i="2"/>
  <c r="H253" i="2"/>
  <c r="H249" i="2"/>
  <c r="H245" i="2"/>
  <c r="H241" i="2"/>
  <c r="H237" i="2"/>
  <c r="H233" i="2"/>
  <c r="H229" i="2"/>
  <c r="H225" i="2"/>
  <c r="H221" i="2"/>
  <c r="H217" i="2"/>
  <c r="H213" i="2"/>
  <c r="H209" i="2"/>
  <c r="H205" i="2"/>
  <c r="H201" i="2"/>
  <c r="H197" i="2"/>
  <c r="H193" i="2"/>
  <c r="H189" i="2"/>
  <c r="H185" i="2"/>
  <c r="H181" i="2"/>
  <c r="H177" i="2"/>
  <c r="H173" i="2"/>
  <c r="H169" i="2"/>
  <c r="H165" i="2"/>
  <c r="H161" i="2"/>
  <c r="H157" i="2"/>
  <c r="H153" i="2"/>
  <c r="H149" i="2"/>
  <c r="H145" i="2"/>
  <c r="H141" i="2"/>
  <c r="H137" i="2"/>
  <c r="H133" i="2"/>
  <c r="H129" i="2"/>
  <c r="H125" i="2"/>
  <c r="H121" i="2"/>
  <c r="H117" i="2"/>
  <c r="H113" i="2"/>
  <c r="H109" i="2"/>
  <c r="H105" i="2"/>
  <c r="H101" i="2"/>
  <c r="H97" i="2"/>
  <c r="H93" i="2"/>
  <c r="H89" i="2"/>
  <c r="H85" i="2"/>
  <c r="H81" i="2"/>
  <c r="H77" i="2"/>
  <c r="H73" i="2"/>
  <c r="H69" i="2"/>
  <c r="H65" i="2"/>
  <c r="H61" i="2"/>
  <c r="H57" i="2"/>
  <c r="H53" i="2"/>
  <c r="H49" i="2"/>
  <c r="H45" i="2"/>
  <c r="H41" i="2"/>
  <c r="H37" i="2"/>
  <c r="H33" i="2"/>
  <c r="H29" i="2"/>
  <c r="H25" i="2"/>
  <c r="H21" i="2"/>
  <c r="H17" i="2"/>
  <c r="H13" i="2"/>
  <c r="H9" i="2"/>
  <c r="H5" i="2"/>
  <c r="L351" i="2"/>
  <c r="L379" i="2"/>
  <c r="L407" i="2"/>
  <c r="L88" i="2"/>
  <c r="L128" i="2"/>
  <c r="L165" i="2"/>
  <c r="L316" i="2"/>
  <c r="L796" i="2"/>
  <c r="L868" i="2"/>
  <c r="L896" i="2"/>
  <c r="L924" i="2"/>
  <c r="L1024" i="2"/>
  <c r="L1124" i="2"/>
  <c r="L1152" i="2"/>
  <c r="L1180" i="2"/>
  <c r="L1252" i="2"/>
  <c r="L1308" i="2"/>
  <c r="L1380" i="2"/>
  <c r="L1408" i="2"/>
  <c r="L1436" i="2"/>
  <c r="L1536" i="2"/>
  <c r="L1636" i="2"/>
  <c r="L1652" i="2"/>
  <c r="L1664" i="2"/>
  <c r="L1680" i="2"/>
  <c r="L1688" i="2"/>
  <c r="L1716" i="2"/>
  <c r="L1736" i="2"/>
  <c r="L1744" i="2"/>
  <c r="L1752" i="2"/>
  <c r="L1764" i="2"/>
  <c r="L1780" i="2"/>
  <c r="L1792" i="2"/>
  <c r="L1808" i="2"/>
  <c r="L1816" i="2"/>
  <c r="L1844" i="2"/>
  <c r="L1864" i="2"/>
  <c r="L1872" i="2"/>
  <c r="L1880" i="2"/>
  <c r="L1892" i="2"/>
  <c r="L1908" i="2"/>
  <c r="L1920" i="2"/>
  <c r="L1936" i="2"/>
  <c r="L1944" i="2"/>
  <c r="L1972" i="2"/>
  <c r="L1992" i="2"/>
  <c r="L2000" i="2"/>
  <c r="L2008" i="2"/>
  <c r="L2020" i="2"/>
  <c r="L2036" i="2"/>
  <c r="L2048" i="2"/>
  <c r="L2064" i="2"/>
  <c r="L2072" i="2"/>
  <c r="L2100" i="2"/>
  <c r="L2120" i="2"/>
  <c r="L2128" i="2"/>
  <c r="L241" i="2"/>
  <c r="L437" i="2"/>
  <c r="L465" i="2"/>
  <c r="L493" i="2"/>
  <c r="L953" i="2"/>
  <c r="L1009" i="2"/>
  <c r="L1237" i="2"/>
  <c r="L1465" i="2"/>
  <c r="L1521" i="2"/>
  <c r="L1645" i="2"/>
  <c r="L1673" i="2"/>
  <c r="L1701" i="2"/>
  <c r="L1773" i="2"/>
  <c r="L1801" i="2"/>
  <c r="L1829" i="2"/>
  <c r="L1901" i="2"/>
  <c r="L1929" i="2"/>
  <c r="L1957" i="2"/>
  <c r="L2029" i="2"/>
  <c r="L2057" i="2"/>
  <c r="L2085" i="2"/>
  <c r="L242" i="2"/>
  <c r="L250" i="2"/>
  <c r="L258" i="2"/>
  <c r="L262" i="2"/>
  <c r="L266" i="2"/>
  <c r="L278" i="2"/>
  <c r="L290" i="2"/>
  <c r="L294" i="2"/>
  <c r="L298" i="2"/>
  <c r="L306" i="2"/>
  <c r="L314" i="2"/>
  <c r="L322" i="2"/>
  <c r="L326" i="2"/>
  <c r="L330" i="2"/>
  <c r="L342" i="2"/>
  <c r="L346" i="2"/>
  <c r="L354" i="2"/>
  <c r="L358" i="2"/>
  <c r="L362" i="2"/>
  <c r="L370" i="2"/>
  <c r="L374" i="2"/>
  <c r="L378" i="2"/>
  <c r="L386" i="2"/>
  <c r="L390" i="2"/>
  <c r="L394" i="2"/>
  <c r="L402" i="2"/>
  <c r="L406" i="2"/>
  <c r="L410" i="2"/>
  <c r="L418" i="2"/>
  <c r="L422" i="2"/>
  <c r="L426" i="2"/>
  <c r="L434" i="2"/>
  <c r="L438" i="2"/>
  <c r="L442" i="2"/>
  <c r="L450" i="2"/>
  <c r="L454" i="2"/>
  <c r="L458" i="2"/>
  <c r="L466" i="2"/>
  <c r="L470" i="2"/>
  <c r="L474" i="2"/>
  <c r="L482" i="2"/>
  <c r="L486" i="2"/>
  <c r="L490" i="2"/>
  <c r="L498" i="2"/>
  <c r="L502" i="2"/>
  <c r="L506" i="2"/>
  <c r="L514" i="2"/>
  <c r="L518" i="2"/>
  <c r="L522" i="2"/>
  <c r="L530" i="2"/>
  <c r="L534" i="2"/>
  <c r="L538" i="2"/>
  <c r="L546" i="2"/>
  <c r="L550" i="2"/>
  <c r="L554" i="2"/>
  <c r="L562" i="2"/>
  <c r="L566" i="2"/>
  <c r="L570" i="2"/>
  <c r="L578" i="2"/>
  <c r="L582" i="2"/>
  <c r="L586" i="2"/>
  <c r="L594" i="2"/>
  <c r="L598" i="2"/>
  <c r="L602" i="2"/>
  <c r="L610" i="2"/>
  <c r="L614" i="2"/>
  <c r="L618" i="2"/>
  <c r="L626" i="2"/>
  <c r="L630" i="2"/>
  <c r="L634" i="2"/>
  <c r="L642" i="2"/>
  <c r="L646" i="2"/>
  <c r="L650" i="2"/>
  <c r="L658" i="2"/>
  <c r="L662" i="2"/>
  <c r="L666" i="2"/>
  <c r="L674" i="2"/>
  <c r="L678" i="2"/>
  <c r="L682" i="2"/>
  <c r="L690" i="2"/>
  <c r="L694" i="2"/>
  <c r="L698" i="2"/>
  <c r="L706" i="2"/>
  <c r="L710" i="2"/>
  <c r="L714" i="2"/>
  <c r="L722" i="2"/>
  <c r="L726" i="2"/>
  <c r="L730" i="2"/>
  <c r="L738" i="2"/>
  <c r="L742" i="2"/>
  <c r="L746" i="2"/>
  <c r="L754" i="2"/>
  <c r="L758" i="2"/>
  <c r="L762" i="2"/>
  <c r="L1622" i="2"/>
  <c r="L1626" i="2"/>
  <c r="L1630" i="2"/>
  <c r="L1634" i="2"/>
  <c r="L1638" i="2"/>
  <c r="L1646" i="2"/>
  <c r="L1650" i="2"/>
  <c r="L1654" i="2"/>
  <c r="L1658" i="2"/>
  <c r="L1662" i="2"/>
  <c r="L1670" i="2"/>
  <c r="L1674" i="2"/>
  <c r="L1678" i="2"/>
  <c r="L1682" i="2"/>
  <c r="L1686" i="2"/>
  <c r="L1690" i="2"/>
  <c r="L1698" i="2"/>
  <c r="L1702" i="2"/>
  <c r="L1706" i="2"/>
  <c r="L1710" i="2"/>
  <c r="L1718" i="2"/>
  <c r="L1726" i="2"/>
  <c r="L1730" i="2"/>
  <c r="L1734" i="2"/>
  <c r="L1738" i="2"/>
  <c r="L1746" i="2"/>
  <c r="L1750" i="2"/>
  <c r="L1754" i="2"/>
  <c r="L1758" i="2"/>
  <c r="L1762" i="2"/>
  <c r="L1766" i="2"/>
  <c r="L1774" i="2"/>
  <c r="L1778" i="2"/>
  <c r="L1782" i="2"/>
  <c r="L1786" i="2"/>
  <c r="L1790" i="2"/>
  <c r="L1798" i="2"/>
  <c r="L1802" i="2"/>
  <c r="L1806" i="2"/>
  <c r="L1810" i="2"/>
  <c r="L1814" i="2"/>
  <c r="L1818" i="2"/>
  <c r="L1826" i="2"/>
  <c r="L1830" i="2"/>
  <c r="L1834" i="2"/>
  <c r="L1838" i="2"/>
  <c r="L1846" i="2"/>
  <c r="L1854" i="2"/>
  <c r="L1858" i="2"/>
  <c r="L1862" i="2"/>
  <c r="L1866" i="2"/>
  <c r="L1874" i="2"/>
  <c r="L1878" i="2"/>
  <c r="L1882" i="2"/>
  <c r="L1886" i="2"/>
  <c r="L1890" i="2"/>
  <c r="L1894" i="2"/>
  <c r="L1902" i="2"/>
  <c r="L1906" i="2"/>
  <c r="L1910" i="2"/>
  <c r="L1914" i="2"/>
  <c r="L1918" i="2"/>
  <c r="L1926" i="2"/>
  <c r="L1930" i="2"/>
  <c r="L1934" i="2"/>
  <c r="L1938" i="2"/>
  <c r="L1942" i="2"/>
  <c r="L1946" i="2"/>
  <c r="L1954" i="2"/>
  <c r="L1958" i="2"/>
  <c r="L1962" i="2"/>
  <c r="L1966" i="2"/>
  <c r="L1974" i="2"/>
  <c r="L1982" i="2"/>
  <c r="L1986" i="2"/>
  <c r="L1990" i="2"/>
  <c r="L1994" i="2"/>
  <c r="L2002" i="2"/>
  <c r="L2006" i="2"/>
  <c r="L2010" i="2"/>
  <c r="L2014" i="2"/>
  <c r="L2018" i="2"/>
  <c r="L2022" i="2"/>
  <c r="L2030" i="2"/>
  <c r="L2034" i="2"/>
  <c r="L2038" i="2"/>
  <c r="L2042" i="2"/>
  <c r="L2046" i="2"/>
  <c r="L2054" i="2"/>
  <c r="L2058" i="2"/>
  <c r="L2062" i="2"/>
  <c r="L2066" i="2"/>
  <c r="L2070" i="2"/>
  <c r="L2074" i="2"/>
  <c r="L2082" i="2"/>
  <c r="L2086" i="2"/>
  <c r="L2090" i="2"/>
  <c r="L2094" i="2"/>
  <c r="L2102" i="2"/>
  <c r="L2110" i="2"/>
  <c r="L2114" i="2"/>
  <c r="L2118" i="2"/>
  <c r="L2122" i="2"/>
  <c r="L2130" i="2"/>
  <c r="L607" i="2"/>
  <c r="L635" i="2"/>
  <c r="L663" i="2"/>
  <c r="L711" i="2"/>
  <c r="L731" i="2"/>
  <c r="L783" i="2"/>
  <c r="L811" i="2"/>
  <c r="L839" i="2"/>
  <c r="L911" i="2"/>
  <c r="L967" i="2"/>
  <c r="L1039" i="2"/>
  <c r="L1067" i="2"/>
  <c r="L1095" i="2"/>
  <c r="L1195" i="2"/>
  <c r="L1295" i="2"/>
  <c r="L1323" i="2"/>
  <c r="L1351" i="2"/>
  <c r="L1423" i="2"/>
  <c r="L1479" i="2"/>
  <c r="L1551" i="2"/>
  <c r="L1579" i="2"/>
  <c r="L1607" i="2"/>
  <c r="L693" i="2"/>
  <c r="L749" i="2"/>
  <c r="L825" i="2"/>
  <c r="L853" i="2"/>
  <c r="L881" i="2"/>
  <c r="L981" i="2"/>
  <c r="L1081" i="2"/>
  <c r="L1109" i="2"/>
  <c r="L1137" i="2"/>
  <c r="L1209" i="2"/>
  <c r="L1265" i="2"/>
  <c r="L1337" i="2"/>
  <c r="L1365" i="2"/>
  <c r="L1393" i="2"/>
  <c r="L1493" i="2"/>
  <c r="L1593" i="2"/>
  <c r="L1621" i="2"/>
  <c r="L1637" i="2"/>
  <c r="L1657" i="2"/>
  <c r="L1685" i="2"/>
  <c r="L1693" i="2"/>
  <c r="L1709" i="2"/>
  <c r="L1721" i="2"/>
  <c r="L1737" i="2"/>
  <c r="L1749" i="2"/>
  <c r="L1757" i="2"/>
  <c r="L1765" i="2"/>
  <c r="L1785" i="2"/>
  <c r="L1813" i="2"/>
  <c r="L1821" i="2"/>
  <c r="L1837" i="2"/>
  <c r="L1849" i="2"/>
  <c r="L1865" i="2"/>
  <c r="L1877" i="2"/>
  <c r="L1885" i="2"/>
  <c r="L1893" i="2"/>
  <c r="L1913" i="2"/>
  <c r="L1941" i="2"/>
  <c r="L1949" i="2"/>
  <c r="L1965" i="2"/>
  <c r="L1977" i="2"/>
  <c r="L1993" i="2"/>
  <c r="L2005" i="2"/>
  <c r="L2013" i="2"/>
  <c r="L2021" i="2"/>
  <c r="L2041" i="2"/>
  <c r="L2069" i="2"/>
  <c r="L2077" i="2"/>
  <c r="L2093" i="2"/>
  <c r="L2105" i="2"/>
  <c r="L2121" i="2"/>
  <c r="L1642" i="2"/>
  <c r="L1666" i="2"/>
  <c r="L1694" i="2"/>
  <c r="L1714" i="2"/>
  <c r="L1722" i="2"/>
  <c r="L1742" i="2"/>
  <c r="L1770" i="2"/>
  <c r="L1794" i="2"/>
  <c r="L1822" i="2"/>
  <c r="L1842" i="2"/>
  <c r="L1850" i="2"/>
  <c r="L1870" i="2"/>
  <c r="L1898" i="2"/>
  <c r="L1922" i="2"/>
  <c r="L1950" i="2"/>
  <c r="L1970" i="2"/>
  <c r="L1978" i="2"/>
  <c r="L1998" i="2"/>
  <c r="L2026" i="2"/>
  <c r="L2050" i="2"/>
  <c r="L2078" i="2"/>
  <c r="L2098" i="2"/>
  <c r="L2106" i="2"/>
  <c r="L2126" i="2"/>
  <c r="L939" i="2"/>
  <c r="L1167" i="2"/>
  <c r="L1223" i="2"/>
  <c r="L1451" i="2"/>
  <c r="L768" i="2"/>
  <c r="L996" i="2"/>
  <c r="L1052" i="2"/>
  <c r="L1280" i="2"/>
  <c r="L1508" i="2"/>
  <c r="L1564" i="2"/>
  <c r="L1672" i="2"/>
  <c r="L1700" i="2"/>
  <c r="L1728" i="2"/>
  <c r="L1800" i="2"/>
  <c r="L1828" i="2"/>
  <c r="L1856" i="2"/>
  <c r="L1928" i="2"/>
  <c r="L1956" i="2"/>
  <c r="L1984" i="2"/>
  <c r="L2056" i="2"/>
  <c r="L2084" i="2"/>
  <c r="L2112" i="2"/>
  <c r="L7" i="2"/>
  <c r="L15" i="2"/>
  <c r="L23" i="2"/>
  <c r="L31" i="2"/>
  <c r="L39" i="2"/>
  <c r="L47" i="2"/>
  <c r="L55" i="2"/>
  <c r="L59" i="2"/>
  <c r="L67" i="2"/>
  <c r="L75" i="2"/>
  <c r="L83" i="2"/>
  <c r="L91" i="2"/>
  <c r="L99" i="2"/>
  <c r="L107" i="2"/>
  <c r="L115" i="2"/>
  <c r="L123" i="2"/>
  <c r="L131" i="2"/>
  <c r="L139" i="2"/>
  <c r="L147" i="2"/>
  <c r="L159" i="2"/>
  <c r="L167" i="2"/>
  <c r="L175" i="2"/>
  <c r="L183" i="2"/>
  <c r="L191" i="2"/>
  <c r="L195" i="2"/>
  <c r="L207" i="2"/>
  <c r="L215" i="2"/>
  <c r="L223" i="2"/>
  <c r="L227" i="2"/>
  <c r="L235" i="2"/>
  <c r="L243" i="2"/>
  <c r="L251" i="2"/>
  <c r="L259" i="2"/>
  <c r="L267" i="2"/>
  <c r="L275" i="2"/>
  <c r="L283" i="2"/>
  <c r="L291" i="2"/>
  <c r="L299" i="2"/>
  <c r="L311" i="2"/>
  <c r="L315" i="2"/>
  <c r="L323" i="2"/>
  <c r="L331" i="2"/>
  <c r="L339" i="2"/>
  <c r="L347" i="2"/>
  <c r="L355" i="2"/>
  <c r="L363" i="2"/>
  <c r="L371" i="2"/>
  <c r="L387" i="2"/>
  <c r="L395" i="2"/>
  <c r="L415" i="2"/>
  <c r="L423" i="2"/>
  <c r="L427" i="2"/>
  <c r="L435" i="2"/>
  <c r="L443" i="2"/>
  <c r="L451" i="2"/>
  <c r="L463" i="2"/>
  <c r="L471" i="2"/>
  <c r="L479" i="2"/>
  <c r="L487" i="2"/>
  <c r="L491" i="2"/>
  <c r="L499" i="2"/>
  <c r="L507" i="2"/>
  <c r="L519" i="2"/>
  <c r="L527" i="2"/>
  <c r="L535" i="2"/>
  <c r="L539" i="2"/>
  <c r="L547" i="2"/>
  <c r="L559" i="2"/>
  <c r="L567" i="2"/>
  <c r="L575" i="2"/>
  <c r="L579" i="2"/>
  <c r="L587" i="2"/>
  <c r="L595" i="2"/>
  <c r="L615" i="2"/>
  <c r="L623" i="2"/>
  <c r="L631" i="2"/>
  <c r="L639" i="2"/>
  <c r="L647" i="2"/>
  <c r="L655" i="2"/>
  <c r="L659" i="2"/>
  <c r="L671" i="2"/>
  <c r="L679" i="2"/>
  <c r="L687" i="2"/>
  <c r="L691" i="2"/>
  <c r="L703" i="2"/>
  <c r="L719" i="2"/>
  <c r="L727" i="2"/>
  <c r="L735" i="2"/>
  <c r="L739" i="2"/>
  <c r="L747" i="2"/>
  <c r="L755" i="2"/>
  <c r="L763" i="2"/>
  <c r="L771" i="2"/>
  <c r="L779" i="2"/>
  <c r="L787" i="2"/>
  <c r="L795" i="2"/>
  <c r="L803" i="2"/>
  <c r="L823" i="2"/>
  <c r="L831" i="2"/>
  <c r="L835" i="2"/>
  <c r="L843" i="2"/>
  <c r="L851" i="2"/>
  <c r="L859" i="2"/>
  <c r="L867" i="2"/>
  <c r="L875" i="2"/>
  <c r="L883" i="2"/>
  <c r="L895" i="2"/>
  <c r="L903" i="2"/>
  <c r="L907" i="2"/>
  <c r="L915" i="2"/>
  <c r="L923" i="2"/>
  <c r="L931" i="2"/>
  <c r="L935" i="2"/>
  <c r="L943" i="2"/>
  <c r="L951" i="2"/>
  <c r="L959" i="2"/>
  <c r="L963" i="2"/>
  <c r="L971" i="2"/>
  <c r="L979" i="2"/>
  <c r="L987" i="2"/>
  <c r="L995" i="2"/>
  <c r="L1003" i="2"/>
  <c r="L1011" i="2"/>
  <c r="L1019" i="2"/>
  <c r="L1027" i="2"/>
  <c r="L1035" i="2"/>
  <c r="L1043" i="2"/>
  <c r="L1051" i="2"/>
  <c r="L1059" i="2"/>
  <c r="L1075" i="2"/>
  <c r="L1083" i="2"/>
  <c r="L1103" i="2"/>
  <c r="L1111" i="2"/>
  <c r="L1115" i="2"/>
  <c r="L1127" i="2"/>
  <c r="L1131" i="2"/>
  <c r="L1139" i="2"/>
  <c r="L1147" i="2"/>
  <c r="L1155" i="2"/>
  <c r="L1175" i="2"/>
  <c r="L1183" i="2"/>
  <c r="L1203" i="2"/>
  <c r="L1211" i="2"/>
  <c r="L1231" i="2"/>
  <c r="L1239" i="2"/>
  <c r="L1247" i="2"/>
  <c r="L1255" i="2"/>
  <c r="L1263" i="2"/>
  <c r="L1267" i="2"/>
  <c r="L1275" i="2"/>
  <c r="L1283" i="2"/>
  <c r="L1303" i="2"/>
  <c r="L1311" i="2"/>
  <c r="L1335" i="2"/>
  <c r="L1343" i="2"/>
  <c r="L1347" i="2"/>
  <c r="L1355" i="2"/>
  <c r="L1363" i="2"/>
  <c r="L1371" i="2"/>
  <c r="L1379" i="2"/>
  <c r="L1387" i="2"/>
  <c r="L1395" i="2"/>
  <c r="L1399" i="2"/>
  <c r="L1403" i="2"/>
  <c r="L1407" i="2"/>
  <c r="L1415" i="2"/>
  <c r="L1419" i="2"/>
  <c r="L1427" i="2"/>
  <c r="L1431" i="2"/>
  <c r="L1435" i="2"/>
  <c r="L1439" i="2"/>
  <c r="L1443" i="2"/>
  <c r="L1447" i="2"/>
  <c r="L1455" i="2"/>
  <c r="L1459" i="2"/>
  <c r="L1463" i="2"/>
  <c r="L1467" i="2"/>
  <c r="L1471" i="2"/>
  <c r="L1475" i="2"/>
  <c r="L1483" i="2"/>
  <c r="L1487" i="2"/>
  <c r="L1491" i="2"/>
  <c r="L1495" i="2"/>
  <c r="L1499" i="2"/>
  <c r="L1503" i="2"/>
  <c r="L1507" i="2"/>
  <c r="L1511" i="2"/>
  <c r="L1515" i="2"/>
  <c r="L1519" i="2"/>
  <c r="L1523" i="2"/>
  <c r="L1527" i="2"/>
  <c r="L1531" i="2"/>
  <c r="L1535" i="2"/>
  <c r="L1539" i="2"/>
  <c r="L1543" i="2"/>
  <c r="L1547" i="2"/>
  <c r="L1555" i="2"/>
  <c r="L1559" i="2"/>
  <c r="L1563" i="2"/>
  <c r="L1567" i="2"/>
  <c r="L1571" i="2"/>
  <c r="L1575" i="2"/>
  <c r="L1583" i="2"/>
  <c r="L1587" i="2"/>
  <c r="L1591" i="2"/>
  <c r="L1595" i="2"/>
  <c r="L1599" i="2"/>
  <c r="L1603" i="2"/>
  <c r="L1611" i="2"/>
  <c r="L1615" i="2"/>
  <c r="L1619" i="2"/>
  <c r="L1623" i="2"/>
  <c r="L1627" i="2"/>
  <c r="L1631" i="2"/>
  <c r="L1635" i="2"/>
  <c r="L1639" i="2"/>
  <c r="L1643" i="2"/>
  <c r="L1647" i="2"/>
  <c r="L1651" i="2"/>
  <c r="L1655" i="2"/>
  <c r="L1659" i="2"/>
  <c r="L1663" i="2"/>
  <c r="L1667" i="2"/>
  <c r="L1671" i="2"/>
  <c r="L1675" i="2"/>
  <c r="L1679" i="2"/>
  <c r="L1683" i="2"/>
  <c r="L1687" i="2"/>
  <c r="L1691" i="2"/>
  <c r="L1695" i="2"/>
  <c r="L1699" i="2"/>
  <c r="L1703" i="2"/>
  <c r="L1707" i="2"/>
  <c r="L1711" i="2"/>
  <c r="L2063" i="2"/>
  <c r="L2071" i="2"/>
  <c r="L2079" i="2"/>
  <c r="L2087" i="2"/>
  <c r="L2091" i="2"/>
  <c r="L2099" i="2"/>
  <c r="L2107" i="2"/>
  <c r="L2115" i="2"/>
  <c r="L2123" i="2"/>
  <c r="L8" i="2"/>
  <c r="L12" i="2"/>
  <c r="L20" i="2"/>
  <c r="L28" i="2"/>
  <c r="L36" i="2"/>
  <c r="L40" i="2"/>
  <c r="L48" i="2"/>
  <c r="L56" i="2"/>
  <c r="L60" i="2"/>
  <c r="L68" i="2"/>
  <c r="L72" i="2"/>
  <c r="L80" i="2"/>
  <c r="L84" i="2"/>
  <c r="L92" i="2"/>
  <c r="L96" i="2"/>
  <c r="L104" i="2"/>
  <c r="L108" i="2"/>
  <c r="L116" i="2"/>
  <c r="L120" i="2"/>
  <c r="L124" i="2"/>
  <c r="L132" i="2"/>
  <c r="L136" i="2"/>
  <c r="L144" i="2"/>
  <c r="L148" i="2"/>
  <c r="L152" i="2"/>
  <c r="L160" i="2"/>
  <c r="L168" i="2"/>
  <c r="L176" i="2"/>
  <c r="L184" i="2"/>
  <c r="L192" i="2"/>
  <c r="L196" i="2"/>
  <c r="L204" i="2"/>
  <c r="L212" i="2"/>
  <c r="L220" i="2"/>
  <c r="L228" i="2"/>
  <c r="L232" i="2"/>
  <c r="L240" i="2"/>
  <c r="L248" i="2"/>
  <c r="L256" i="2"/>
  <c r="L264" i="2"/>
  <c r="L272" i="2"/>
  <c r="L280" i="2"/>
  <c r="L288" i="2"/>
  <c r="L296" i="2"/>
  <c r="L304" i="2"/>
  <c r="L324" i="2"/>
  <c r="L332" i="2"/>
  <c r="L336" i="2"/>
  <c r="L344" i="2"/>
  <c r="L352" i="2"/>
  <c r="L360" i="2"/>
  <c r="L368" i="2"/>
  <c r="L372" i="2"/>
  <c r="L380" i="2"/>
  <c r="L388" i="2"/>
  <c r="L396" i="2"/>
  <c r="L404" i="2"/>
  <c r="L412" i="2"/>
  <c r="L420" i="2"/>
  <c r="L424" i="2"/>
  <c r="L432" i="2"/>
  <c r="L440" i="2"/>
  <c r="L448" i="2"/>
  <c r="L456" i="2"/>
  <c r="L460" i="2"/>
  <c r="L468" i="2"/>
  <c r="L472" i="2"/>
  <c r="L480" i="2"/>
  <c r="L484" i="2"/>
  <c r="L492" i="2"/>
  <c r="L500" i="2"/>
  <c r="L504" i="2"/>
  <c r="L512" i="2"/>
  <c r="L520" i="2"/>
  <c r="L528" i="2"/>
  <c r="L532" i="2"/>
  <c r="L540" i="2"/>
  <c r="L544" i="2"/>
  <c r="L552" i="2"/>
  <c r="L560" i="2"/>
  <c r="L568" i="2"/>
  <c r="L576" i="2"/>
  <c r="L584" i="2"/>
  <c r="L620" i="2"/>
  <c r="L1288" i="2"/>
  <c r="L1292" i="2"/>
  <c r="L1300" i="2"/>
  <c r="L1304" i="2"/>
  <c r="L1312" i="2"/>
  <c r="L1320" i="2"/>
  <c r="L1328" i="2"/>
  <c r="L1336" i="2"/>
  <c r="L1344" i="2"/>
  <c r="L1352" i="2"/>
  <c r="L1360" i="2"/>
  <c r="L1368" i="2"/>
  <c r="L1376" i="2"/>
  <c r="L1384" i="2"/>
  <c r="L1392" i="2"/>
  <c r="L1400" i="2"/>
  <c r="L1404" i="2"/>
  <c r="L1412" i="2"/>
  <c r="L1420" i="2"/>
  <c r="L1428" i="2"/>
  <c r="L1432" i="2"/>
  <c r="L1440" i="2"/>
  <c r="L1448" i="2"/>
  <c r="L1460" i="2"/>
  <c r="L1468" i="2"/>
  <c r="L1476" i="2"/>
  <c r="L1484" i="2"/>
  <c r="L1492" i="2"/>
  <c r="L1500" i="2"/>
  <c r="L1516" i="2"/>
  <c r="L1524" i="2"/>
  <c r="L1532" i="2"/>
  <c r="L1540" i="2"/>
  <c r="L1548" i="2"/>
  <c r="L1556" i="2"/>
  <c r="L1560" i="2"/>
  <c r="L1568" i="2"/>
  <c r="L1576" i="2"/>
  <c r="L1584" i="2"/>
  <c r="L1592" i="2"/>
  <c r="L1600" i="2"/>
  <c r="L1608" i="2"/>
  <c r="L1616" i="2"/>
  <c r="L1628" i="2"/>
  <c r="L1644" i="2"/>
  <c r="L1648" i="2"/>
  <c r="L1668" i="2"/>
  <c r="L1676" i="2"/>
  <c r="L1704" i="2"/>
  <c r="L1712" i="2"/>
  <c r="L1720" i="2"/>
  <c r="L1724" i="2"/>
  <c r="L1740" i="2"/>
  <c r="L1748" i="2"/>
  <c r="L1756" i="2"/>
  <c r="L1760" i="2"/>
  <c r="L1768" i="2"/>
  <c r="L1776" i="2"/>
  <c r="L1784" i="2"/>
  <c r="L1788" i="2"/>
  <c r="L1796" i="2"/>
  <c r="L1824" i="2"/>
  <c r="L1832" i="2"/>
  <c r="L1868" i="2"/>
  <c r="L1900" i="2"/>
  <c r="L1904" i="2"/>
  <c r="L1912" i="2"/>
  <c r="L1916" i="2"/>
  <c r="L1924" i="2"/>
  <c r="L1952" i="2"/>
  <c r="L1960" i="2"/>
  <c r="L1988" i="2"/>
  <c r="L2016" i="2"/>
  <c r="L2024" i="2"/>
  <c r="L2032" i="2"/>
  <c r="L2040" i="2"/>
  <c r="L2044" i="2"/>
  <c r="L2060" i="2"/>
  <c r="L2068" i="2"/>
  <c r="L2092" i="2"/>
  <c r="L2096" i="2"/>
  <c r="L2104" i="2"/>
  <c r="L2108" i="2"/>
  <c r="L2116" i="2"/>
  <c r="L2124" i="2"/>
  <c r="L3" i="2"/>
  <c r="L11" i="2"/>
  <c r="L19" i="2"/>
  <c r="L27" i="2"/>
  <c r="L35" i="2"/>
  <c r="L43" i="2"/>
  <c r="L51" i="2"/>
  <c r="L63" i="2"/>
  <c r="L71" i="2"/>
  <c r="L79" i="2"/>
  <c r="L87" i="2"/>
  <c r="L95" i="2"/>
  <c r="L103" i="2"/>
  <c r="L111" i="2"/>
  <c r="L119" i="2"/>
  <c r="L127" i="2"/>
  <c r="L135" i="2"/>
  <c r="L143" i="2"/>
  <c r="L151" i="2"/>
  <c r="L155" i="2"/>
  <c r="L163" i="2"/>
  <c r="L171" i="2"/>
  <c r="L179" i="2"/>
  <c r="L187" i="2"/>
  <c r="L199" i="2"/>
  <c r="L203" i="2"/>
  <c r="L211" i="2"/>
  <c r="L219" i="2"/>
  <c r="L231" i="2"/>
  <c r="L239" i="2"/>
  <c r="L247" i="2"/>
  <c r="L255" i="2"/>
  <c r="L263" i="2"/>
  <c r="L271" i="2"/>
  <c r="L279" i="2"/>
  <c r="L287" i="2"/>
  <c r="L295" i="2"/>
  <c r="L303" i="2"/>
  <c r="L307" i="2"/>
  <c r="L319" i="2"/>
  <c r="L327" i="2"/>
  <c r="L335" i="2"/>
  <c r="L343" i="2"/>
  <c r="L359" i="2"/>
  <c r="L367" i="2"/>
  <c r="L375" i="2"/>
  <c r="L383" i="2"/>
  <c r="L391" i="2"/>
  <c r="L399" i="2"/>
  <c r="L403" i="2"/>
  <c r="L411" i="2"/>
  <c r="L419" i="2"/>
  <c r="L431" i="2"/>
  <c r="L439" i="2"/>
  <c r="L447" i="2"/>
  <c r="L455" i="2"/>
  <c r="L459" i="2"/>
  <c r="L467" i="2"/>
  <c r="L475" i="2"/>
  <c r="L483" i="2"/>
  <c r="L495" i="2"/>
  <c r="L503" i="2"/>
  <c r="L511" i="2"/>
  <c r="L515" i="2"/>
  <c r="L523" i="2"/>
  <c r="L531" i="2"/>
  <c r="L543" i="2"/>
  <c r="L551" i="2"/>
  <c r="L555" i="2"/>
  <c r="L563" i="2"/>
  <c r="L571" i="2"/>
  <c r="L583" i="2"/>
  <c r="L591" i="2"/>
  <c r="L599" i="2"/>
  <c r="L603" i="2"/>
  <c r="L611" i="2"/>
  <c r="L619" i="2"/>
  <c r="L627" i="2"/>
  <c r="L643" i="2"/>
  <c r="L651" i="2"/>
  <c r="L667" i="2"/>
  <c r="L675" i="2"/>
  <c r="L683" i="2"/>
  <c r="L695" i="2"/>
  <c r="L699" i="2"/>
  <c r="L707" i="2"/>
  <c r="L715" i="2"/>
  <c r="L723" i="2"/>
  <c r="L743" i="2"/>
  <c r="L751" i="2"/>
  <c r="L759" i="2"/>
  <c r="L767" i="2"/>
  <c r="L775" i="2"/>
  <c r="L791" i="2"/>
  <c r="L799" i="2"/>
  <c r="L807" i="2"/>
  <c r="L815" i="2"/>
  <c r="L819" i="2"/>
  <c r="L827" i="2"/>
  <c r="L847" i="2"/>
  <c r="L855" i="2"/>
  <c r="L863" i="2"/>
  <c r="L871" i="2"/>
  <c r="L879" i="2"/>
  <c r="L887" i="2"/>
  <c r="L891" i="2"/>
  <c r="L899" i="2"/>
  <c r="L919" i="2"/>
  <c r="L927" i="2"/>
  <c r="L947" i="2"/>
  <c r="L955" i="2"/>
  <c r="L975" i="2"/>
  <c r="L983" i="2"/>
  <c r="L991" i="2"/>
  <c r="L999" i="2"/>
  <c r="L1007" i="2"/>
  <c r="L1015" i="2"/>
  <c r="L1023" i="2"/>
  <c r="L1031" i="2"/>
  <c r="L1047" i="2"/>
  <c r="L1055" i="2"/>
  <c r="L1063" i="2"/>
  <c r="L1071" i="2"/>
  <c r="L1079" i="2"/>
  <c r="L1087" i="2"/>
  <c r="L1091" i="2"/>
  <c r="L1099" i="2"/>
  <c r="L1107" i="2"/>
  <c r="L1119" i="2"/>
  <c r="L1123" i="2"/>
  <c r="L1135" i="2"/>
  <c r="L1143" i="2"/>
  <c r="L1151" i="2"/>
  <c r="L1159" i="2"/>
  <c r="L1163" i="2"/>
  <c r="L1171" i="2"/>
  <c r="L1179" i="2"/>
  <c r="L1187" i="2"/>
  <c r="L1191" i="2"/>
  <c r="L1199" i="2"/>
  <c r="L1207" i="2"/>
  <c r="L1215" i="2"/>
  <c r="L1219" i="2"/>
  <c r="L1227" i="2"/>
  <c r="L1235" i="2"/>
  <c r="L1243" i="2"/>
  <c r="L1251" i="2"/>
  <c r="L1259" i="2"/>
  <c r="L1271" i="2"/>
  <c r="L1279" i="2"/>
  <c r="L1287" i="2"/>
  <c r="L1291" i="2"/>
  <c r="L1299" i="2"/>
  <c r="L1307" i="2"/>
  <c r="L1315" i="2"/>
  <c r="L1319" i="2"/>
  <c r="L1327" i="2"/>
  <c r="L1331" i="2"/>
  <c r="L1339" i="2"/>
  <c r="L1359" i="2"/>
  <c r="L1367" i="2"/>
  <c r="L1375" i="2"/>
  <c r="L1383" i="2"/>
  <c r="L1391" i="2"/>
  <c r="L1411" i="2"/>
  <c r="L1715" i="2"/>
  <c r="L1719" i="2"/>
  <c r="L1723" i="2"/>
  <c r="L1727" i="2"/>
  <c r="L1731" i="2"/>
  <c r="L1735" i="2"/>
  <c r="L1739" i="2"/>
  <c r="L1743" i="2"/>
  <c r="L1747" i="2"/>
  <c r="L1751" i="2"/>
  <c r="L1755" i="2"/>
  <c r="L1759" i="2"/>
  <c r="L1763" i="2"/>
  <c r="L1767" i="2"/>
  <c r="L1771" i="2"/>
  <c r="L1775" i="2"/>
  <c r="L1779" i="2"/>
  <c r="L1783" i="2"/>
  <c r="L1787" i="2"/>
  <c r="L1791" i="2"/>
  <c r="L1795" i="2"/>
  <c r="L1799" i="2"/>
  <c r="L1803" i="2"/>
  <c r="L1807" i="2"/>
  <c r="L1811" i="2"/>
  <c r="L1815" i="2"/>
  <c r="L1819" i="2"/>
  <c r="L1823" i="2"/>
  <c r="L1827" i="2"/>
  <c r="L1831" i="2"/>
  <c r="L1835" i="2"/>
  <c r="L1839" i="2"/>
  <c r="L1843" i="2"/>
  <c r="L1847" i="2"/>
  <c r="L1851" i="2"/>
  <c r="L1855" i="2"/>
  <c r="L1859" i="2"/>
  <c r="L1863" i="2"/>
  <c r="L1867" i="2"/>
  <c r="L1871" i="2"/>
  <c r="L1875" i="2"/>
  <c r="L1879" i="2"/>
  <c r="L1883" i="2"/>
  <c r="L1887" i="2"/>
  <c r="L1891" i="2"/>
  <c r="L1895" i="2"/>
  <c r="L1899" i="2"/>
  <c r="L1903" i="2"/>
  <c r="L1907" i="2"/>
  <c r="L1911" i="2"/>
  <c r="L1915" i="2"/>
  <c r="L1919" i="2"/>
  <c r="L1923" i="2"/>
  <c r="L1927" i="2"/>
  <c r="L1931" i="2"/>
  <c r="L1935" i="2"/>
  <c r="L1939" i="2"/>
  <c r="L1943" i="2"/>
  <c r="L1947" i="2"/>
  <c r="L1951" i="2"/>
  <c r="L1955" i="2"/>
  <c r="L1959" i="2"/>
  <c r="L1963" i="2"/>
  <c r="L1967" i="2"/>
  <c r="L1971" i="2"/>
  <c r="L1975" i="2"/>
  <c r="L1979" i="2"/>
  <c r="L1983" i="2"/>
  <c r="L1987" i="2"/>
  <c r="L1991" i="2"/>
  <c r="L1995" i="2"/>
  <c r="L1999" i="2"/>
  <c r="L2003" i="2"/>
  <c r="L2007" i="2"/>
  <c r="L2011" i="2"/>
  <c r="L2015" i="2"/>
  <c r="L2019" i="2"/>
  <c r="L2023" i="2"/>
  <c r="L2027" i="2"/>
  <c r="L2031" i="2"/>
  <c r="L2035" i="2"/>
  <c r="L2039" i="2"/>
  <c r="L2043" i="2"/>
  <c r="L2047" i="2"/>
  <c r="L2051" i="2"/>
  <c r="L2055" i="2"/>
  <c r="L2059" i="2"/>
  <c r="L2067" i="2"/>
  <c r="L2075" i="2"/>
  <c r="L2083" i="2"/>
  <c r="L2095" i="2"/>
  <c r="L2103" i="2"/>
  <c r="L2111" i="2"/>
  <c r="L2119" i="2"/>
  <c r="L2127" i="2"/>
  <c r="L4" i="2"/>
  <c r="L16" i="2"/>
  <c r="L24" i="2"/>
  <c r="L32" i="2"/>
  <c r="L44" i="2"/>
  <c r="L52" i="2"/>
  <c r="L64" i="2"/>
  <c r="L76" i="2"/>
  <c r="L100" i="2"/>
  <c r="L112" i="2"/>
  <c r="L140" i="2"/>
  <c r="L156" i="2"/>
  <c r="L164" i="2"/>
  <c r="L172" i="2"/>
  <c r="L180" i="2"/>
  <c r="L188" i="2"/>
  <c r="L200" i="2"/>
  <c r="L208" i="2"/>
  <c r="L216" i="2"/>
  <c r="L224" i="2"/>
  <c r="L236" i="2"/>
  <c r="L244" i="2"/>
  <c r="L252" i="2"/>
  <c r="L260" i="2"/>
  <c r="L268" i="2"/>
  <c r="L276" i="2"/>
  <c r="L284" i="2"/>
  <c r="L292" i="2"/>
  <c r="L300" i="2"/>
  <c r="L308" i="2"/>
  <c r="L312" i="2"/>
  <c r="L320" i="2"/>
  <c r="L328" i="2"/>
  <c r="L340" i="2"/>
  <c r="L348" i="2"/>
  <c r="L356" i="2"/>
  <c r="L364" i="2"/>
  <c r="L376" i="2"/>
  <c r="L384" i="2"/>
  <c r="L392" i="2"/>
  <c r="L400" i="2"/>
  <c r="L408" i="2"/>
  <c r="L416" i="2"/>
  <c r="L428" i="2"/>
  <c r="L436" i="2"/>
  <c r="L444" i="2"/>
  <c r="L452" i="2"/>
  <c r="L464" i="2"/>
  <c r="L476" i="2"/>
  <c r="L488" i="2"/>
  <c r="L496" i="2"/>
  <c r="L508" i="2"/>
  <c r="L516" i="2"/>
  <c r="L524" i="2"/>
  <c r="L536" i="2"/>
  <c r="L548" i="2"/>
  <c r="L556" i="2"/>
  <c r="L564" i="2"/>
  <c r="L572" i="2"/>
  <c r="L580" i="2"/>
  <c r="L588" i="2"/>
  <c r="L592" i="2"/>
  <c r="L596" i="2"/>
  <c r="L600" i="2"/>
  <c r="L604" i="2"/>
  <c r="L608" i="2"/>
  <c r="L612" i="2"/>
  <c r="L616" i="2"/>
  <c r="L624" i="2"/>
  <c r="L628" i="2"/>
  <c r="L632" i="2"/>
  <c r="L636" i="2"/>
  <c r="L640" i="2"/>
  <c r="L644" i="2"/>
  <c r="L648" i="2"/>
  <c r="L652" i="2"/>
  <c r="L656" i="2"/>
  <c r="L660" i="2"/>
  <c r="L664" i="2"/>
  <c r="L668" i="2"/>
  <c r="L672" i="2"/>
  <c r="L676" i="2"/>
  <c r="L680" i="2"/>
  <c r="L684" i="2"/>
  <c r="L688" i="2"/>
  <c r="L692" i="2"/>
  <c r="L696" i="2"/>
  <c r="L700" i="2"/>
  <c r="L704" i="2"/>
  <c r="L708" i="2"/>
  <c r="L712" i="2"/>
  <c r="L716" i="2"/>
  <c r="L720" i="2"/>
  <c r="L724" i="2"/>
  <c r="L728" i="2"/>
  <c r="L732" i="2"/>
  <c r="L736" i="2"/>
  <c r="L740" i="2"/>
  <c r="L744" i="2"/>
  <c r="L748" i="2"/>
  <c r="L752" i="2"/>
  <c r="L756" i="2"/>
  <c r="L760" i="2"/>
  <c r="L764" i="2"/>
  <c r="L772" i="2"/>
  <c r="L776" i="2"/>
  <c r="L780" i="2"/>
  <c r="L784" i="2"/>
  <c r="L788" i="2"/>
  <c r="L792" i="2"/>
  <c r="L800" i="2"/>
  <c r="L804" i="2"/>
  <c r="L808" i="2"/>
  <c r="L812" i="2"/>
  <c r="L816" i="2"/>
  <c r="L820" i="2"/>
  <c r="L824" i="2"/>
  <c r="L828" i="2"/>
  <c r="L832" i="2"/>
  <c r="L836" i="2"/>
  <c r="L840" i="2"/>
  <c r="L844" i="2"/>
  <c r="L848" i="2"/>
  <c r="L852" i="2"/>
  <c r="L856" i="2"/>
  <c r="L860" i="2"/>
  <c r="L864" i="2"/>
  <c r="L872" i="2"/>
  <c r="L876" i="2"/>
  <c r="L880" i="2"/>
  <c r="L884" i="2"/>
  <c r="L888" i="2"/>
  <c r="L892" i="2"/>
  <c r="L900" i="2"/>
  <c r="L904" i="2"/>
  <c r="L908" i="2"/>
  <c r="L912" i="2"/>
  <c r="L916" i="2"/>
  <c r="L920" i="2"/>
  <c r="L928" i="2"/>
  <c r="L932" i="2"/>
  <c r="L936" i="2"/>
  <c r="L940" i="2"/>
  <c r="L944" i="2"/>
  <c r="L948" i="2"/>
  <c r="L952" i="2"/>
  <c r="L956" i="2"/>
  <c r="L960" i="2"/>
  <c r="L964" i="2"/>
  <c r="L968" i="2"/>
  <c r="L972" i="2"/>
  <c r="L976" i="2"/>
  <c r="L980" i="2"/>
  <c r="L984" i="2"/>
  <c r="L988" i="2"/>
  <c r="L992" i="2"/>
  <c r="L1000" i="2"/>
  <c r="L1004" i="2"/>
  <c r="L1008" i="2"/>
  <c r="L1012" i="2"/>
  <c r="L1016" i="2"/>
  <c r="L1020" i="2"/>
  <c r="L1028" i="2"/>
  <c r="L1032" i="2"/>
  <c r="L1036" i="2"/>
  <c r="L1040" i="2"/>
  <c r="L1044" i="2"/>
  <c r="L1048" i="2"/>
  <c r="L1056" i="2"/>
  <c r="L1060" i="2"/>
  <c r="L1064" i="2"/>
  <c r="L1068" i="2"/>
  <c r="L1072" i="2"/>
  <c r="L1076" i="2"/>
  <c r="L1080" i="2"/>
  <c r="L1084" i="2"/>
  <c r="L1088" i="2"/>
  <c r="L1092" i="2"/>
  <c r="L1096" i="2"/>
  <c r="L1100" i="2"/>
  <c r="L1104" i="2"/>
  <c r="L1108" i="2"/>
  <c r="L1112" i="2"/>
  <c r="L1116" i="2"/>
  <c r="L1120" i="2"/>
  <c r="L1128" i="2"/>
  <c r="L1132" i="2"/>
  <c r="L1136" i="2"/>
  <c r="L1140" i="2"/>
  <c r="L1144" i="2"/>
  <c r="L1148" i="2"/>
  <c r="L1156" i="2"/>
  <c r="L1160" i="2"/>
  <c r="L1164" i="2"/>
  <c r="L1168" i="2"/>
  <c r="L1172" i="2"/>
  <c r="L1176" i="2"/>
  <c r="L1184" i="2"/>
  <c r="L1188" i="2"/>
  <c r="L1192" i="2"/>
  <c r="L1196" i="2"/>
  <c r="L1200" i="2"/>
  <c r="L1204" i="2"/>
  <c r="L1208" i="2"/>
  <c r="L1212" i="2"/>
  <c r="L1216" i="2"/>
  <c r="L1220" i="2"/>
  <c r="L1224" i="2"/>
  <c r="L1228" i="2"/>
  <c r="L1232" i="2"/>
  <c r="L1236" i="2"/>
  <c r="L1240" i="2"/>
  <c r="L1244" i="2"/>
  <c r="L1248" i="2"/>
  <c r="L1256" i="2"/>
  <c r="L1260" i="2"/>
  <c r="L1264" i="2"/>
  <c r="L1268" i="2"/>
  <c r="L1272" i="2"/>
  <c r="L1276" i="2"/>
  <c r="L1284" i="2"/>
  <c r="L1296" i="2"/>
  <c r="L1316" i="2"/>
  <c r="L1324" i="2"/>
  <c r="L1332" i="2"/>
  <c r="L1340" i="2"/>
  <c r="L1348" i="2"/>
  <c r="L1356" i="2"/>
  <c r="L1364" i="2"/>
  <c r="L1372" i="2"/>
  <c r="L1388" i="2"/>
  <c r="L1396" i="2"/>
  <c r="L1416" i="2"/>
  <c r="L1424" i="2"/>
  <c r="L1444" i="2"/>
  <c r="L1452" i="2"/>
  <c r="L1456" i="2"/>
  <c r="L1464" i="2"/>
  <c r="L1472" i="2"/>
  <c r="L1480" i="2"/>
  <c r="L1488" i="2"/>
  <c r="L1496" i="2"/>
  <c r="L1504" i="2"/>
  <c r="L1512" i="2"/>
  <c r="L1520" i="2"/>
  <c r="L1528" i="2"/>
  <c r="L1544" i="2"/>
  <c r="L1552" i="2"/>
  <c r="L1572" i="2"/>
  <c r="L1580" i="2"/>
  <c r="L1588" i="2"/>
  <c r="L1596" i="2"/>
  <c r="L1604" i="2"/>
  <c r="L1612" i="2"/>
  <c r="L1620" i="2"/>
  <c r="L1624" i="2"/>
  <c r="L1632" i="2"/>
  <c r="L1640" i="2"/>
  <c r="L1656" i="2"/>
  <c r="L1660" i="2"/>
  <c r="L1684" i="2"/>
  <c r="L1692" i="2"/>
  <c r="L1696" i="2"/>
  <c r="L1708" i="2"/>
  <c r="L1732" i="2"/>
  <c r="L1772" i="2"/>
  <c r="L1804" i="2"/>
  <c r="L1812" i="2"/>
  <c r="L1820" i="2"/>
  <c r="L1836" i="2"/>
  <c r="L1840" i="2"/>
  <c r="L1848" i="2"/>
  <c r="L1852" i="2"/>
  <c r="L1860" i="2"/>
  <c r="L1876" i="2"/>
  <c r="L1884" i="2"/>
  <c r="L1888" i="2"/>
  <c r="L1896" i="2"/>
  <c r="L1932" i="2"/>
  <c r="L1940" i="2"/>
  <c r="L1948" i="2"/>
  <c r="L1964" i="2"/>
  <c r="L1968" i="2"/>
  <c r="L1976" i="2"/>
  <c r="L1980" i="2"/>
  <c r="L1996" i="2"/>
  <c r="L2004" i="2"/>
  <c r="L2012" i="2"/>
  <c r="L2028" i="2"/>
  <c r="L2052" i="2"/>
  <c r="L2076" i="2"/>
  <c r="L2080" i="2"/>
  <c r="L2088" i="2"/>
  <c r="L2131" i="2"/>
  <c r="L5" i="2"/>
  <c r="L9" i="2"/>
  <c r="L13" i="2"/>
  <c r="L17" i="2"/>
  <c r="L21" i="2"/>
  <c r="L25" i="2"/>
  <c r="L29" i="2"/>
  <c r="L33" i="2"/>
  <c r="L37" i="2"/>
  <c r="L41" i="2"/>
  <c r="L45" i="2"/>
  <c r="L49" i="2"/>
  <c r="L53" i="2"/>
  <c r="L57" i="2"/>
  <c r="L61" i="2"/>
  <c r="L65" i="2"/>
  <c r="L69" i="2"/>
  <c r="L73" i="2"/>
  <c r="L77" i="2"/>
  <c r="L81" i="2"/>
  <c r="L85" i="2"/>
  <c r="L89" i="2"/>
  <c r="L93" i="2"/>
  <c r="L97" i="2"/>
  <c r="L101" i="2"/>
  <c r="L105" i="2"/>
  <c r="L109" i="2"/>
  <c r="L113" i="2"/>
  <c r="L117" i="2"/>
  <c r="L121" i="2"/>
  <c r="L125" i="2"/>
  <c r="L129" i="2"/>
  <c r="L133" i="2"/>
  <c r="L137" i="2"/>
  <c r="L141" i="2"/>
  <c r="L145" i="2"/>
  <c r="L149" i="2"/>
  <c r="L153" i="2"/>
  <c r="L157" i="2"/>
  <c r="L161" i="2"/>
  <c r="L169" i="2"/>
  <c r="L173" i="2"/>
  <c r="L177" i="2"/>
  <c r="L181" i="2"/>
  <c r="L185" i="2"/>
  <c r="L189" i="2"/>
  <c r="L193" i="2"/>
  <c r="L197" i="2"/>
  <c r="L201" i="2"/>
  <c r="L205" i="2"/>
  <c r="L209" i="2"/>
  <c r="L213" i="2"/>
  <c r="L217" i="2"/>
  <c r="L221" i="2"/>
  <c r="L225" i="2"/>
  <c r="L229" i="2"/>
  <c r="L233" i="2"/>
  <c r="L237" i="2"/>
  <c r="L245" i="2"/>
  <c r="L249" i="2"/>
  <c r="L253" i="2"/>
  <c r="L257" i="2"/>
  <c r="L261" i="2"/>
  <c r="L265" i="2"/>
  <c r="L269" i="2"/>
  <c r="L273" i="2"/>
  <c r="L277" i="2"/>
  <c r="L281" i="2"/>
  <c r="L285" i="2"/>
  <c r="L289" i="2"/>
  <c r="L293" i="2"/>
  <c r="L297" i="2"/>
  <c r="L301" i="2"/>
  <c r="L305" i="2"/>
  <c r="L309" i="2"/>
  <c r="L313" i="2"/>
  <c r="L317" i="2"/>
  <c r="L321" i="2"/>
  <c r="L325" i="2"/>
  <c r="L329" i="2"/>
  <c r="L333" i="2"/>
  <c r="L337" i="2"/>
  <c r="L341" i="2"/>
  <c r="L345" i="2"/>
  <c r="L349" i="2"/>
  <c r="L353" i="2"/>
  <c r="L357" i="2"/>
  <c r="L361" i="2"/>
  <c r="L365" i="2"/>
  <c r="L369" i="2"/>
  <c r="L373" i="2"/>
  <c r="L377" i="2"/>
  <c r="L381" i="2"/>
  <c r="L385" i="2"/>
  <c r="L389" i="2"/>
  <c r="L393" i="2"/>
  <c r="L397" i="2"/>
  <c r="L401" i="2"/>
  <c r="L405" i="2"/>
  <c r="L409" i="2"/>
  <c r="L413" i="2"/>
  <c r="L417" i="2"/>
  <c r="L421" i="2"/>
  <c r="L425" i="2"/>
  <c r="L429" i="2"/>
  <c r="L433" i="2"/>
  <c r="L441" i="2"/>
  <c r="L445" i="2"/>
  <c r="L449" i="2"/>
  <c r="L453" i="2"/>
  <c r="L457" i="2"/>
  <c r="L461" i="2"/>
  <c r="L469" i="2"/>
  <c r="L473" i="2"/>
  <c r="L477" i="2"/>
  <c r="L481" i="2"/>
  <c r="L485" i="2"/>
  <c r="L489" i="2"/>
  <c r="L497" i="2"/>
  <c r="L501" i="2"/>
  <c r="L505" i="2"/>
  <c r="L509" i="2"/>
  <c r="L513" i="2"/>
  <c r="L517" i="2"/>
  <c r="L521" i="2"/>
  <c r="L525" i="2"/>
  <c r="L529" i="2"/>
  <c r="L533" i="2"/>
  <c r="L537" i="2"/>
  <c r="L541" i="2"/>
  <c r="L545" i="2"/>
  <c r="L549" i="2"/>
  <c r="L553" i="2"/>
  <c r="L557" i="2"/>
  <c r="L561" i="2"/>
  <c r="L565" i="2"/>
  <c r="L569" i="2"/>
  <c r="L573" i="2"/>
  <c r="L577" i="2"/>
  <c r="L581" i="2"/>
  <c r="L585" i="2"/>
  <c r="L589" i="2"/>
  <c r="L593" i="2"/>
  <c r="L597" i="2"/>
  <c r="L601" i="2"/>
  <c r="L605" i="2"/>
  <c r="L609" i="2"/>
  <c r="L613" i="2"/>
  <c r="L617" i="2"/>
  <c r="L621" i="2"/>
  <c r="L625" i="2"/>
  <c r="L629" i="2"/>
  <c r="L633" i="2"/>
  <c r="L637" i="2"/>
  <c r="L641" i="2"/>
  <c r="L645" i="2"/>
  <c r="L649" i="2"/>
  <c r="L653" i="2"/>
  <c r="L657" i="2"/>
  <c r="L661" i="2"/>
  <c r="L665" i="2"/>
  <c r="L669" i="2"/>
  <c r="L673" i="2"/>
  <c r="L677" i="2"/>
  <c r="L681" i="2"/>
  <c r="L685" i="2"/>
  <c r="L689" i="2"/>
  <c r="L697" i="2"/>
  <c r="L701" i="2"/>
  <c r="L705" i="2"/>
  <c r="L709" i="2"/>
  <c r="L713" i="2"/>
  <c r="L717" i="2"/>
  <c r="L721" i="2"/>
  <c r="L725" i="2"/>
  <c r="L729" i="2"/>
  <c r="L733" i="2"/>
  <c r="L737" i="2"/>
  <c r="L741" i="2"/>
  <c r="L745" i="2"/>
  <c r="L753" i="2"/>
  <c r="L757" i="2"/>
  <c r="L761" i="2"/>
  <c r="L765" i="2"/>
  <c r="L769" i="2"/>
  <c r="L773" i="2"/>
  <c r="L777" i="2"/>
  <c r="L781" i="2"/>
  <c r="L785" i="2"/>
  <c r="L789" i="2"/>
  <c r="L793" i="2"/>
  <c r="L797" i="2"/>
  <c r="L801" i="2"/>
  <c r="L805" i="2"/>
  <c r="L809" i="2"/>
  <c r="L813" i="2"/>
  <c r="L817" i="2"/>
  <c r="L821" i="2"/>
  <c r="L829" i="2"/>
  <c r="L833" i="2"/>
  <c r="L837" i="2"/>
  <c r="L841" i="2"/>
  <c r="L845" i="2"/>
  <c r="L849" i="2"/>
  <c r="L857" i="2"/>
  <c r="L861" i="2"/>
  <c r="L865" i="2"/>
  <c r="L869" i="2"/>
  <c r="L873" i="2"/>
  <c r="L877" i="2"/>
  <c r="L885" i="2"/>
  <c r="L889" i="2"/>
  <c r="L893" i="2"/>
  <c r="L897" i="2"/>
  <c r="L901" i="2"/>
  <c r="L905" i="2"/>
  <c r="L909" i="2"/>
  <c r="L913" i="2"/>
  <c r="L917" i="2"/>
  <c r="L921" i="2"/>
  <c r="L925" i="2"/>
  <c r="L929" i="2"/>
  <c r="L933" i="2"/>
  <c r="L937" i="2"/>
  <c r="L941" i="2"/>
  <c r="L945" i="2"/>
  <c r="L949" i="2"/>
  <c r="L957" i="2"/>
  <c r="L961" i="2"/>
  <c r="L965" i="2"/>
  <c r="L969" i="2"/>
  <c r="L973" i="2"/>
  <c r="L977" i="2"/>
  <c r="L985" i="2"/>
  <c r="L989" i="2"/>
  <c r="L993" i="2"/>
  <c r="L997" i="2"/>
  <c r="L1001" i="2"/>
  <c r="L1005" i="2"/>
  <c r="L1013" i="2"/>
  <c r="L1017" i="2"/>
  <c r="L1021" i="2"/>
  <c r="L1025" i="2"/>
  <c r="L1029" i="2"/>
  <c r="L1033" i="2"/>
  <c r="L1037" i="2"/>
  <c r="L1041" i="2"/>
  <c r="L1045" i="2"/>
  <c r="L1049" i="2"/>
  <c r="L1053" i="2"/>
  <c r="L1057" i="2"/>
  <c r="L1061" i="2"/>
  <c r="L1065" i="2"/>
  <c r="L1069" i="2"/>
  <c r="L1073" i="2"/>
  <c r="L1077" i="2"/>
  <c r="L1085" i="2"/>
  <c r="L1089" i="2"/>
  <c r="L1093" i="2"/>
  <c r="L1097" i="2"/>
  <c r="L1101" i="2"/>
  <c r="L1105" i="2"/>
  <c r="L1113" i="2"/>
  <c r="L1117" i="2"/>
  <c r="L1121" i="2"/>
  <c r="L1125" i="2"/>
  <c r="L1129" i="2"/>
  <c r="L1133" i="2"/>
  <c r="L1141" i="2"/>
  <c r="L1145" i="2"/>
  <c r="L1149" i="2"/>
  <c r="L1153" i="2"/>
  <c r="L1157" i="2"/>
  <c r="L1161" i="2"/>
  <c r="L1165" i="2"/>
  <c r="L1169" i="2"/>
  <c r="L1173" i="2"/>
  <c r="L1177" i="2"/>
  <c r="L1181" i="2"/>
  <c r="L1185" i="2"/>
  <c r="L1189" i="2"/>
  <c r="L1193" i="2"/>
  <c r="L1197" i="2"/>
  <c r="L1201" i="2"/>
  <c r="L1205" i="2"/>
  <c r="L1213" i="2"/>
  <c r="L1217" i="2"/>
  <c r="L1221" i="2"/>
  <c r="L1225" i="2"/>
  <c r="L1229" i="2"/>
  <c r="L1233" i="2"/>
  <c r="L1241" i="2"/>
  <c r="L1245" i="2"/>
  <c r="L1249" i="2"/>
  <c r="L1253" i="2"/>
  <c r="L1257" i="2"/>
  <c r="L1261" i="2"/>
  <c r="L1269" i="2"/>
  <c r="L1273" i="2"/>
  <c r="L1277" i="2"/>
  <c r="L1281" i="2"/>
  <c r="L1285" i="2"/>
  <c r="L1289" i="2"/>
  <c r="L1293" i="2"/>
  <c r="L1297" i="2"/>
  <c r="L1301" i="2"/>
  <c r="L1305" i="2"/>
  <c r="L1309" i="2"/>
  <c r="L1313" i="2"/>
  <c r="L1317" i="2"/>
  <c r="L1321" i="2"/>
  <c r="L1325" i="2"/>
  <c r="L1329" i="2"/>
  <c r="L1333" i="2"/>
  <c r="L1341" i="2"/>
  <c r="L1345" i="2"/>
  <c r="L1349" i="2"/>
  <c r="L1353" i="2"/>
  <c r="L1357" i="2"/>
  <c r="L1361" i="2"/>
  <c r="L1369" i="2"/>
  <c r="L1373" i="2"/>
  <c r="L1377" i="2"/>
  <c r="L1381" i="2"/>
  <c r="L1385" i="2"/>
  <c r="L1389" i="2"/>
  <c r="L1397" i="2"/>
  <c r="L1401" i="2"/>
  <c r="L1405" i="2"/>
  <c r="L1409" i="2"/>
  <c r="L1413" i="2"/>
  <c r="L1417" i="2"/>
  <c r="L1421" i="2"/>
  <c r="L1425" i="2"/>
  <c r="L1429" i="2"/>
  <c r="L1433" i="2"/>
  <c r="L1437" i="2"/>
  <c r="L1441" i="2"/>
  <c r="L1445" i="2"/>
  <c r="L1449" i="2"/>
  <c r="L1453" i="2"/>
  <c r="L1457" i="2"/>
  <c r="L1461" i="2"/>
  <c r="L1469" i="2"/>
  <c r="L1473" i="2"/>
  <c r="L1477" i="2"/>
  <c r="L1481" i="2"/>
  <c r="L1485" i="2"/>
  <c r="L1489" i="2"/>
  <c r="L1497" i="2"/>
  <c r="L1501" i="2"/>
  <c r="L1505" i="2"/>
  <c r="L1509" i="2"/>
  <c r="L1513" i="2"/>
  <c r="L1517" i="2"/>
  <c r="L1525" i="2"/>
  <c r="L1529" i="2"/>
  <c r="L1533" i="2"/>
  <c r="L1537" i="2"/>
  <c r="L1541" i="2"/>
  <c r="L1545" i="2"/>
  <c r="L1549" i="2"/>
  <c r="L1553" i="2"/>
  <c r="L1557" i="2"/>
  <c r="L1561" i="2"/>
  <c r="L1565" i="2"/>
  <c r="L1569" i="2"/>
  <c r="L1573" i="2"/>
  <c r="L1577" i="2"/>
  <c r="L1581" i="2"/>
  <c r="L1585" i="2"/>
  <c r="L1589" i="2"/>
  <c r="L1597" i="2"/>
  <c r="L1601" i="2"/>
  <c r="L1605" i="2"/>
  <c r="L1609" i="2"/>
  <c r="L1613" i="2"/>
  <c r="L1617" i="2"/>
  <c r="L1625" i="2"/>
  <c r="L1629" i="2"/>
  <c r="L1633" i="2"/>
  <c r="L1641" i="2"/>
  <c r="L1649" i="2"/>
  <c r="L1653" i="2"/>
  <c r="L1661" i="2"/>
  <c r="L1665" i="2"/>
  <c r="L1669" i="2"/>
  <c r="L1677" i="2"/>
  <c r="L1681" i="2"/>
  <c r="L1689" i="2"/>
  <c r="L1697" i="2"/>
  <c r="L1705" i="2"/>
  <c r="L1713" i="2"/>
  <c r="L1717" i="2"/>
  <c r="L1725" i="2"/>
  <c r="L1729" i="2"/>
  <c r="L1733" i="2"/>
  <c r="L1741" i="2"/>
  <c r="L1745" i="2"/>
  <c r="L1753" i="2"/>
  <c r="L1761" i="2"/>
  <c r="L1769" i="2"/>
  <c r="L1777" i="2"/>
  <c r="L1781" i="2"/>
  <c r="L1789" i="2"/>
  <c r="L1793" i="2"/>
  <c r="L1797" i="2"/>
  <c r="L1805" i="2"/>
  <c r="L1809" i="2"/>
  <c r="L1817" i="2"/>
  <c r="L1825" i="2"/>
  <c r="L1833" i="2"/>
  <c r="L1841" i="2"/>
  <c r="L1845" i="2"/>
  <c r="L1853" i="2"/>
  <c r="L1857" i="2"/>
  <c r="L1861" i="2"/>
  <c r="L1869" i="2"/>
  <c r="L1873" i="2"/>
  <c r="L1881" i="2"/>
  <c r="L1889" i="2"/>
  <c r="L1897" i="2"/>
  <c r="L1905" i="2"/>
  <c r="L1909" i="2"/>
  <c r="L1917" i="2"/>
  <c r="L1921" i="2"/>
  <c r="L1925" i="2"/>
  <c r="L1933" i="2"/>
  <c r="L1937" i="2"/>
  <c r="L1945" i="2"/>
  <c r="L1953" i="2"/>
  <c r="L1961" i="2"/>
  <c r="L1969" i="2"/>
  <c r="L1973" i="2"/>
  <c r="L1981" i="2"/>
  <c r="L1985" i="2"/>
  <c r="L1989" i="2"/>
  <c r="L1997" i="2"/>
  <c r="L2001" i="2"/>
  <c r="L2009" i="2"/>
  <c r="L2017" i="2"/>
  <c r="L2025" i="2"/>
  <c r="L2033" i="2"/>
  <c r="L2037" i="2"/>
  <c r="L2045" i="2"/>
  <c r="L2049" i="2"/>
  <c r="L2053" i="2"/>
  <c r="L2061" i="2"/>
  <c r="L2065" i="2"/>
  <c r="L2073" i="2"/>
  <c r="L2081" i="2"/>
  <c r="L2089" i="2"/>
  <c r="L2097" i="2"/>
  <c r="L2101" i="2"/>
  <c r="L2109" i="2"/>
  <c r="L2113" i="2"/>
  <c r="L2117" i="2"/>
  <c r="L2125" i="2"/>
  <c r="L2129" i="2"/>
  <c r="L14" i="2"/>
  <c r="L18" i="2"/>
  <c r="L26" i="2"/>
  <c r="L30" i="2"/>
  <c r="L46" i="2"/>
  <c r="L54" i="2"/>
  <c r="L62" i="2"/>
  <c r="L78" i="2"/>
  <c r="L82" i="2"/>
  <c r="L90" i="2"/>
  <c r="L94" i="2"/>
  <c r="L110" i="2"/>
  <c r="L118" i="2"/>
  <c r="L126" i="2"/>
  <c r="L142" i="2"/>
  <c r="L146" i="2"/>
  <c r="L154" i="2"/>
  <c r="L158" i="2"/>
  <c r="L174" i="2"/>
  <c r="L182" i="2"/>
  <c r="L190" i="2"/>
  <c r="L206" i="2"/>
  <c r="L210" i="2"/>
  <c r="L218" i="2"/>
  <c r="L222" i="2"/>
  <c r="L238" i="2"/>
  <c r="L246" i="2"/>
  <c r="L254" i="2"/>
  <c r="L270" i="2"/>
  <c r="L274" i="2"/>
  <c r="L282" i="2"/>
  <c r="L286" i="2"/>
  <c r="L302" i="2"/>
  <c r="L310" i="2"/>
  <c r="L318" i="2"/>
  <c r="L334" i="2"/>
  <c r="L338" i="2"/>
  <c r="L350" i="2"/>
  <c r="L366" i="2"/>
  <c r="L382" i="2"/>
  <c r="L398" i="2"/>
  <c r="L414" i="2"/>
  <c r="L430" i="2"/>
  <c r="L446" i="2"/>
  <c r="L462" i="2"/>
  <c r="L478" i="2"/>
  <c r="L494" i="2"/>
  <c r="L510" i="2"/>
  <c r="L526" i="2"/>
  <c r="L542" i="2"/>
  <c r="L558" i="2"/>
  <c r="L574" i="2"/>
  <c r="L590" i="2"/>
  <c r="L606" i="2"/>
  <c r="L622" i="2"/>
  <c r="L638" i="2"/>
  <c r="L654" i="2"/>
  <c r="L670" i="2"/>
  <c r="L686" i="2"/>
  <c r="L702" i="2"/>
  <c r="L718" i="2"/>
  <c r="L734" i="2"/>
  <c r="L750" i="2"/>
  <c r="L766" i="2"/>
  <c r="L770" i="2"/>
  <c r="L774" i="2"/>
  <c r="L778" i="2"/>
  <c r="L782" i="2"/>
  <c r="L786" i="2"/>
  <c r="L790" i="2"/>
  <c r="L794" i="2"/>
  <c r="L798" i="2"/>
  <c r="L802" i="2"/>
  <c r="L806" i="2"/>
  <c r="L810" i="2"/>
  <c r="L814" i="2"/>
  <c r="L818" i="2"/>
  <c r="L822" i="2"/>
  <c r="L826" i="2"/>
  <c r="L830" i="2"/>
  <c r="L834" i="2"/>
  <c r="L838" i="2"/>
  <c r="L842" i="2"/>
  <c r="L846" i="2"/>
  <c r="L850" i="2"/>
  <c r="L854" i="2"/>
  <c r="L858" i="2"/>
  <c r="L862" i="2"/>
  <c r="L866" i="2"/>
  <c r="L870" i="2"/>
  <c r="L874" i="2"/>
  <c r="L878" i="2"/>
  <c r="L882" i="2"/>
  <c r="L886" i="2"/>
  <c r="L890" i="2"/>
  <c r="L894" i="2"/>
  <c r="L898" i="2"/>
  <c r="L902" i="2"/>
  <c r="L906" i="2"/>
  <c r="L910" i="2"/>
  <c r="L914" i="2"/>
  <c r="L918" i="2"/>
  <c r="L922" i="2"/>
  <c r="L926" i="2"/>
  <c r="L930" i="2"/>
  <c r="L934" i="2"/>
  <c r="L938" i="2"/>
  <c r="L942" i="2"/>
  <c r="L946" i="2"/>
  <c r="L950" i="2"/>
  <c r="L954" i="2"/>
  <c r="L958" i="2"/>
  <c r="L962" i="2"/>
  <c r="L966" i="2"/>
  <c r="L970" i="2"/>
  <c r="L974" i="2"/>
  <c r="L978" i="2"/>
  <c r="L982" i="2"/>
  <c r="L986" i="2"/>
  <c r="L990" i="2"/>
  <c r="L994" i="2"/>
  <c r="L998" i="2"/>
  <c r="L1002" i="2"/>
  <c r="L1006" i="2"/>
  <c r="L1010" i="2"/>
  <c r="L1014" i="2"/>
  <c r="L1018" i="2"/>
  <c r="L1022" i="2"/>
  <c r="L1026" i="2"/>
  <c r="L1030" i="2"/>
  <c r="L1034" i="2"/>
  <c r="L1038" i="2"/>
  <c r="L1042" i="2"/>
  <c r="L1046" i="2"/>
  <c r="L1050" i="2"/>
  <c r="L1054" i="2"/>
  <c r="L1058" i="2"/>
  <c r="L1062" i="2"/>
  <c r="L1066" i="2"/>
  <c r="L1070" i="2"/>
  <c r="L1074" i="2"/>
  <c r="L1078" i="2"/>
  <c r="L1082" i="2"/>
  <c r="L1086" i="2"/>
  <c r="L1090" i="2"/>
  <c r="L1094" i="2"/>
  <c r="L1098" i="2"/>
  <c r="L1102" i="2"/>
  <c r="L1106" i="2"/>
  <c r="L1110" i="2"/>
  <c r="L1114" i="2"/>
  <c r="L1118" i="2"/>
  <c r="L1122" i="2"/>
  <c r="L1126" i="2"/>
  <c r="L1130" i="2"/>
  <c r="L1134" i="2"/>
  <c r="L1138" i="2"/>
  <c r="L1142" i="2"/>
  <c r="L1146" i="2"/>
  <c r="L1150" i="2"/>
  <c r="L1154" i="2"/>
  <c r="L1158" i="2"/>
  <c r="L1162" i="2"/>
  <c r="L1166" i="2"/>
  <c r="L1170" i="2"/>
  <c r="L1174" i="2"/>
  <c r="L1178" i="2"/>
  <c r="L1182" i="2"/>
  <c r="L1186" i="2"/>
  <c r="L1190" i="2"/>
  <c r="L1194" i="2"/>
  <c r="L1198" i="2"/>
  <c r="L1202" i="2"/>
  <c r="L1206" i="2"/>
  <c r="L1210" i="2"/>
  <c r="L1214" i="2"/>
  <c r="L1218" i="2"/>
  <c r="L1222" i="2"/>
  <c r="L1226" i="2"/>
  <c r="L1230" i="2"/>
  <c r="L1234" i="2"/>
  <c r="L1238" i="2"/>
  <c r="L1242" i="2"/>
  <c r="L1246" i="2"/>
  <c r="L1250" i="2"/>
  <c r="L1254" i="2"/>
  <c r="L1258" i="2"/>
  <c r="L1262" i="2"/>
  <c r="L1266" i="2"/>
  <c r="L1270" i="2"/>
  <c r="L1274" i="2"/>
  <c r="L1278" i="2"/>
  <c r="L1282" i="2"/>
  <c r="L1286" i="2"/>
  <c r="L1290" i="2"/>
  <c r="L1294" i="2"/>
  <c r="L1298" i="2"/>
  <c r="L1302" i="2"/>
  <c r="L1306" i="2"/>
  <c r="L1310" i="2"/>
  <c r="L1314" i="2"/>
  <c r="L1318" i="2"/>
  <c r="L1322" i="2"/>
  <c r="L1326" i="2"/>
  <c r="L1330" i="2"/>
  <c r="L1334" i="2"/>
  <c r="L1338" i="2"/>
  <c r="L1342" i="2"/>
  <c r="L1346" i="2"/>
  <c r="L1350" i="2"/>
  <c r="L1354" i="2"/>
  <c r="L1358" i="2"/>
  <c r="L1362" i="2"/>
  <c r="L1366" i="2"/>
  <c r="L1370" i="2"/>
  <c r="L1374" i="2"/>
  <c r="L1378" i="2"/>
  <c r="L1382" i="2"/>
  <c r="L1386" i="2"/>
  <c r="L1390" i="2"/>
  <c r="L1394" i="2"/>
  <c r="L1398" i="2"/>
  <c r="L1402" i="2"/>
  <c r="L1406" i="2"/>
  <c r="L1410" i="2"/>
  <c r="L1414" i="2"/>
  <c r="L1418" i="2"/>
  <c r="L1422" i="2"/>
  <c r="L1426" i="2"/>
  <c r="L1430" i="2"/>
  <c r="L1434" i="2"/>
  <c r="L1438" i="2"/>
  <c r="L1442" i="2"/>
  <c r="L1446" i="2"/>
  <c r="L1450" i="2"/>
  <c r="L1454" i="2"/>
  <c r="L1458" i="2"/>
  <c r="L1462" i="2"/>
  <c r="L1466" i="2"/>
  <c r="L1470" i="2"/>
  <c r="L1474" i="2"/>
  <c r="L1478" i="2"/>
  <c r="L1482" i="2"/>
  <c r="L1486" i="2"/>
  <c r="L1490" i="2"/>
  <c r="L1494" i="2"/>
  <c r="L1498" i="2"/>
  <c r="L1502" i="2"/>
  <c r="L1506" i="2"/>
  <c r="L1510" i="2"/>
  <c r="L1514" i="2"/>
  <c r="L1518" i="2"/>
  <c r="L1522" i="2"/>
  <c r="L1526" i="2"/>
  <c r="L1530" i="2"/>
  <c r="L1534" i="2"/>
  <c r="L1538" i="2"/>
  <c r="L1542" i="2"/>
  <c r="L1546" i="2"/>
  <c r="L1550" i="2"/>
  <c r="L1554" i="2"/>
  <c r="L1558" i="2"/>
  <c r="L1562" i="2"/>
  <c r="L1566" i="2"/>
  <c r="L1570" i="2"/>
  <c r="L1574" i="2"/>
  <c r="L1578" i="2"/>
  <c r="L1582" i="2"/>
  <c r="L1586" i="2"/>
  <c r="L1590" i="2"/>
  <c r="L1594" i="2"/>
  <c r="L1598" i="2"/>
  <c r="L1602" i="2"/>
  <c r="L1606" i="2"/>
  <c r="L1610" i="2"/>
  <c r="L1614" i="2"/>
  <c r="L1618" i="2"/>
  <c r="G2" i="2" l="1"/>
  <c r="I2" i="2" s="1"/>
  <c r="G6" i="2"/>
  <c r="I6" i="2" s="1"/>
  <c r="G10" i="2"/>
  <c r="I10" i="2" s="1"/>
  <c r="G15" i="2"/>
  <c r="I15" i="2" s="1"/>
  <c r="G19" i="2"/>
  <c r="I19" i="2" s="1"/>
  <c r="G23" i="2"/>
  <c r="I23" i="2" s="1"/>
  <c r="G27" i="2"/>
  <c r="I27" i="2" s="1"/>
  <c r="G31" i="2"/>
  <c r="I31" i="2" s="1"/>
  <c r="G35" i="2"/>
  <c r="I35" i="2" s="1"/>
  <c r="G39" i="2"/>
  <c r="I39" i="2" s="1"/>
  <c r="G43" i="2"/>
  <c r="I43" i="2" s="1"/>
  <c r="G47" i="2"/>
  <c r="I47" i="2" s="1"/>
  <c r="G51" i="2"/>
  <c r="I51" i="2" s="1"/>
  <c r="G55" i="2"/>
  <c r="I55" i="2" s="1"/>
  <c r="G59" i="2"/>
  <c r="I59" i="2" s="1"/>
  <c r="G63" i="2"/>
  <c r="I63" i="2" s="1"/>
  <c r="G67" i="2"/>
  <c r="I67" i="2" s="1"/>
  <c r="G71" i="2"/>
  <c r="I71" i="2" s="1"/>
  <c r="G75" i="2"/>
  <c r="I75" i="2" s="1"/>
  <c r="G79" i="2"/>
  <c r="I79" i="2" s="1"/>
  <c r="G83" i="2"/>
  <c r="I83" i="2" s="1"/>
  <c r="G87" i="2"/>
  <c r="I87" i="2" s="1"/>
  <c r="G91" i="2"/>
  <c r="I91" i="2" s="1"/>
  <c r="G95" i="2"/>
  <c r="I95" i="2" s="1"/>
  <c r="G99" i="2"/>
  <c r="I99" i="2" s="1"/>
  <c r="G103" i="2"/>
  <c r="I103" i="2" s="1"/>
  <c r="G107" i="2"/>
  <c r="I107" i="2" s="1"/>
  <c r="G111" i="2"/>
  <c r="I111" i="2" s="1"/>
  <c r="G115" i="2"/>
  <c r="I115" i="2" s="1"/>
  <c r="G119" i="2"/>
  <c r="I119" i="2" s="1"/>
  <c r="G123" i="2"/>
  <c r="I123" i="2" s="1"/>
  <c r="G127" i="2"/>
  <c r="I127" i="2" s="1"/>
  <c r="G131" i="2"/>
  <c r="I131" i="2" s="1"/>
  <c r="G135" i="2"/>
  <c r="I135" i="2" s="1"/>
  <c r="G139" i="2"/>
  <c r="I139" i="2" s="1"/>
  <c r="G143" i="2"/>
  <c r="I143" i="2" s="1"/>
  <c r="G147" i="2"/>
  <c r="I147" i="2" s="1"/>
  <c r="G151" i="2"/>
  <c r="I151" i="2" s="1"/>
  <c r="G155" i="2"/>
  <c r="I155" i="2" s="1"/>
  <c r="G159" i="2"/>
  <c r="I159" i="2" s="1"/>
  <c r="G163" i="2"/>
  <c r="I163" i="2" s="1"/>
  <c r="G167" i="2"/>
  <c r="I167" i="2" s="1"/>
  <c r="G171" i="2"/>
  <c r="I171" i="2" s="1"/>
  <c r="G175" i="2"/>
  <c r="I175" i="2" s="1"/>
  <c r="G179" i="2"/>
  <c r="I179" i="2" s="1"/>
  <c r="G183" i="2"/>
  <c r="I183" i="2" s="1"/>
  <c r="G187" i="2"/>
  <c r="I187" i="2" s="1"/>
  <c r="G191" i="2"/>
  <c r="I191" i="2" s="1"/>
  <c r="G195" i="2"/>
  <c r="I195" i="2" s="1"/>
  <c r="G199" i="2"/>
  <c r="I199" i="2" s="1"/>
  <c r="G203" i="2"/>
  <c r="I203" i="2" s="1"/>
  <c r="G207" i="2"/>
  <c r="I207" i="2" s="1"/>
  <c r="G211" i="2"/>
  <c r="I211" i="2" s="1"/>
  <c r="G215" i="2"/>
  <c r="I215" i="2" s="1"/>
  <c r="G219" i="2"/>
  <c r="I219" i="2" s="1"/>
  <c r="G223" i="2"/>
  <c r="I223" i="2" s="1"/>
  <c r="G227" i="2"/>
  <c r="I227" i="2" s="1"/>
  <c r="G231" i="2"/>
  <c r="I231" i="2" s="1"/>
  <c r="G235" i="2"/>
  <c r="I235" i="2" s="1"/>
  <c r="G239" i="2"/>
  <c r="I239" i="2" s="1"/>
  <c r="G243" i="2"/>
  <c r="I243" i="2" s="1"/>
  <c r="G247" i="2"/>
  <c r="I247" i="2" s="1"/>
  <c r="G251" i="2"/>
  <c r="I251" i="2" s="1"/>
  <c r="G255" i="2"/>
  <c r="I255" i="2" s="1"/>
  <c r="G259" i="2"/>
  <c r="I259" i="2" s="1"/>
  <c r="G263" i="2"/>
  <c r="I263" i="2" s="1"/>
  <c r="G267" i="2"/>
  <c r="I267" i="2" s="1"/>
  <c r="G271" i="2"/>
  <c r="I271" i="2" s="1"/>
  <c r="G275" i="2"/>
  <c r="I275" i="2" s="1"/>
  <c r="G279" i="2"/>
  <c r="I279" i="2" s="1"/>
  <c r="G283" i="2"/>
  <c r="I283" i="2" s="1"/>
  <c r="G287" i="2"/>
  <c r="I287" i="2" s="1"/>
  <c r="G291" i="2"/>
  <c r="I291" i="2" s="1"/>
  <c r="G295" i="2"/>
  <c r="I295" i="2" s="1"/>
  <c r="G299" i="2"/>
  <c r="I299" i="2" s="1"/>
  <c r="G303" i="2"/>
  <c r="I303" i="2" s="1"/>
  <c r="G307" i="2"/>
  <c r="I307" i="2" s="1"/>
  <c r="G311" i="2"/>
  <c r="I311" i="2" s="1"/>
  <c r="G315" i="2"/>
  <c r="I315" i="2" s="1"/>
  <c r="G319" i="2"/>
  <c r="I319" i="2" s="1"/>
  <c r="G323" i="2"/>
  <c r="I323" i="2" s="1"/>
  <c r="G327" i="2"/>
  <c r="I327" i="2" s="1"/>
  <c r="G331" i="2"/>
  <c r="I331" i="2" s="1"/>
  <c r="G335" i="2"/>
  <c r="I335" i="2" s="1"/>
  <c r="G339" i="2"/>
  <c r="I339" i="2" s="1"/>
  <c r="G343" i="2"/>
  <c r="I343" i="2" s="1"/>
  <c r="G11" i="2"/>
  <c r="I11" i="2" s="1"/>
  <c r="G7" i="2"/>
  <c r="I7" i="2" s="1"/>
  <c r="G12" i="2"/>
  <c r="I12" i="2" s="1"/>
  <c r="G16" i="2"/>
  <c r="I16" i="2" s="1"/>
  <c r="G20" i="2"/>
  <c r="I20" i="2" s="1"/>
  <c r="G24" i="2"/>
  <c r="I24" i="2" s="1"/>
  <c r="G28" i="2"/>
  <c r="I28" i="2" s="1"/>
  <c r="G32" i="2"/>
  <c r="I32" i="2" s="1"/>
  <c r="G36" i="2"/>
  <c r="I36" i="2" s="1"/>
  <c r="G40" i="2"/>
  <c r="I40" i="2" s="1"/>
  <c r="G44" i="2"/>
  <c r="I44" i="2" s="1"/>
  <c r="G48" i="2"/>
  <c r="I48" i="2" s="1"/>
  <c r="G52" i="2"/>
  <c r="I52" i="2" s="1"/>
  <c r="G56" i="2"/>
  <c r="I56" i="2" s="1"/>
  <c r="G60" i="2"/>
  <c r="I60" i="2" s="1"/>
  <c r="G64" i="2"/>
  <c r="I64" i="2" s="1"/>
  <c r="G68" i="2"/>
  <c r="I68" i="2" s="1"/>
  <c r="G72" i="2"/>
  <c r="I72" i="2" s="1"/>
  <c r="G76" i="2"/>
  <c r="I76" i="2" s="1"/>
  <c r="G80" i="2"/>
  <c r="I80" i="2" s="1"/>
  <c r="G84" i="2"/>
  <c r="I84" i="2" s="1"/>
  <c r="G88" i="2"/>
  <c r="I88" i="2" s="1"/>
  <c r="G92" i="2"/>
  <c r="I92" i="2" s="1"/>
  <c r="G96" i="2"/>
  <c r="I96" i="2" s="1"/>
  <c r="G100" i="2"/>
  <c r="I100" i="2" s="1"/>
  <c r="G104" i="2"/>
  <c r="I104" i="2" s="1"/>
  <c r="G108" i="2"/>
  <c r="I108" i="2" s="1"/>
  <c r="G112" i="2"/>
  <c r="I112" i="2" s="1"/>
  <c r="G116" i="2"/>
  <c r="I116" i="2" s="1"/>
  <c r="G120" i="2"/>
  <c r="I120" i="2" s="1"/>
  <c r="G124" i="2"/>
  <c r="I124" i="2" s="1"/>
  <c r="G128" i="2"/>
  <c r="I128" i="2" s="1"/>
  <c r="G132" i="2"/>
  <c r="I132" i="2" s="1"/>
  <c r="G136" i="2"/>
  <c r="I136" i="2" s="1"/>
  <c r="G140" i="2"/>
  <c r="I140" i="2" s="1"/>
  <c r="G144" i="2"/>
  <c r="I144" i="2" s="1"/>
  <c r="G148" i="2"/>
  <c r="I148" i="2" s="1"/>
  <c r="G152" i="2"/>
  <c r="I152" i="2" s="1"/>
  <c r="G156" i="2"/>
  <c r="I156" i="2" s="1"/>
  <c r="G160" i="2"/>
  <c r="I160" i="2" s="1"/>
  <c r="G164" i="2"/>
  <c r="I164" i="2" s="1"/>
  <c r="G168" i="2"/>
  <c r="I168" i="2" s="1"/>
  <c r="G172" i="2"/>
  <c r="I172" i="2" s="1"/>
  <c r="G176" i="2"/>
  <c r="I176" i="2" s="1"/>
  <c r="G180" i="2"/>
  <c r="I180" i="2" s="1"/>
  <c r="G184" i="2"/>
  <c r="I184" i="2" s="1"/>
  <c r="G188" i="2"/>
  <c r="I188" i="2" s="1"/>
  <c r="G192" i="2"/>
  <c r="I192" i="2" s="1"/>
  <c r="G196" i="2"/>
  <c r="I196" i="2" s="1"/>
  <c r="G200" i="2"/>
  <c r="I200" i="2" s="1"/>
  <c r="G204" i="2"/>
  <c r="I204" i="2" s="1"/>
  <c r="G208" i="2"/>
  <c r="I208" i="2" s="1"/>
  <c r="G212" i="2"/>
  <c r="I212" i="2" s="1"/>
  <c r="G216" i="2"/>
  <c r="I216" i="2" s="1"/>
  <c r="G220" i="2"/>
  <c r="I220" i="2" s="1"/>
  <c r="G224" i="2"/>
  <c r="I224" i="2" s="1"/>
  <c r="G228" i="2"/>
  <c r="I228" i="2" s="1"/>
  <c r="G232" i="2"/>
  <c r="I232" i="2" s="1"/>
  <c r="G236" i="2"/>
  <c r="I236" i="2" s="1"/>
  <c r="G240" i="2"/>
  <c r="I240" i="2" s="1"/>
  <c r="G244" i="2"/>
  <c r="I244" i="2" s="1"/>
  <c r="G248" i="2"/>
  <c r="I248" i="2" s="1"/>
  <c r="G252" i="2"/>
  <c r="I252" i="2" s="1"/>
  <c r="G256" i="2"/>
  <c r="I256" i="2" s="1"/>
  <c r="G260" i="2"/>
  <c r="I260" i="2" s="1"/>
  <c r="G264" i="2"/>
  <c r="I264" i="2" s="1"/>
  <c r="G268" i="2"/>
  <c r="I268" i="2" s="1"/>
  <c r="G272" i="2"/>
  <c r="I272" i="2" s="1"/>
  <c r="G276" i="2"/>
  <c r="I276" i="2" s="1"/>
  <c r="G280" i="2"/>
  <c r="I280" i="2" s="1"/>
  <c r="G284" i="2"/>
  <c r="I284" i="2" s="1"/>
  <c r="G288" i="2"/>
  <c r="I288" i="2" s="1"/>
  <c r="G292" i="2"/>
  <c r="I292" i="2" s="1"/>
  <c r="G296" i="2"/>
  <c r="I296" i="2" s="1"/>
  <c r="G300" i="2"/>
  <c r="I300" i="2" s="1"/>
  <c r="G304" i="2"/>
  <c r="I304" i="2" s="1"/>
  <c r="G308" i="2"/>
  <c r="I308" i="2" s="1"/>
  <c r="G312" i="2"/>
  <c r="I312" i="2" s="1"/>
  <c r="G316" i="2"/>
  <c r="I316" i="2" s="1"/>
  <c r="G320" i="2"/>
  <c r="I320" i="2" s="1"/>
  <c r="G324" i="2"/>
  <c r="I324" i="2" s="1"/>
  <c r="G328" i="2"/>
  <c r="I328" i="2" s="1"/>
  <c r="G332" i="2"/>
  <c r="I332" i="2" s="1"/>
  <c r="G336" i="2"/>
  <c r="I336" i="2" s="1"/>
  <c r="G340" i="2"/>
  <c r="I340" i="2" s="1"/>
  <c r="G4" i="2"/>
  <c r="I4" i="2" s="1"/>
  <c r="G8" i="2"/>
  <c r="I8" i="2" s="1"/>
  <c r="G13" i="2"/>
  <c r="I13" i="2" s="1"/>
  <c r="G17" i="2"/>
  <c r="I17" i="2" s="1"/>
  <c r="G21" i="2"/>
  <c r="I21" i="2" s="1"/>
  <c r="G25" i="2"/>
  <c r="G29" i="2"/>
  <c r="I29" i="2" s="1"/>
  <c r="G33" i="2"/>
  <c r="I33" i="2" s="1"/>
  <c r="G37" i="2"/>
  <c r="G41" i="2"/>
  <c r="I41" i="2" s="1"/>
  <c r="G45" i="2"/>
  <c r="I45" i="2" s="1"/>
  <c r="G49" i="2"/>
  <c r="I49" i="2" s="1"/>
  <c r="G53" i="2"/>
  <c r="I53" i="2" s="1"/>
  <c r="G57" i="2"/>
  <c r="G61" i="2"/>
  <c r="I61" i="2" s="1"/>
  <c r="G65" i="2"/>
  <c r="I65" i="2" s="1"/>
  <c r="G69" i="2"/>
  <c r="G73" i="2"/>
  <c r="I73" i="2" s="1"/>
  <c r="G77" i="2"/>
  <c r="I77" i="2" s="1"/>
  <c r="G81" i="2"/>
  <c r="I81" i="2" s="1"/>
  <c r="G85" i="2"/>
  <c r="I85" i="2" s="1"/>
  <c r="G89" i="2"/>
  <c r="G93" i="2"/>
  <c r="I93" i="2" s="1"/>
  <c r="G97" i="2"/>
  <c r="I97" i="2" s="1"/>
  <c r="G101" i="2"/>
  <c r="G105" i="2"/>
  <c r="I105" i="2" s="1"/>
  <c r="G109" i="2"/>
  <c r="I109" i="2" s="1"/>
  <c r="G113" i="2"/>
  <c r="I113" i="2" s="1"/>
  <c r="G117" i="2"/>
  <c r="G121" i="2"/>
  <c r="I121" i="2" s="1"/>
  <c r="G125" i="2"/>
  <c r="I125" i="2" s="1"/>
  <c r="G129" i="2"/>
  <c r="G133" i="2"/>
  <c r="G137" i="2"/>
  <c r="I137" i="2" s="1"/>
  <c r="G141" i="2"/>
  <c r="I141" i="2" s="1"/>
  <c r="G145" i="2"/>
  <c r="I145" i="2" s="1"/>
  <c r="G149" i="2"/>
  <c r="G153" i="2"/>
  <c r="I153" i="2" s="1"/>
  <c r="G157" i="2"/>
  <c r="I157" i="2" s="1"/>
  <c r="G161" i="2"/>
  <c r="I161" i="2" s="1"/>
  <c r="G165" i="2"/>
  <c r="G169" i="2"/>
  <c r="I169" i="2" s="1"/>
  <c r="G173" i="2"/>
  <c r="I173" i="2" s="1"/>
  <c r="G177" i="2"/>
  <c r="I177" i="2" s="1"/>
  <c r="G181" i="2"/>
  <c r="G185" i="2"/>
  <c r="I185" i="2" s="1"/>
  <c r="G189" i="2"/>
  <c r="I189" i="2" s="1"/>
  <c r="G193" i="2"/>
  <c r="I193" i="2" s="1"/>
  <c r="G197" i="2"/>
  <c r="G201" i="2"/>
  <c r="I201" i="2" s="1"/>
  <c r="G205" i="2"/>
  <c r="I205" i="2" s="1"/>
  <c r="G209" i="2"/>
  <c r="I209" i="2" s="1"/>
  <c r="G213" i="2"/>
  <c r="G217" i="2"/>
  <c r="I217" i="2" s="1"/>
  <c r="G221" i="2"/>
  <c r="I221" i="2" s="1"/>
  <c r="G225" i="2"/>
  <c r="I225" i="2" s="1"/>
  <c r="G229" i="2"/>
  <c r="G233" i="2"/>
  <c r="I233" i="2" s="1"/>
  <c r="G237" i="2"/>
  <c r="I237" i="2" s="1"/>
  <c r="G241" i="2"/>
  <c r="I241" i="2" s="1"/>
  <c r="G245" i="2"/>
  <c r="G249" i="2"/>
  <c r="I249" i="2" s="1"/>
  <c r="G253" i="2"/>
  <c r="I253" i="2" s="1"/>
  <c r="G257" i="2"/>
  <c r="I257" i="2" s="1"/>
  <c r="G261" i="2"/>
  <c r="G265" i="2"/>
  <c r="I265" i="2" s="1"/>
  <c r="G269" i="2"/>
  <c r="I269" i="2" s="1"/>
  <c r="G273" i="2"/>
  <c r="I273" i="2" s="1"/>
  <c r="G277" i="2"/>
  <c r="G281" i="2"/>
  <c r="I281" i="2" s="1"/>
  <c r="G285" i="2"/>
  <c r="I285" i="2" s="1"/>
  <c r="G289" i="2"/>
  <c r="I289" i="2" s="1"/>
  <c r="G293" i="2"/>
  <c r="G297" i="2"/>
  <c r="I297" i="2" s="1"/>
  <c r="G301" i="2"/>
  <c r="I301" i="2" s="1"/>
  <c r="G305" i="2"/>
  <c r="I305" i="2" s="1"/>
  <c r="G309" i="2"/>
  <c r="I309" i="2" s="1"/>
  <c r="G313" i="2"/>
  <c r="I313" i="2" s="1"/>
  <c r="G317" i="2"/>
  <c r="I317" i="2" s="1"/>
  <c r="G321" i="2"/>
  <c r="I321" i="2" s="1"/>
  <c r="G325" i="2"/>
  <c r="I325" i="2" s="1"/>
  <c r="G329" i="2"/>
  <c r="I329" i="2" s="1"/>
  <c r="G333" i="2"/>
  <c r="I333" i="2" s="1"/>
  <c r="G337" i="2"/>
  <c r="I337" i="2" s="1"/>
  <c r="G341" i="2"/>
  <c r="I341" i="2" s="1"/>
  <c r="G5" i="2"/>
  <c r="G9" i="2"/>
  <c r="I9" i="2" s="1"/>
  <c r="G14" i="2"/>
  <c r="I14" i="2" s="1"/>
  <c r="G18" i="2"/>
  <c r="I18" i="2" s="1"/>
  <c r="G22" i="2"/>
  <c r="I22" i="2" s="1"/>
  <c r="G26" i="2"/>
  <c r="I26" i="2" s="1"/>
  <c r="G30" i="2"/>
  <c r="I30" i="2" s="1"/>
  <c r="G34" i="2"/>
  <c r="I34" i="2" s="1"/>
  <c r="G38" i="2"/>
  <c r="I38" i="2" s="1"/>
  <c r="G42" i="2"/>
  <c r="I42" i="2" s="1"/>
  <c r="G46" i="2"/>
  <c r="I46" i="2" s="1"/>
  <c r="G50" i="2"/>
  <c r="I50" i="2" s="1"/>
  <c r="G54" i="2"/>
  <c r="I54" i="2" s="1"/>
  <c r="G58" i="2"/>
  <c r="I58" i="2" s="1"/>
  <c r="G62" i="2"/>
  <c r="I62" i="2" s="1"/>
  <c r="G66" i="2"/>
  <c r="I66" i="2" s="1"/>
  <c r="G70" i="2"/>
  <c r="I70" i="2" s="1"/>
  <c r="G74" i="2"/>
  <c r="I74" i="2" s="1"/>
  <c r="G78" i="2"/>
  <c r="I78" i="2" s="1"/>
  <c r="G82" i="2"/>
  <c r="I82" i="2" s="1"/>
  <c r="G86" i="2"/>
  <c r="I86" i="2" s="1"/>
  <c r="G90" i="2"/>
  <c r="I90" i="2" s="1"/>
  <c r="G94" i="2"/>
  <c r="I94" i="2" s="1"/>
  <c r="G98" i="2"/>
  <c r="I98" i="2" s="1"/>
  <c r="G102" i="2"/>
  <c r="I102" i="2" s="1"/>
  <c r="G106" i="2"/>
  <c r="I106" i="2" s="1"/>
  <c r="G110" i="2"/>
  <c r="I110" i="2" s="1"/>
  <c r="G114" i="2"/>
  <c r="I114" i="2" s="1"/>
  <c r="G118" i="2"/>
  <c r="I118" i="2" s="1"/>
  <c r="G122" i="2"/>
  <c r="I122" i="2" s="1"/>
  <c r="G126" i="2"/>
  <c r="I126" i="2" s="1"/>
  <c r="G130" i="2"/>
  <c r="I130" i="2" s="1"/>
  <c r="G134" i="2"/>
  <c r="I134" i="2" s="1"/>
  <c r="G138" i="2"/>
  <c r="I138" i="2" s="1"/>
  <c r="G142" i="2"/>
  <c r="I142" i="2" s="1"/>
  <c r="G146" i="2"/>
  <c r="I146" i="2" s="1"/>
  <c r="G150" i="2"/>
  <c r="I150" i="2" s="1"/>
  <c r="G154" i="2"/>
  <c r="I154" i="2" s="1"/>
  <c r="G158" i="2"/>
  <c r="I158" i="2" s="1"/>
  <c r="G162" i="2"/>
  <c r="I162" i="2" s="1"/>
  <c r="G166" i="2"/>
  <c r="I166" i="2" s="1"/>
  <c r="G170" i="2"/>
  <c r="I170" i="2" s="1"/>
  <c r="G174" i="2"/>
  <c r="I174" i="2" s="1"/>
  <c r="G178" i="2"/>
  <c r="I178" i="2" s="1"/>
  <c r="G182" i="2"/>
  <c r="I182" i="2" s="1"/>
  <c r="G186" i="2"/>
  <c r="I186" i="2" s="1"/>
  <c r="G190" i="2"/>
  <c r="I190" i="2" s="1"/>
  <c r="G194" i="2"/>
  <c r="I194" i="2" s="1"/>
  <c r="G198" i="2"/>
  <c r="I198" i="2" s="1"/>
  <c r="G202" i="2"/>
  <c r="I202" i="2" s="1"/>
  <c r="G206" i="2"/>
  <c r="I206" i="2" s="1"/>
  <c r="G210" i="2"/>
  <c r="I210" i="2" s="1"/>
  <c r="G214" i="2"/>
  <c r="I214" i="2" s="1"/>
  <c r="G218" i="2"/>
  <c r="I218" i="2" s="1"/>
  <c r="G222" i="2"/>
  <c r="I222" i="2" s="1"/>
  <c r="G226" i="2"/>
  <c r="I226" i="2" s="1"/>
  <c r="G230" i="2"/>
  <c r="I230" i="2" s="1"/>
  <c r="G234" i="2"/>
  <c r="I234" i="2" s="1"/>
  <c r="G238" i="2"/>
  <c r="I238" i="2" s="1"/>
  <c r="G242" i="2"/>
  <c r="I242" i="2" s="1"/>
  <c r="G246" i="2"/>
  <c r="I246" i="2" s="1"/>
  <c r="G250" i="2"/>
  <c r="I250" i="2" s="1"/>
  <c r="G254" i="2"/>
  <c r="I254" i="2" s="1"/>
  <c r="G258" i="2"/>
  <c r="I258" i="2" s="1"/>
  <c r="G262" i="2"/>
  <c r="I262" i="2" s="1"/>
  <c r="G266" i="2"/>
  <c r="I266" i="2" s="1"/>
  <c r="G270" i="2"/>
  <c r="I270" i="2" s="1"/>
  <c r="G274" i="2"/>
  <c r="I274" i="2" s="1"/>
  <c r="G278" i="2"/>
  <c r="I278" i="2" s="1"/>
  <c r="G282" i="2"/>
  <c r="I282" i="2" s="1"/>
  <c r="G286" i="2"/>
  <c r="I286" i="2" s="1"/>
  <c r="G290" i="2"/>
  <c r="I290" i="2" s="1"/>
  <c r="G294" i="2"/>
  <c r="I294" i="2" s="1"/>
  <c r="G298" i="2"/>
  <c r="I298" i="2" s="1"/>
  <c r="G302" i="2"/>
  <c r="I302" i="2" s="1"/>
  <c r="G306" i="2"/>
  <c r="I306" i="2" s="1"/>
  <c r="G310" i="2"/>
  <c r="I310" i="2" s="1"/>
  <c r="G314" i="2"/>
  <c r="I314" i="2" s="1"/>
  <c r="G318" i="2"/>
  <c r="I318" i="2" s="1"/>
  <c r="G322" i="2"/>
  <c r="I322" i="2" s="1"/>
  <c r="G326" i="2"/>
  <c r="I326" i="2" s="1"/>
  <c r="G330" i="2"/>
  <c r="I330" i="2" s="1"/>
  <c r="G334" i="2"/>
  <c r="I334" i="2" s="1"/>
  <c r="G338" i="2"/>
  <c r="I338" i="2" s="1"/>
  <c r="G342" i="2"/>
  <c r="I342" i="2" s="1"/>
  <c r="G347" i="2"/>
  <c r="I347" i="2" s="1"/>
  <c r="G351" i="2"/>
  <c r="I351" i="2" s="1"/>
  <c r="G355" i="2"/>
  <c r="I355" i="2" s="1"/>
  <c r="G359" i="2"/>
  <c r="I359" i="2" s="1"/>
  <c r="G363" i="2"/>
  <c r="I363" i="2" s="1"/>
  <c r="G367" i="2"/>
  <c r="I367" i="2" s="1"/>
  <c r="G371" i="2"/>
  <c r="I371" i="2" s="1"/>
  <c r="G375" i="2"/>
  <c r="I375" i="2" s="1"/>
  <c r="G379" i="2"/>
  <c r="I379" i="2" s="1"/>
  <c r="G383" i="2"/>
  <c r="I383" i="2" s="1"/>
  <c r="G387" i="2"/>
  <c r="I387" i="2" s="1"/>
  <c r="G391" i="2"/>
  <c r="I391" i="2" s="1"/>
  <c r="G395" i="2"/>
  <c r="I395" i="2" s="1"/>
  <c r="G399" i="2"/>
  <c r="I399" i="2" s="1"/>
  <c r="G403" i="2"/>
  <c r="I403" i="2" s="1"/>
  <c r="G407" i="2"/>
  <c r="I407" i="2" s="1"/>
  <c r="G411" i="2"/>
  <c r="I411" i="2" s="1"/>
  <c r="G415" i="2"/>
  <c r="I415" i="2" s="1"/>
  <c r="G419" i="2"/>
  <c r="I419" i="2" s="1"/>
  <c r="G423" i="2"/>
  <c r="I423" i="2" s="1"/>
  <c r="G427" i="2"/>
  <c r="I427" i="2" s="1"/>
  <c r="G431" i="2"/>
  <c r="I431" i="2" s="1"/>
  <c r="G435" i="2"/>
  <c r="I435" i="2" s="1"/>
  <c r="G439" i="2"/>
  <c r="I439" i="2" s="1"/>
  <c r="G443" i="2"/>
  <c r="I443" i="2" s="1"/>
  <c r="G447" i="2"/>
  <c r="I447" i="2" s="1"/>
  <c r="G451" i="2"/>
  <c r="I451" i="2" s="1"/>
  <c r="G455" i="2"/>
  <c r="I455" i="2" s="1"/>
  <c r="G459" i="2"/>
  <c r="I459" i="2" s="1"/>
  <c r="G463" i="2"/>
  <c r="I463" i="2" s="1"/>
  <c r="G467" i="2"/>
  <c r="I467" i="2" s="1"/>
  <c r="G471" i="2"/>
  <c r="I471" i="2" s="1"/>
  <c r="G475" i="2"/>
  <c r="I475" i="2" s="1"/>
  <c r="G479" i="2"/>
  <c r="I479" i="2" s="1"/>
  <c r="G483" i="2"/>
  <c r="I483" i="2" s="1"/>
  <c r="G487" i="2"/>
  <c r="I487" i="2" s="1"/>
  <c r="G491" i="2"/>
  <c r="I491" i="2" s="1"/>
  <c r="G495" i="2"/>
  <c r="I495" i="2" s="1"/>
  <c r="G499" i="2"/>
  <c r="I499" i="2" s="1"/>
  <c r="G503" i="2"/>
  <c r="I503" i="2" s="1"/>
  <c r="G507" i="2"/>
  <c r="I507" i="2" s="1"/>
  <c r="G511" i="2"/>
  <c r="I511" i="2" s="1"/>
  <c r="G515" i="2"/>
  <c r="I515" i="2" s="1"/>
  <c r="G519" i="2"/>
  <c r="I519" i="2" s="1"/>
  <c r="G523" i="2"/>
  <c r="I523" i="2" s="1"/>
  <c r="G527" i="2"/>
  <c r="I527" i="2" s="1"/>
  <c r="G531" i="2"/>
  <c r="I531" i="2" s="1"/>
  <c r="G535" i="2"/>
  <c r="I535" i="2" s="1"/>
  <c r="G539" i="2"/>
  <c r="I539" i="2" s="1"/>
  <c r="G543" i="2"/>
  <c r="I543" i="2" s="1"/>
  <c r="G547" i="2"/>
  <c r="I547" i="2" s="1"/>
  <c r="G551" i="2"/>
  <c r="I551" i="2" s="1"/>
  <c r="G555" i="2"/>
  <c r="I555" i="2" s="1"/>
  <c r="G559" i="2"/>
  <c r="I559" i="2" s="1"/>
  <c r="G563" i="2"/>
  <c r="I563" i="2" s="1"/>
  <c r="G567" i="2"/>
  <c r="I567" i="2" s="1"/>
  <c r="G571" i="2"/>
  <c r="I571" i="2" s="1"/>
  <c r="G575" i="2"/>
  <c r="I575" i="2" s="1"/>
  <c r="G579" i="2"/>
  <c r="I579" i="2" s="1"/>
  <c r="G583" i="2"/>
  <c r="I583" i="2" s="1"/>
  <c r="G587" i="2"/>
  <c r="I587" i="2" s="1"/>
  <c r="G591" i="2"/>
  <c r="I591" i="2" s="1"/>
  <c r="G595" i="2"/>
  <c r="I595" i="2" s="1"/>
  <c r="G599" i="2"/>
  <c r="I599" i="2" s="1"/>
  <c r="G603" i="2"/>
  <c r="I603" i="2" s="1"/>
  <c r="G607" i="2"/>
  <c r="I607" i="2" s="1"/>
  <c r="G611" i="2"/>
  <c r="I611" i="2" s="1"/>
  <c r="G615" i="2"/>
  <c r="I615" i="2" s="1"/>
  <c r="G619" i="2"/>
  <c r="I619" i="2" s="1"/>
  <c r="G623" i="2"/>
  <c r="I623" i="2" s="1"/>
  <c r="G627" i="2"/>
  <c r="I627" i="2" s="1"/>
  <c r="G631" i="2"/>
  <c r="I631" i="2" s="1"/>
  <c r="G635" i="2"/>
  <c r="I635" i="2" s="1"/>
  <c r="G639" i="2"/>
  <c r="I639" i="2" s="1"/>
  <c r="G643" i="2"/>
  <c r="I643" i="2" s="1"/>
  <c r="G647" i="2"/>
  <c r="I647" i="2" s="1"/>
  <c r="G651" i="2"/>
  <c r="I651" i="2" s="1"/>
  <c r="G655" i="2"/>
  <c r="I655" i="2" s="1"/>
  <c r="G659" i="2"/>
  <c r="I659" i="2" s="1"/>
  <c r="G663" i="2"/>
  <c r="I663" i="2" s="1"/>
  <c r="G667" i="2"/>
  <c r="I667" i="2" s="1"/>
  <c r="G671" i="2"/>
  <c r="I671" i="2" s="1"/>
  <c r="G675" i="2"/>
  <c r="I675" i="2" s="1"/>
  <c r="G679" i="2"/>
  <c r="I679" i="2" s="1"/>
  <c r="G683" i="2"/>
  <c r="I683" i="2" s="1"/>
  <c r="G344" i="2"/>
  <c r="I344" i="2" s="1"/>
  <c r="G348" i="2"/>
  <c r="I348" i="2" s="1"/>
  <c r="G352" i="2"/>
  <c r="I352" i="2" s="1"/>
  <c r="G356" i="2"/>
  <c r="I356" i="2" s="1"/>
  <c r="G360" i="2"/>
  <c r="I360" i="2" s="1"/>
  <c r="G364" i="2"/>
  <c r="I364" i="2" s="1"/>
  <c r="G368" i="2"/>
  <c r="I368" i="2" s="1"/>
  <c r="G372" i="2"/>
  <c r="I372" i="2" s="1"/>
  <c r="G376" i="2"/>
  <c r="I376" i="2" s="1"/>
  <c r="G380" i="2"/>
  <c r="I380" i="2" s="1"/>
  <c r="G384" i="2"/>
  <c r="I384" i="2" s="1"/>
  <c r="G388" i="2"/>
  <c r="I388" i="2" s="1"/>
  <c r="G392" i="2"/>
  <c r="I392" i="2" s="1"/>
  <c r="G396" i="2"/>
  <c r="I396" i="2" s="1"/>
  <c r="G400" i="2"/>
  <c r="I400" i="2" s="1"/>
  <c r="G404" i="2"/>
  <c r="I404" i="2" s="1"/>
  <c r="G408" i="2"/>
  <c r="I408" i="2" s="1"/>
  <c r="G412" i="2"/>
  <c r="I412" i="2" s="1"/>
  <c r="G416" i="2"/>
  <c r="I416" i="2" s="1"/>
  <c r="G420" i="2"/>
  <c r="I420" i="2" s="1"/>
  <c r="G424" i="2"/>
  <c r="I424" i="2" s="1"/>
  <c r="G428" i="2"/>
  <c r="I428" i="2" s="1"/>
  <c r="G432" i="2"/>
  <c r="I432" i="2" s="1"/>
  <c r="G436" i="2"/>
  <c r="I436" i="2" s="1"/>
  <c r="G440" i="2"/>
  <c r="I440" i="2" s="1"/>
  <c r="G444" i="2"/>
  <c r="I444" i="2" s="1"/>
  <c r="G448" i="2"/>
  <c r="I448" i="2" s="1"/>
  <c r="G452" i="2"/>
  <c r="I452" i="2" s="1"/>
  <c r="G456" i="2"/>
  <c r="I456" i="2" s="1"/>
  <c r="G460" i="2"/>
  <c r="I460" i="2" s="1"/>
  <c r="G464" i="2"/>
  <c r="I464" i="2" s="1"/>
  <c r="G468" i="2"/>
  <c r="I468" i="2" s="1"/>
  <c r="G472" i="2"/>
  <c r="I472" i="2" s="1"/>
  <c r="G476" i="2"/>
  <c r="I476" i="2" s="1"/>
  <c r="G480" i="2"/>
  <c r="I480" i="2" s="1"/>
  <c r="G484" i="2"/>
  <c r="I484" i="2" s="1"/>
  <c r="G488" i="2"/>
  <c r="I488" i="2" s="1"/>
  <c r="G492" i="2"/>
  <c r="I492" i="2" s="1"/>
  <c r="G496" i="2"/>
  <c r="I496" i="2" s="1"/>
  <c r="G500" i="2"/>
  <c r="I500" i="2" s="1"/>
  <c r="G504" i="2"/>
  <c r="I504" i="2" s="1"/>
  <c r="G508" i="2"/>
  <c r="I508" i="2" s="1"/>
  <c r="G512" i="2"/>
  <c r="I512" i="2" s="1"/>
  <c r="G516" i="2"/>
  <c r="I516" i="2" s="1"/>
  <c r="G520" i="2"/>
  <c r="I520" i="2" s="1"/>
  <c r="G524" i="2"/>
  <c r="I524" i="2" s="1"/>
  <c r="G528" i="2"/>
  <c r="I528" i="2" s="1"/>
  <c r="G532" i="2"/>
  <c r="I532" i="2" s="1"/>
  <c r="G536" i="2"/>
  <c r="I536" i="2" s="1"/>
  <c r="G540" i="2"/>
  <c r="I540" i="2" s="1"/>
  <c r="G544" i="2"/>
  <c r="I544" i="2" s="1"/>
  <c r="G548" i="2"/>
  <c r="I548" i="2" s="1"/>
  <c r="G552" i="2"/>
  <c r="I552" i="2" s="1"/>
  <c r="G556" i="2"/>
  <c r="I556" i="2" s="1"/>
  <c r="G560" i="2"/>
  <c r="I560" i="2" s="1"/>
  <c r="G564" i="2"/>
  <c r="I564" i="2" s="1"/>
  <c r="G568" i="2"/>
  <c r="I568" i="2" s="1"/>
  <c r="G572" i="2"/>
  <c r="I572" i="2" s="1"/>
  <c r="G576" i="2"/>
  <c r="I576" i="2" s="1"/>
  <c r="G580" i="2"/>
  <c r="I580" i="2" s="1"/>
  <c r="G584" i="2"/>
  <c r="I584" i="2" s="1"/>
  <c r="G588" i="2"/>
  <c r="I588" i="2" s="1"/>
  <c r="G592" i="2"/>
  <c r="I592" i="2" s="1"/>
  <c r="G596" i="2"/>
  <c r="I596" i="2" s="1"/>
  <c r="G600" i="2"/>
  <c r="I600" i="2" s="1"/>
  <c r="G604" i="2"/>
  <c r="I604" i="2" s="1"/>
  <c r="G608" i="2"/>
  <c r="I608" i="2" s="1"/>
  <c r="G612" i="2"/>
  <c r="I612" i="2" s="1"/>
  <c r="G616" i="2"/>
  <c r="I616" i="2" s="1"/>
  <c r="G620" i="2"/>
  <c r="I620" i="2" s="1"/>
  <c r="G624" i="2"/>
  <c r="I624" i="2" s="1"/>
  <c r="G628" i="2"/>
  <c r="I628" i="2" s="1"/>
  <c r="G632" i="2"/>
  <c r="I632" i="2" s="1"/>
  <c r="G636" i="2"/>
  <c r="I636" i="2" s="1"/>
  <c r="G640" i="2"/>
  <c r="I640" i="2" s="1"/>
  <c r="G644" i="2"/>
  <c r="I644" i="2" s="1"/>
  <c r="G648" i="2"/>
  <c r="I648" i="2" s="1"/>
  <c r="G652" i="2"/>
  <c r="I652" i="2" s="1"/>
  <c r="G656" i="2"/>
  <c r="I656" i="2" s="1"/>
  <c r="G660" i="2"/>
  <c r="I660" i="2" s="1"/>
  <c r="G664" i="2"/>
  <c r="I664" i="2" s="1"/>
  <c r="G668" i="2"/>
  <c r="I668" i="2" s="1"/>
  <c r="G672" i="2"/>
  <c r="I672" i="2" s="1"/>
  <c r="G676" i="2"/>
  <c r="I676" i="2" s="1"/>
  <c r="G680" i="2"/>
  <c r="I680" i="2" s="1"/>
  <c r="G684" i="2"/>
  <c r="I684" i="2" s="1"/>
  <c r="G345" i="2"/>
  <c r="I345" i="2" s="1"/>
  <c r="G349" i="2"/>
  <c r="I349" i="2" s="1"/>
  <c r="G353" i="2"/>
  <c r="I353" i="2" s="1"/>
  <c r="G357" i="2"/>
  <c r="I357" i="2" s="1"/>
  <c r="G361" i="2"/>
  <c r="I361" i="2" s="1"/>
  <c r="G365" i="2"/>
  <c r="I365" i="2" s="1"/>
  <c r="G369" i="2"/>
  <c r="I369" i="2" s="1"/>
  <c r="G373" i="2"/>
  <c r="I373" i="2" s="1"/>
  <c r="G377" i="2"/>
  <c r="I377" i="2" s="1"/>
  <c r="G381" i="2"/>
  <c r="I381" i="2" s="1"/>
  <c r="G385" i="2"/>
  <c r="I385" i="2" s="1"/>
  <c r="G389" i="2"/>
  <c r="I389" i="2" s="1"/>
  <c r="G393" i="2"/>
  <c r="I393" i="2" s="1"/>
  <c r="G397" i="2"/>
  <c r="I397" i="2" s="1"/>
  <c r="G401" i="2"/>
  <c r="I401" i="2" s="1"/>
  <c r="G405" i="2"/>
  <c r="I405" i="2" s="1"/>
  <c r="G409" i="2"/>
  <c r="I409" i="2" s="1"/>
  <c r="G413" i="2"/>
  <c r="I413" i="2" s="1"/>
  <c r="G417" i="2"/>
  <c r="I417" i="2" s="1"/>
  <c r="G421" i="2"/>
  <c r="I421" i="2" s="1"/>
  <c r="G425" i="2"/>
  <c r="I425" i="2" s="1"/>
  <c r="G429" i="2"/>
  <c r="I429" i="2" s="1"/>
  <c r="G433" i="2"/>
  <c r="I433" i="2" s="1"/>
  <c r="G437" i="2"/>
  <c r="I437" i="2" s="1"/>
  <c r="G441" i="2"/>
  <c r="I441" i="2" s="1"/>
  <c r="G445" i="2"/>
  <c r="I445" i="2" s="1"/>
  <c r="G449" i="2"/>
  <c r="I449" i="2" s="1"/>
  <c r="G453" i="2"/>
  <c r="I453" i="2" s="1"/>
  <c r="G457" i="2"/>
  <c r="I457" i="2" s="1"/>
  <c r="G461" i="2"/>
  <c r="I461" i="2" s="1"/>
  <c r="G465" i="2"/>
  <c r="I465" i="2" s="1"/>
  <c r="G469" i="2"/>
  <c r="I469" i="2" s="1"/>
  <c r="G473" i="2"/>
  <c r="I473" i="2" s="1"/>
  <c r="G477" i="2"/>
  <c r="I477" i="2" s="1"/>
  <c r="G481" i="2"/>
  <c r="I481" i="2" s="1"/>
  <c r="G485" i="2"/>
  <c r="I485" i="2" s="1"/>
  <c r="G489" i="2"/>
  <c r="I489" i="2" s="1"/>
  <c r="G493" i="2"/>
  <c r="I493" i="2" s="1"/>
  <c r="G497" i="2"/>
  <c r="I497" i="2" s="1"/>
  <c r="G501" i="2"/>
  <c r="I501" i="2" s="1"/>
  <c r="G505" i="2"/>
  <c r="I505" i="2" s="1"/>
  <c r="G509" i="2"/>
  <c r="I509" i="2" s="1"/>
  <c r="G513" i="2"/>
  <c r="I513" i="2" s="1"/>
  <c r="G517" i="2"/>
  <c r="I517" i="2" s="1"/>
  <c r="G521" i="2"/>
  <c r="I521" i="2" s="1"/>
  <c r="G525" i="2"/>
  <c r="I525" i="2" s="1"/>
  <c r="G529" i="2"/>
  <c r="I529" i="2" s="1"/>
  <c r="G533" i="2"/>
  <c r="I533" i="2" s="1"/>
  <c r="G537" i="2"/>
  <c r="I537" i="2" s="1"/>
  <c r="G541" i="2"/>
  <c r="I541" i="2" s="1"/>
  <c r="G545" i="2"/>
  <c r="I545" i="2" s="1"/>
  <c r="G549" i="2"/>
  <c r="I549" i="2" s="1"/>
  <c r="G553" i="2"/>
  <c r="I553" i="2" s="1"/>
  <c r="G557" i="2"/>
  <c r="I557" i="2" s="1"/>
  <c r="G561" i="2"/>
  <c r="I561" i="2" s="1"/>
  <c r="G565" i="2"/>
  <c r="I565" i="2" s="1"/>
  <c r="G569" i="2"/>
  <c r="I569" i="2" s="1"/>
  <c r="G573" i="2"/>
  <c r="I573" i="2" s="1"/>
  <c r="G577" i="2"/>
  <c r="I577" i="2" s="1"/>
  <c r="G581" i="2"/>
  <c r="I581" i="2" s="1"/>
  <c r="G585" i="2"/>
  <c r="I585" i="2" s="1"/>
  <c r="G589" i="2"/>
  <c r="I589" i="2" s="1"/>
  <c r="G593" i="2"/>
  <c r="I593" i="2" s="1"/>
  <c r="G597" i="2"/>
  <c r="I597" i="2" s="1"/>
  <c r="G601" i="2"/>
  <c r="I601" i="2" s="1"/>
  <c r="G605" i="2"/>
  <c r="I605" i="2" s="1"/>
  <c r="G609" i="2"/>
  <c r="I609" i="2" s="1"/>
  <c r="G613" i="2"/>
  <c r="I613" i="2" s="1"/>
  <c r="G617" i="2"/>
  <c r="I617" i="2" s="1"/>
  <c r="G621" i="2"/>
  <c r="I621" i="2" s="1"/>
  <c r="G625" i="2"/>
  <c r="I625" i="2" s="1"/>
  <c r="G629" i="2"/>
  <c r="I629" i="2" s="1"/>
  <c r="G633" i="2"/>
  <c r="I633" i="2" s="1"/>
  <c r="G637" i="2"/>
  <c r="I637" i="2" s="1"/>
  <c r="G641" i="2"/>
  <c r="I641" i="2" s="1"/>
  <c r="G645" i="2"/>
  <c r="I645" i="2" s="1"/>
  <c r="G649" i="2"/>
  <c r="I649" i="2" s="1"/>
  <c r="G653" i="2"/>
  <c r="I653" i="2" s="1"/>
  <c r="G657" i="2"/>
  <c r="I657" i="2" s="1"/>
  <c r="G661" i="2"/>
  <c r="I661" i="2" s="1"/>
  <c r="G665" i="2"/>
  <c r="I665" i="2" s="1"/>
  <c r="G669" i="2"/>
  <c r="I669" i="2" s="1"/>
  <c r="G673" i="2"/>
  <c r="I673" i="2" s="1"/>
  <c r="G677" i="2"/>
  <c r="I677" i="2" s="1"/>
  <c r="G681" i="2"/>
  <c r="I681" i="2" s="1"/>
  <c r="G346" i="2"/>
  <c r="G350" i="2"/>
  <c r="I350" i="2" s="1"/>
  <c r="G354" i="2"/>
  <c r="I354" i="2" s="1"/>
  <c r="G358" i="2"/>
  <c r="I358" i="2" s="1"/>
  <c r="G362" i="2"/>
  <c r="I362" i="2" s="1"/>
  <c r="G366" i="2"/>
  <c r="I366" i="2" s="1"/>
  <c r="G370" i="2"/>
  <c r="I370" i="2" s="1"/>
  <c r="G374" i="2"/>
  <c r="I374" i="2" s="1"/>
  <c r="G378" i="2"/>
  <c r="G382" i="2"/>
  <c r="I382" i="2" s="1"/>
  <c r="G386" i="2"/>
  <c r="G390" i="2"/>
  <c r="I390" i="2" s="1"/>
  <c r="G394" i="2"/>
  <c r="I394" i="2" s="1"/>
  <c r="G398" i="2"/>
  <c r="I398" i="2" s="1"/>
  <c r="G402" i="2"/>
  <c r="I402" i="2" s="1"/>
  <c r="G406" i="2"/>
  <c r="I406" i="2" s="1"/>
  <c r="G410" i="2"/>
  <c r="G414" i="2"/>
  <c r="I414" i="2" s="1"/>
  <c r="G418" i="2"/>
  <c r="I418" i="2" s="1"/>
  <c r="G422" i="2"/>
  <c r="I422" i="2" s="1"/>
  <c r="G426" i="2"/>
  <c r="I426" i="2" s="1"/>
  <c r="G430" i="2"/>
  <c r="I430" i="2" s="1"/>
  <c r="G434" i="2"/>
  <c r="I434" i="2" s="1"/>
  <c r="G438" i="2"/>
  <c r="I438" i="2" s="1"/>
  <c r="G442" i="2"/>
  <c r="G446" i="2"/>
  <c r="I446" i="2" s="1"/>
  <c r="G450" i="2"/>
  <c r="I450" i="2" s="1"/>
  <c r="G454" i="2"/>
  <c r="I454" i="2" s="1"/>
  <c r="G458" i="2"/>
  <c r="I458" i="2" s="1"/>
  <c r="G462" i="2"/>
  <c r="I462" i="2" s="1"/>
  <c r="G466" i="2"/>
  <c r="I466" i="2" s="1"/>
  <c r="G470" i="2"/>
  <c r="I470" i="2" s="1"/>
  <c r="G474" i="2"/>
  <c r="G478" i="2"/>
  <c r="I478" i="2" s="1"/>
  <c r="G482" i="2"/>
  <c r="I482" i="2" s="1"/>
  <c r="G486" i="2"/>
  <c r="I486" i="2" s="1"/>
  <c r="G490" i="2"/>
  <c r="I490" i="2" s="1"/>
  <c r="G494" i="2"/>
  <c r="I494" i="2" s="1"/>
  <c r="G498" i="2"/>
  <c r="I498" i="2" s="1"/>
  <c r="G502" i="2"/>
  <c r="I502" i="2" s="1"/>
  <c r="G506" i="2"/>
  <c r="G510" i="2"/>
  <c r="I510" i="2" s="1"/>
  <c r="G514" i="2"/>
  <c r="I514" i="2" s="1"/>
  <c r="G518" i="2"/>
  <c r="I518" i="2" s="1"/>
  <c r="G522" i="2"/>
  <c r="I522" i="2" s="1"/>
  <c r="G526" i="2"/>
  <c r="I526" i="2" s="1"/>
  <c r="G530" i="2"/>
  <c r="I530" i="2" s="1"/>
  <c r="G534" i="2"/>
  <c r="I534" i="2" s="1"/>
  <c r="G538" i="2"/>
  <c r="G542" i="2"/>
  <c r="I542" i="2" s="1"/>
  <c r="G546" i="2"/>
  <c r="I546" i="2" s="1"/>
  <c r="G550" i="2"/>
  <c r="I550" i="2" s="1"/>
  <c r="G554" i="2"/>
  <c r="I554" i="2" s="1"/>
  <c r="G558" i="2"/>
  <c r="I558" i="2" s="1"/>
  <c r="G562" i="2"/>
  <c r="I562" i="2" s="1"/>
  <c r="G566" i="2"/>
  <c r="I566" i="2" s="1"/>
  <c r="G570" i="2"/>
  <c r="G574" i="2"/>
  <c r="I574" i="2" s="1"/>
  <c r="G578" i="2"/>
  <c r="I578" i="2" s="1"/>
  <c r="G582" i="2"/>
  <c r="I582" i="2" s="1"/>
  <c r="G586" i="2"/>
  <c r="I586" i="2" s="1"/>
  <c r="G590" i="2"/>
  <c r="I590" i="2" s="1"/>
  <c r="G594" i="2"/>
  <c r="I594" i="2" s="1"/>
  <c r="G598" i="2"/>
  <c r="I598" i="2" s="1"/>
  <c r="G602" i="2"/>
  <c r="G606" i="2"/>
  <c r="I606" i="2" s="1"/>
  <c r="G610" i="2"/>
  <c r="I610" i="2" s="1"/>
  <c r="G614" i="2"/>
  <c r="I614" i="2" s="1"/>
  <c r="G618" i="2"/>
  <c r="I618" i="2" s="1"/>
  <c r="G622" i="2"/>
  <c r="I622" i="2" s="1"/>
  <c r="G626" i="2"/>
  <c r="I626" i="2" s="1"/>
  <c r="G630" i="2"/>
  <c r="I630" i="2" s="1"/>
  <c r="G634" i="2"/>
  <c r="G638" i="2"/>
  <c r="I638" i="2" s="1"/>
  <c r="G642" i="2"/>
  <c r="I642" i="2" s="1"/>
  <c r="G646" i="2"/>
  <c r="I646" i="2" s="1"/>
  <c r="G650" i="2"/>
  <c r="I650" i="2" s="1"/>
  <c r="G654" i="2"/>
  <c r="I654" i="2" s="1"/>
  <c r="G658" i="2"/>
  <c r="I658" i="2" s="1"/>
  <c r="G662" i="2"/>
  <c r="I662" i="2" s="1"/>
  <c r="G666" i="2"/>
  <c r="G670" i="2"/>
  <c r="I670" i="2" s="1"/>
  <c r="G674" i="2"/>
  <c r="I674" i="2" s="1"/>
  <c r="G678" i="2"/>
  <c r="I678" i="2" s="1"/>
  <c r="G682" i="2"/>
  <c r="I682" i="2" s="1"/>
  <c r="G688" i="2"/>
  <c r="I688" i="2" s="1"/>
  <c r="G692" i="2"/>
  <c r="I692" i="2" s="1"/>
  <c r="G696" i="2"/>
  <c r="I696" i="2" s="1"/>
  <c r="G700" i="2"/>
  <c r="I700" i="2" s="1"/>
  <c r="G704" i="2"/>
  <c r="I704" i="2" s="1"/>
  <c r="G708" i="2"/>
  <c r="I708" i="2" s="1"/>
  <c r="G712" i="2"/>
  <c r="I712" i="2" s="1"/>
  <c r="G716" i="2"/>
  <c r="I716" i="2" s="1"/>
  <c r="G720" i="2"/>
  <c r="I720" i="2" s="1"/>
  <c r="G724" i="2"/>
  <c r="I724" i="2" s="1"/>
  <c r="G728" i="2"/>
  <c r="I728" i="2" s="1"/>
  <c r="G732" i="2"/>
  <c r="I732" i="2" s="1"/>
  <c r="G736" i="2"/>
  <c r="I736" i="2" s="1"/>
  <c r="G740" i="2"/>
  <c r="I740" i="2" s="1"/>
  <c r="G744" i="2"/>
  <c r="I744" i="2" s="1"/>
  <c r="G748" i="2"/>
  <c r="I748" i="2" s="1"/>
  <c r="G752" i="2"/>
  <c r="I752" i="2" s="1"/>
  <c r="G756" i="2"/>
  <c r="I756" i="2" s="1"/>
  <c r="G760" i="2"/>
  <c r="I760" i="2" s="1"/>
  <c r="G764" i="2"/>
  <c r="I764" i="2" s="1"/>
  <c r="G768" i="2"/>
  <c r="I768" i="2" s="1"/>
  <c r="G772" i="2"/>
  <c r="I772" i="2" s="1"/>
  <c r="G776" i="2"/>
  <c r="I776" i="2" s="1"/>
  <c r="G780" i="2"/>
  <c r="I780" i="2" s="1"/>
  <c r="G784" i="2"/>
  <c r="I784" i="2" s="1"/>
  <c r="G788" i="2"/>
  <c r="I788" i="2" s="1"/>
  <c r="G792" i="2"/>
  <c r="I792" i="2" s="1"/>
  <c r="G796" i="2"/>
  <c r="I796" i="2" s="1"/>
  <c r="G800" i="2"/>
  <c r="I800" i="2" s="1"/>
  <c r="G804" i="2"/>
  <c r="I804" i="2" s="1"/>
  <c r="G808" i="2"/>
  <c r="I808" i="2" s="1"/>
  <c r="G812" i="2"/>
  <c r="I812" i="2" s="1"/>
  <c r="G816" i="2"/>
  <c r="I816" i="2" s="1"/>
  <c r="G820" i="2"/>
  <c r="I820" i="2" s="1"/>
  <c r="G824" i="2"/>
  <c r="I824" i="2" s="1"/>
  <c r="G828" i="2"/>
  <c r="I828" i="2" s="1"/>
  <c r="G832" i="2"/>
  <c r="I832" i="2" s="1"/>
  <c r="G836" i="2"/>
  <c r="I836" i="2" s="1"/>
  <c r="G840" i="2"/>
  <c r="I840" i="2" s="1"/>
  <c r="G844" i="2"/>
  <c r="I844" i="2" s="1"/>
  <c r="G848" i="2"/>
  <c r="I848" i="2" s="1"/>
  <c r="G852" i="2"/>
  <c r="I852" i="2" s="1"/>
  <c r="G856" i="2"/>
  <c r="I856" i="2" s="1"/>
  <c r="G860" i="2"/>
  <c r="I860" i="2" s="1"/>
  <c r="G864" i="2"/>
  <c r="I864" i="2" s="1"/>
  <c r="G868" i="2"/>
  <c r="I868" i="2" s="1"/>
  <c r="G872" i="2"/>
  <c r="I872" i="2" s="1"/>
  <c r="G876" i="2"/>
  <c r="I876" i="2" s="1"/>
  <c r="G880" i="2"/>
  <c r="I880" i="2" s="1"/>
  <c r="G884" i="2"/>
  <c r="I884" i="2" s="1"/>
  <c r="G888" i="2"/>
  <c r="I888" i="2" s="1"/>
  <c r="G892" i="2"/>
  <c r="I892" i="2" s="1"/>
  <c r="G896" i="2"/>
  <c r="I896" i="2" s="1"/>
  <c r="G900" i="2"/>
  <c r="I900" i="2" s="1"/>
  <c r="G904" i="2"/>
  <c r="I904" i="2" s="1"/>
  <c r="G908" i="2"/>
  <c r="I908" i="2" s="1"/>
  <c r="G912" i="2"/>
  <c r="I912" i="2" s="1"/>
  <c r="G916" i="2"/>
  <c r="I916" i="2" s="1"/>
  <c r="G920" i="2"/>
  <c r="I920" i="2" s="1"/>
  <c r="G924" i="2"/>
  <c r="I924" i="2" s="1"/>
  <c r="G928" i="2"/>
  <c r="I928" i="2" s="1"/>
  <c r="G932" i="2"/>
  <c r="I932" i="2" s="1"/>
  <c r="G936" i="2"/>
  <c r="I936" i="2" s="1"/>
  <c r="G940" i="2"/>
  <c r="I940" i="2" s="1"/>
  <c r="G944" i="2"/>
  <c r="I944" i="2" s="1"/>
  <c r="G948" i="2"/>
  <c r="I948" i="2" s="1"/>
  <c r="G952" i="2"/>
  <c r="I952" i="2" s="1"/>
  <c r="G956" i="2"/>
  <c r="I956" i="2" s="1"/>
  <c r="G960" i="2"/>
  <c r="I960" i="2" s="1"/>
  <c r="G964" i="2"/>
  <c r="I964" i="2" s="1"/>
  <c r="G968" i="2"/>
  <c r="I968" i="2" s="1"/>
  <c r="G972" i="2"/>
  <c r="I972" i="2" s="1"/>
  <c r="G976" i="2"/>
  <c r="I976" i="2" s="1"/>
  <c r="G980" i="2"/>
  <c r="I980" i="2" s="1"/>
  <c r="G984" i="2"/>
  <c r="I984" i="2" s="1"/>
  <c r="G988" i="2"/>
  <c r="I988" i="2" s="1"/>
  <c r="G992" i="2"/>
  <c r="I992" i="2" s="1"/>
  <c r="G996" i="2"/>
  <c r="I996" i="2" s="1"/>
  <c r="G1000" i="2"/>
  <c r="I1000" i="2" s="1"/>
  <c r="G1004" i="2"/>
  <c r="I1004" i="2" s="1"/>
  <c r="G1008" i="2"/>
  <c r="I1008" i="2" s="1"/>
  <c r="G1012" i="2"/>
  <c r="I1012" i="2" s="1"/>
  <c r="G1016" i="2"/>
  <c r="I1016" i="2" s="1"/>
  <c r="G1020" i="2"/>
  <c r="I1020" i="2" s="1"/>
  <c r="G1024" i="2"/>
  <c r="I1024" i="2" s="1"/>
  <c r="G685" i="2"/>
  <c r="I685" i="2" s="1"/>
  <c r="G689" i="2"/>
  <c r="I689" i="2" s="1"/>
  <c r="G693" i="2"/>
  <c r="I693" i="2" s="1"/>
  <c r="G697" i="2"/>
  <c r="I697" i="2" s="1"/>
  <c r="G701" i="2"/>
  <c r="I701" i="2" s="1"/>
  <c r="G705" i="2"/>
  <c r="I705" i="2" s="1"/>
  <c r="G709" i="2"/>
  <c r="I709" i="2" s="1"/>
  <c r="G713" i="2"/>
  <c r="I713" i="2" s="1"/>
  <c r="G717" i="2"/>
  <c r="I717" i="2" s="1"/>
  <c r="G721" i="2"/>
  <c r="I721" i="2" s="1"/>
  <c r="G725" i="2"/>
  <c r="I725" i="2" s="1"/>
  <c r="G729" i="2"/>
  <c r="I729" i="2" s="1"/>
  <c r="G733" i="2"/>
  <c r="I733" i="2" s="1"/>
  <c r="G737" i="2"/>
  <c r="I737" i="2" s="1"/>
  <c r="G741" i="2"/>
  <c r="I741" i="2" s="1"/>
  <c r="G745" i="2"/>
  <c r="I745" i="2" s="1"/>
  <c r="G749" i="2"/>
  <c r="I749" i="2" s="1"/>
  <c r="G753" i="2"/>
  <c r="I753" i="2" s="1"/>
  <c r="G757" i="2"/>
  <c r="I757" i="2" s="1"/>
  <c r="G761" i="2"/>
  <c r="I761" i="2" s="1"/>
  <c r="G686" i="2"/>
  <c r="I686" i="2" s="1"/>
  <c r="G690" i="2"/>
  <c r="I690" i="2" s="1"/>
  <c r="G694" i="2"/>
  <c r="I694" i="2" s="1"/>
  <c r="G698" i="2"/>
  <c r="I698" i="2" s="1"/>
  <c r="G702" i="2"/>
  <c r="I702" i="2" s="1"/>
  <c r="G706" i="2"/>
  <c r="I706" i="2" s="1"/>
  <c r="G710" i="2"/>
  <c r="I710" i="2" s="1"/>
  <c r="G714" i="2"/>
  <c r="I714" i="2" s="1"/>
  <c r="G718" i="2"/>
  <c r="I718" i="2" s="1"/>
  <c r="G722" i="2"/>
  <c r="I722" i="2" s="1"/>
  <c r="G726" i="2"/>
  <c r="I726" i="2" s="1"/>
  <c r="G730" i="2"/>
  <c r="I730" i="2" s="1"/>
  <c r="G734" i="2"/>
  <c r="I734" i="2" s="1"/>
  <c r="G738" i="2"/>
  <c r="I738" i="2" s="1"/>
  <c r="G742" i="2"/>
  <c r="I742" i="2" s="1"/>
  <c r="G746" i="2"/>
  <c r="I746" i="2" s="1"/>
  <c r="G750" i="2"/>
  <c r="I750" i="2" s="1"/>
  <c r="G754" i="2"/>
  <c r="I754" i="2" s="1"/>
  <c r="G758" i="2"/>
  <c r="I758" i="2" s="1"/>
  <c r="G762" i="2"/>
  <c r="I762" i="2" s="1"/>
  <c r="G766" i="2"/>
  <c r="I766" i="2" s="1"/>
  <c r="G770" i="2"/>
  <c r="I770" i="2" s="1"/>
  <c r="G774" i="2"/>
  <c r="I774" i="2" s="1"/>
  <c r="G778" i="2"/>
  <c r="I778" i="2" s="1"/>
  <c r="G782" i="2"/>
  <c r="I782" i="2" s="1"/>
  <c r="G786" i="2"/>
  <c r="G790" i="2"/>
  <c r="I790" i="2" s="1"/>
  <c r="G794" i="2"/>
  <c r="I794" i="2" s="1"/>
  <c r="G798" i="2"/>
  <c r="I798" i="2" s="1"/>
  <c r="G802" i="2"/>
  <c r="I802" i="2" s="1"/>
  <c r="G806" i="2"/>
  <c r="I806" i="2" s="1"/>
  <c r="G810" i="2"/>
  <c r="I810" i="2" s="1"/>
  <c r="G814" i="2"/>
  <c r="G818" i="2"/>
  <c r="G822" i="2"/>
  <c r="I822" i="2" s="1"/>
  <c r="G826" i="2"/>
  <c r="I826" i="2" s="1"/>
  <c r="G830" i="2"/>
  <c r="I830" i="2" s="1"/>
  <c r="G834" i="2"/>
  <c r="I834" i="2" s="1"/>
  <c r="G838" i="2"/>
  <c r="I838" i="2" s="1"/>
  <c r="G842" i="2"/>
  <c r="I842" i="2" s="1"/>
  <c r="G846" i="2"/>
  <c r="G850" i="2"/>
  <c r="G854" i="2"/>
  <c r="I854" i="2" s="1"/>
  <c r="G858" i="2"/>
  <c r="I858" i="2" s="1"/>
  <c r="G862" i="2"/>
  <c r="I862" i="2" s="1"/>
  <c r="G866" i="2"/>
  <c r="I866" i="2" s="1"/>
  <c r="G870" i="2"/>
  <c r="I870" i="2" s="1"/>
  <c r="G874" i="2"/>
  <c r="I874" i="2" s="1"/>
  <c r="G878" i="2"/>
  <c r="G882" i="2"/>
  <c r="G886" i="2"/>
  <c r="I886" i="2" s="1"/>
  <c r="G890" i="2"/>
  <c r="I890" i="2" s="1"/>
  <c r="G894" i="2"/>
  <c r="I894" i="2" s="1"/>
  <c r="G898" i="2"/>
  <c r="I898" i="2" s="1"/>
  <c r="G902" i="2"/>
  <c r="I902" i="2" s="1"/>
  <c r="G906" i="2"/>
  <c r="I906" i="2" s="1"/>
  <c r="G910" i="2"/>
  <c r="G914" i="2"/>
  <c r="G918" i="2"/>
  <c r="I918" i="2" s="1"/>
  <c r="G922" i="2"/>
  <c r="I922" i="2" s="1"/>
  <c r="G926" i="2"/>
  <c r="I926" i="2" s="1"/>
  <c r="G930" i="2"/>
  <c r="I930" i="2" s="1"/>
  <c r="G934" i="2"/>
  <c r="I934" i="2" s="1"/>
  <c r="G938" i="2"/>
  <c r="I938" i="2" s="1"/>
  <c r="G942" i="2"/>
  <c r="G946" i="2"/>
  <c r="G950" i="2"/>
  <c r="I950" i="2" s="1"/>
  <c r="G954" i="2"/>
  <c r="I954" i="2" s="1"/>
  <c r="G958" i="2"/>
  <c r="I958" i="2" s="1"/>
  <c r="G962" i="2"/>
  <c r="I962" i="2" s="1"/>
  <c r="G966" i="2"/>
  <c r="I966" i="2" s="1"/>
  <c r="G970" i="2"/>
  <c r="I970" i="2" s="1"/>
  <c r="G974" i="2"/>
  <c r="I974" i="2" s="1"/>
  <c r="G978" i="2"/>
  <c r="I978" i="2" s="1"/>
  <c r="G982" i="2"/>
  <c r="I982" i="2" s="1"/>
  <c r="G986" i="2"/>
  <c r="I986" i="2" s="1"/>
  <c r="G990" i="2"/>
  <c r="I990" i="2" s="1"/>
  <c r="G994" i="2"/>
  <c r="I994" i="2" s="1"/>
  <c r="G998" i="2"/>
  <c r="I998" i="2" s="1"/>
  <c r="G1002" i="2"/>
  <c r="I1002" i="2" s="1"/>
  <c r="G1006" i="2"/>
  <c r="I1006" i="2" s="1"/>
  <c r="G1010" i="2"/>
  <c r="I1010" i="2" s="1"/>
  <c r="G1014" i="2"/>
  <c r="I1014" i="2" s="1"/>
  <c r="G1018" i="2"/>
  <c r="I1018" i="2" s="1"/>
  <c r="G1022" i="2"/>
  <c r="I1022" i="2" s="1"/>
  <c r="G687" i="2"/>
  <c r="I687" i="2" s="1"/>
  <c r="G691" i="2"/>
  <c r="I691" i="2" s="1"/>
  <c r="G695" i="2"/>
  <c r="I695" i="2" s="1"/>
  <c r="G699" i="2"/>
  <c r="I699" i="2" s="1"/>
  <c r="G703" i="2"/>
  <c r="I703" i="2" s="1"/>
  <c r="G707" i="2"/>
  <c r="I707" i="2" s="1"/>
  <c r="G711" i="2"/>
  <c r="I711" i="2" s="1"/>
  <c r="G715" i="2"/>
  <c r="I715" i="2" s="1"/>
  <c r="G719" i="2"/>
  <c r="I719" i="2" s="1"/>
  <c r="G723" i="2"/>
  <c r="I723" i="2" s="1"/>
  <c r="G727" i="2"/>
  <c r="I727" i="2" s="1"/>
  <c r="G731" i="2"/>
  <c r="I731" i="2" s="1"/>
  <c r="G735" i="2"/>
  <c r="I735" i="2" s="1"/>
  <c r="G739" i="2"/>
  <c r="I739" i="2" s="1"/>
  <c r="G743" i="2"/>
  <c r="I743" i="2" s="1"/>
  <c r="G747" i="2"/>
  <c r="I747" i="2" s="1"/>
  <c r="G751" i="2"/>
  <c r="I751" i="2" s="1"/>
  <c r="G755" i="2"/>
  <c r="I755" i="2" s="1"/>
  <c r="G759" i="2"/>
  <c r="I759" i="2" s="1"/>
  <c r="G763" i="2"/>
  <c r="I763" i="2" s="1"/>
  <c r="G767" i="2"/>
  <c r="I767" i="2" s="1"/>
  <c r="G771" i="2"/>
  <c r="I771" i="2" s="1"/>
  <c r="G775" i="2"/>
  <c r="I775" i="2" s="1"/>
  <c r="G779" i="2"/>
  <c r="I779" i="2" s="1"/>
  <c r="G783" i="2"/>
  <c r="I783" i="2" s="1"/>
  <c r="G787" i="2"/>
  <c r="I787" i="2" s="1"/>
  <c r="G791" i="2"/>
  <c r="I791" i="2" s="1"/>
  <c r="G795" i="2"/>
  <c r="I795" i="2" s="1"/>
  <c r="G799" i="2"/>
  <c r="I799" i="2" s="1"/>
  <c r="G803" i="2"/>
  <c r="I803" i="2" s="1"/>
  <c r="G807" i="2"/>
  <c r="I807" i="2" s="1"/>
  <c r="G811" i="2"/>
  <c r="I811" i="2" s="1"/>
  <c r="G815" i="2"/>
  <c r="I815" i="2" s="1"/>
  <c r="G819" i="2"/>
  <c r="I819" i="2" s="1"/>
  <c r="G823" i="2"/>
  <c r="I823" i="2" s="1"/>
  <c r="G827" i="2"/>
  <c r="I827" i="2" s="1"/>
  <c r="G831" i="2"/>
  <c r="I831" i="2" s="1"/>
  <c r="G835" i="2"/>
  <c r="I835" i="2" s="1"/>
  <c r="G839" i="2"/>
  <c r="I839" i="2" s="1"/>
  <c r="G843" i="2"/>
  <c r="I843" i="2" s="1"/>
  <c r="G847" i="2"/>
  <c r="I847" i="2" s="1"/>
  <c r="G851" i="2"/>
  <c r="I851" i="2" s="1"/>
  <c r="G855" i="2"/>
  <c r="I855" i="2" s="1"/>
  <c r="G859" i="2"/>
  <c r="I859" i="2" s="1"/>
  <c r="G863" i="2"/>
  <c r="I863" i="2" s="1"/>
  <c r="G867" i="2"/>
  <c r="I867" i="2" s="1"/>
  <c r="G871" i="2"/>
  <c r="I871" i="2" s="1"/>
  <c r="G875" i="2"/>
  <c r="I875" i="2" s="1"/>
  <c r="G879" i="2"/>
  <c r="I879" i="2" s="1"/>
  <c r="G883" i="2"/>
  <c r="I883" i="2" s="1"/>
  <c r="G887" i="2"/>
  <c r="I887" i="2" s="1"/>
  <c r="G891" i="2"/>
  <c r="I891" i="2" s="1"/>
  <c r="G895" i="2"/>
  <c r="I895" i="2" s="1"/>
  <c r="G899" i="2"/>
  <c r="I899" i="2" s="1"/>
  <c r="G903" i="2"/>
  <c r="I903" i="2" s="1"/>
  <c r="G907" i="2"/>
  <c r="I907" i="2" s="1"/>
  <c r="G911" i="2"/>
  <c r="I911" i="2" s="1"/>
  <c r="G915" i="2"/>
  <c r="I915" i="2" s="1"/>
  <c r="G919" i="2"/>
  <c r="I919" i="2" s="1"/>
  <c r="G923" i="2"/>
  <c r="I923" i="2" s="1"/>
  <c r="G927" i="2"/>
  <c r="I927" i="2" s="1"/>
  <c r="G931" i="2"/>
  <c r="I931" i="2" s="1"/>
  <c r="G935" i="2"/>
  <c r="I935" i="2" s="1"/>
  <c r="G939" i="2"/>
  <c r="I939" i="2" s="1"/>
  <c r="G943" i="2"/>
  <c r="I943" i="2" s="1"/>
  <c r="G947" i="2"/>
  <c r="I947" i="2" s="1"/>
  <c r="G951" i="2"/>
  <c r="I951" i="2" s="1"/>
  <c r="G955" i="2"/>
  <c r="I955" i="2" s="1"/>
  <c r="G959" i="2"/>
  <c r="I959" i="2" s="1"/>
  <c r="G963" i="2"/>
  <c r="I963" i="2" s="1"/>
  <c r="G967" i="2"/>
  <c r="I967" i="2" s="1"/>
  <c r="G971" i="2"/>
  <c r="I971" i="2" s="1"/>
  <c r="G975" i="2"/>
  <c r="I975" i="2" s="1"/>
  <c r="G979" i="2"/>
  <c r="I979" i="2" s="1"/>
  <c r="G983" i="2"/>
  <c r="I983" i="2" s="1"/>
  <c r="G987" i="2"/>
  <c r="I987" i="2" s="1"/>
  <c r="G991" i="2"/>
  <c r="I991" i="2" s="1"/>
  <c r="G995" i="2"/>
  <c r="I995" i="2" s="1"/>
  <c r="G999" i="2"/>
  <c r="I999" i="2" s="1"/>
  <c r="G1003" i="2"/>
  <c r="I1003" i="2" s="1"/>
  <c r="G1007" i="2"/>
  <c r="I1007" i="2" s="1"/>
  <c r="G1011" i="2"/>
  <c r="I1011" i="2" s="1"/>
  <c r="G1015" i="2"/>
  <c r="I1015" i="2" s="1"/>
  <c r="G1019" i="2"/>
  <c r="I1019" i="2" s="1"/>
  <c r="G1023" i="2"/>
  <c r="I1023" i="2" s="1"/>
  <c r="G777" i="2"/>
  <c r="G793" i="2"/>
  <c r="I793" i="2" s="1"/>
  <c r="G809" i="2"/>
  <c r="G825" i="2"/>
  <c r="G841" i="2"/>
  <c r="G857" i="2"/>
  <c r="I857" i="2" s="1"/>
  <c r="G873" i="2"/>
  <c r="G889" i="2"/>
  <c r="G905" i="2"/>
  <c r="G921" i="2"/>
  <c r="I921" i="2" s="1"/>
  <c r="G937" i="2"/>
  <c r="G953" i="2"/>
  <c r="G969" i="2"/>
  <c r="G985" i="2"/>
  <c r="I985" i="2" s="1"/>
  <c r="G1001" i="2"/>
  <c r="G1017" i="2"/>
  <c r="G1027" i="2"/>
  <c r="I1027" i="2" s="1"/>
  <c r="G1031" i="2"/>
  <c r="I1031" i="2" s="1"/>
  <c r="G1035" i="2"/>
  <c r="I1035" i="2" s="1"/>
  <c r="G1039" i="2"/>
  <c r="I1039" i="2" s="1"/>
  <c r="G1043" i="2"/>
  <c r="I1043" i="2" s="1"/>
  <c r="G1047" i="2"/>
  <c r="I1047" i="2" s="1"/>
  <c r="G1051" i="2"/>
  <c r="I1051" i="2" s="1"/>
  <c r="G1055" i="2"/>
  <c r="I1055" i="2" s="1"/>
  <c r="G1059" i="2"/>
  <c r="I1059" i="2" s="1"/>
  <c r="G1063" i="2"/>
  <c r="I1063" i="2" s="1"/>
  <c r="G1067" i="2"/>
  <c r="I1067" i="2" s="1"/>
  <c r="G1071" i="2"/>
  <c r="I1071" i="2" s="1"/>
  <c r="G1075" i="2"/>
  <c r="I1075" i="2" s="1"/>
  <c r="G1079" i="2"/>
  <c r="I1079" i="2" s="1"/>
  <c r="G1083" i="2"/>
  <c r="I1083" i="2" s="1"/>
  <c r="G1087" i="2"/>
  <c r="I1087" i="2" s="1"/>
  <c r="G1091" i="2"/>
  <c r="I1091" i="2" s="1"/>
  <c r="G1095" i="2"/>
  <c r="I1095" i="2" s="1"/>
  <c r="G1099" i="2"/>
  <c r="I1099" i="2" s="1"/>
  <c r="G1103" i="2"/>
  <c r="I1103" i="2" s="1"/>
  <c r="G1107" i="2"/>
  <c r="I1107" i="2" s="1"/>
  <c r="G1111" i="2"/>
  <c r="I1111" i="2" s="1"/>
  <c r="G1115" i="2"/>
  <c r="I1115" i="2" s="1"/>
  <c r="G1119" i="2"/>
  <c r="I1119" i="2" s="1"/>
  <c r="G1123" i="2"/>
  <c r="I1123" i="2" s="1"/>
  <c r="G1127" i="2"/>
  <c r="I1127" i="2" s="1"/>
  <c r="G1131" i="2"/>
  <c r="I1131" i="2" s="1"/>
  <c r="G1135" i="2"/>
  <c r="I1135" i="2" s="1"/>
  <c r="G1139" i="2"/>
  <c r="I1139" i="2" s="1"/>
  <c r="G1143" i="2"/>
  <c r="I1143" i="2" s="1"/>
  <c r="G1147" i="2"/>
  <c r="I1147" i="2" s="1"/>
  <c r="G1151" i="2"/>
  <c r="I1151" i="2" s="1"/>
  <c r="G1155" i="2"/>
  <c r="I1155" i="2" s="1"/>
  <c r="G1159" i="2"/>
  <c r="I1159" i="2" s="1"/>
  <c r="G1163" i="2"/>
  <c r="I1163" i="2" s="1"/>
  <c r="G1167" i="2"/>
  <c r="I1167" i="2" s="1"/>
  <c r="G1171" i="2"/>
  <c r="I1171" i="2" s="1"/>
  <c r="G1175" i="2"/>
  <c r="I1175" i="2" s="1"/>
  <c r="G1179" i="2"/>
  <c r="I1179" i="2" s="1"/>
  <c r="G1183" i="2"/>
  <c r="I1183" i="2" s="1"/>
  <c r="G1187" i="2"/>
  <c r="I1187" i="2" s="1"/>
  <c r="G1191" i="2"/>
  <c r="I1191" i="2" s="1"/>
  <c r="G1195" i="2"/>
  <c r="I1195" i="2" s="1"/>
  <c r="G1199" i="2"/>
  <c r="I1199" i="2" s="1"/>
  <c r="G1203" i="2"/>
  <c r="I1203" i="2" s="1"/>
  <c r="G1207" i="2"/>
  <c r="I1207" i="2" s="1"/>
  <c r="G1211" i="2"/>
  <c r="I1211" i="2" s="1"/>
  <c r="G1215" i="2"/>
  <c r="I1215" i="2" s="1"/>
  <c r="G1219" i="2"/>
  <c r="I1219" i="2" s="1"/>
  <c r="G1223" i="2"/>
  <c r="I1223" i="2" s="1"/>
  <c r="G1227" i="2"/>
  <c r="I1227" i="2" s="1"/>
  <c r="G1231" i="2"/>
  <c r="I1231" i="2" s="1"/>
  <c r="G1235" i="2"/>
  <c r="I1235" i="2" s="1"/>
  <c r="G1239" i="2"/>
  <c r="I1239" i="2" s="1"/>
  <c r="G1243" i="2"/>
  <c r="I1243" i="2" s="1"/>
  <c r="G1247" i="2"/>
  <c r="I1247" i="2" s="1"/>
  <c r="G1251" i="2"/>
  <c r="I1251" i="2" s="1"/>
  <c r="G1255" i="2"/>
  <c r="I1255" i="2" s="1"/>
  <c r="G1259" i="2"/>
  <c r="I1259" i="2" s="1"/>
  <c r="G1263" i="2"/>
  <c r="I1263" i="2" s="1"/>
  <c r="G1267" i="2"/>
  <c r="I1267" i="2" s="1"/>
  <c r="G1271" i="2"/>
  <c r="I1271" i="2" s="1"/>
  <c r="G1275" i="2"/>
  <c r="I1275" i="2" s="1"/>
  <c r="G1279" i="2"/>
  <c r="I1279" i="2" s="1"/>
  <c r="G1283" i="2"/>
  <c r="I1283" i="2" s="1"/>
  <c r="G1287" i="2"/>
  <c r="I1287" i="2" s="1"/>
  <c r="G1291" i="2"/>
  <c r="I1291" i="2" s="1"/>
  <c r="G1295" i="2"/>
  <c r="I1295" i="2" s="1"/>
  <c r="G1299" i="2"/>
  <c r="I1299" i="2" s="1"/>
  <c r="G1303" i="2"/>
  <c r="I1303" i="2" s="1"/>
  <c r="G1307" i="2"/>
  <c r="I1307" i="2" s="1"/>
  <c r="G1311" i="2"/>
  <c r="I1311" i="2" s="1"/>
  <c r="G1315" i="2"/>
  <c r="I1315" i="2" s="1"/>
  <c r="G1319" i="2"/>
  <c r="I1319" i="2" s="1"/>
  <c r="G1323" i="2"/>
  <c r="I1323" i="2" s="1"/>
  <c r="G1327" i="2"/>
  <c r="I1327" i="2" s="1"/>
  <c r="G1331" i="2"/>
  <c r="I1331" i="2" s="1"/>
  <c r="G1335" i="2"/>
  <c r="I1335" i="2" s="1"/>
  <c r="G1339" i="2"/>
  <c r="I1339" i="2" s="1"/>
  <c r="G1343" i="2"/>
  <c r="I1343" i="2" s="1"/>
  <c r="G1347" i="2"/>
  <c r="I1347" i="2" s="1"/>
  <c r="G1351" i="2"/>
  <c r="I1351" i="2" s="1"/>
  <c r="G1355" i="2"/>
  <c r="I1355" i="2" s="1"/>
  <c r="G1359" i="2"/>
  <c r="I1359" i="2" s="1"/>
  <c r="G1363" i="2"/>
  <c r="I1363" i="2" s="1"/>
  <c r="G1367" i="2"/>
  <c r="I1367" i="2" s="1"/>
  <c r="G1371" i="2"/>
  <c r="I1371" i="2" s="1"/>
  <c r="G1375" i="2"/>
  <c r="I1375" i="2" s="1"/>
  <c r="G1379" i="2"/>
  <c r="I1379" i="2" s="1"/>
  <c r="G1383" i="2"/>
  <c r="I1383" i="2" s="1"/>
  <c r="G1387" i="2"/>
  <c r="I1387" i="2" s="1"/>
  <c r="G1391" i="2"/>
  <c r="I1391" i="2" s="1"/>
  <c r="G1395" i="2"/>
  <c r="I1395" i="2" s="1"/>
  <c r="G1399" i="2"/>
  <c r="I1399" i="2" s="1"/>
  <c r="G1403" i="2"/>
  <c r="I1403" i="2" s="1"/>
  <c r="G1407" i="2"/>
  <c r="I1407" i="2" s="1"/>
  <c r="G1411" i="2"/>
  <c r="I1411" i="2" s="1"/>
  <c r="G1415" i="2"/>
  <c r="I1415" i="2" s="1"/>
  <c r="G1419" i="2"/>
  <c r="I1419" i="2" s="1"/>
  <c r="G1423" i="2"/>
  <c r="I1423" i="2" s="1"/>
  <c r="G1427" i="2"/>
  <c r="I1427" i="2" s="1"/>
  <c r="G1431" i="2"/>
  <c r="I1431" i="2" s="1"/>
  <c r="G1435" i="2"/>
  <c r="I1435" i="2" s="1"/>
  <c r="G1439" i="2"/>
  <c r="I1439" i="2" s="1"/>
  <c r="G1443" i="2"/>
  <c r="I1443" i="2" s="1"/>
  <c r="G1447" i="2"/>
  <c r="I1447" i="2" s="1"/>
  <c r="G1451" i="2"/>
  <c r="I1451" i="2" s="1"/>
  <c r="G1455" i="2"/>
  <c r="I1455" i="2" s="1"/>
  <c r="G1459" i="2"/>
  <c r="I1459" i="2" s="1"/>
  <c r="G1463" i="2"/>
  <c r="I1463" i="2" s="1"/>
  <c r="G1467" i="2"/>
  <c r="I1467" i="2" s="1"/>
  <c r="G1471" i="2"/>
  <c r="I1471" i="2" s="1"/>
  <c r="G1475" i="2"/>
  <c r="I1475" i="2" s="1"/>
  <c r="G1479" i="2"/>
  <c r="I1479" i="2" s="1"/>
  <c r="G1483" i="2"/>
  <c r="I1483" i="2" s="1"/>
  <c r="G1487" i="2"/>
  <c r="I1487" i="2" s="1"/>
  <c r="G1491" i="2"/>
  <c r="I1491" i="2" s="1"/>
  <c r="G1495" i="2"/>
  <c r="I1495" i="2" s="1"/>
  <c r="G1499" i="2"/>
  <c r="I1499" i="2" s="1"/>
  <c r="G1503" i="2"/>
  <c r="I1503" i="2" s="1"/>
  <c r="G1507" i="2"/>
  <c r="I1507" i="2" s="1"/>
  <c r="G1511" i="2"/>
  <c r="I1511" i="2" s="1"/>
  <c r="G1515" i="2"/>
  <c r="I1515" i="2" s="1"/>
  <c r="G1519" i="2"/>
  <c r="I1519" i="2" s="1"/>
  <c r="G1523" i="2"/>
  <c r="I1523" i="2" s="1"/>
  <c r="G1527" i="2"/>
  <c r="I1527" i="2" s="1"/>
  <c r="G1531" i="2"/>
  <c r="I1531" i="2" s="1"/>
  <c r="G1535" i="2"/>
  <c r="I1535" i="2" s="1"/>
  <c r="G1539" i="2"/>
  <c r="I1539" i="2" s="1"/>
  <c r="G1543" i="2"/>
  <c r="I1543" i="2" s="1"/>
  <c r="G1547" i="2"/>
  <c r="I1547" i="2" s="1"/>
  <c r="G1551" i="2"/>
  <c r="I1551" i="2" s="1"/>
  <c r="G1555" i="2"/>
  <c r="I1555" i="2" s="1"/>
  <c r="G1559" i="2"/>
  <c r="I1559" i="2" s="1"/>
  <c r="G1563" i="2"/>
  <c r="I1563" i="2" s="1"/>
  <c r="G1567" i="2"/>
  <c r="I1567" i="2" s="1"/>
  <c r="G1571" i="2"/>
  <c r="I1571" i="2" s="1"/>
  <c r="G1575" i="2"/>
  <c r="I1575" i="2" s="1"/>
  <c r="G1579" i="2"/>
  <c r="I1579" i="2" s="1"/>
  <c r="G1583" i="2"/>
  <c r="I1583" i="2" s="1"/>
  <c r="G1587" i="2"/>
  <c r="I1587" i="2" s="1"/>
  <c r="G1591" i="2"/>
  <c r="I1591" i="2" s="1"/>
  <c r="G1595" i="2"/>
  <c r="I1595" i="2" s="1"/>
  <c r="G1599" i="2"/>
  <c r="I1599" i="2" s="1"/>
  <c r="G1603" i="2"/>
  <c r="I1603" i="2" s="1"/>
  <c r="G1607" i="2"/>
  <c r="I1607" i="2" s="1"/>
  <c r="G1611" i="2"/>
  <c r="I1611" i="2" s="1"/>
  <c r="G1615" i="2"/>
  <c r="I1615" i="2" s="1"/>
  <c r="G1619" i="2"/>
  <c r="I1619" i="2" s="1"/>
  <c r="G1623" i="2"/>
  <c r="I1623" i="2" s="1"/>
  <c r="G1627" i="2"/>
  <c r="I1627" i="2" s="1"/>
  <c r="G1631" i="2"/>
  <c r="I1631" i="2" s="1"/>
  <c r="G1635" i="2"/>
  <c r="I1635" i="2" s="1"/>
  <c r="G1639" i="2"/>
  <c r="I1639" i="2" s="1"/>
  <c r="G765" i="2"/>
  <c r="I765" i="2" s="1"/>
  <c r="G781" i="2"/>
  <c r="I781" i="2" s="1"/>
  <c r="G797" i="2"/>
  <c r="I797" i="2" s="1"/>
  <c r="G813" i="2"/>
  <c r="I813" i="2" s="1"/>
  <c r="G829" i="2"/>
  <c r="I829" i="2" s="1"/>
  <c r="G845" i="2"/>
  <c r="I845" i="2" s="1"/>
  <c r="G861" i="2"/>
  <c r="I861" i="2" s="1"/>
  <c r="G877" i="2"/>
  <c r="I877" i="2" s="1"/>
  <c r="G893" i="2"/>
  <c r="I893" i="2" s="1"/>
  <c r="G909" i="2"/>
  <c r="I909" i="2" s="1"/>
  <c r="G925" i="2"/>
  <c r="I925" i="2" s="1"/>
  <c r="G941" i="2"/>
  <c r="I941" i="2" s="1"/>
  <c r="G957" i="2"/>
  <c r="I957" i="2" s="1"/>
  <c r="G973" i="2"/>
  <c r="I973" i="2" s="1"/>
  <c r="G989" i="2"/>
  <c r="I989" i="2" s="1"/>
  <c r="G1005" i="2"/>
  <c r="I1005" i="2" s="1"/>
  <c r="G1021" i="2"/>
  <c r="I1021" i="2" s="1"/>
  <c r="G1028" i="2"/>
  <c r="I1028" i="2" s="1"/>
  <c r="G1032" i="2"/>
  <c r="I1032" i="2" s="1"/>
  <c r="G1036" i="2"/>
  <c r="I1036" i="2" s="1"/>
  <c r="G1040" i="2"/>
  <c r="I1040" i="2" s="1"/>
  <c r="G1044" i="2"/>
  <c r="I1044" i="2" s="1"/>
  <c r="G1048" i="2"/>
  <c r="I1048" i="2" s="1"/>
  <c r="G1052" i="2"/>
  <c r="I1052" i="2" s="1"/>
  <c r="G1056" i="2"/>
  <c r="I1056" i="2" s="1"/>
  <c r="G1060" i="2"/>
  <c r="I1060" i="2" s="1"/>
  <c r="G1064" i="2"/>
  <c r="I1064" i="2" s="1"/>
  <c r="G1068" i="2"/>
  <c r="I1068" i="2" s="1"/>
  <c r="G1072" i="2"/>
  <c r="I1072" i="2" s="1"/>
  <c r="G1076" i="2"/>
  <c r="I1076" i="2" s="1"/>
  <c r="G1080" i="2"/>
  <c r="I1080" i="2" s="1"/>
  <c r="G1084" i="2"/>
  <c r="I1084" i="2" s="1"/>
  <c r="G1088" i="2"/>
  <c r="I1088" i="2" s="1"/>
  <c r="G1092" i="2"/>
  <c r="I1092" i="2" s="1"/>
  <c r="G1096" i="2"/>
  <c r="I1096" i="2" s="1"/>
  <c r="G1100" i="2"/>
  <c r="I1100" i="2" s="1"/>
  <c r="G1104" i="2"/>
  <c r="I1104" i="2" s="1"/>
  <c r="G1108" i="2"/>
  <c r="I1108" i="2" s="1"/>
  <c r="G1112" i="2"/>
  <c r="I1112" i="2" s="1"/>
  <c r="G1116" i="2"/>
  <c r="I1116" i="2" s="1"/>
  <c r="G1120" i="2"/>
  <c r="I1120" i="2" s="1"/>
  <c r="G1124" i="2"/>
  <c r="I1124" i="2" s="1"/>
  <c r="G1128" i="2"/>
  <c r="I1128" i="2" s="1"/>
  <c r="G1132" i="2"/>
  <c r="I1132" i="2" s="1"/>
  <c r="G1136" i="2"/>
  <c r="I1136" i="2" s="1"/>
  <c r="G1140" i="2"/>
  <c r="I1140" i="2" s="1"/>
  <c r="G1144" i="2"/>
  <c r="I1144" i="2" s="1"/>
  <c r="G1148" i="2"/>
  <c r="I1148" i="2" s="1"/>
  <c r="G1152" i="2"/>
  <c r="I1152" i="2" s="1"/>
  <c r="G1156" i="2"/>
  <c r="I1156" i="2" s="1"/>
  <c r="G1160" i="2"/>
  <c r="I1160" i="2" s="1"/>
  <c r="G1164" i="2"/>
  <c r="I1164" i="2" s="1"/>
  <c r="G1168" i="2"/>
  <c r="I1168" i="2" s="1"/>
  <c r="G1172" i="2"/>
  <c r="I1172" i="2" s="1"/>
  <c r="G1176" i="2"/>
  <c r="I1176" i="2" s="1"/>
  <c r="G1180" i="2"/>
  <c r="I1180" i="2" s="1"/>
  <c r="G1184" i="2"/>
  <c r="I1184" i="2" s="1"/>
  <c r="G1188" i="2"/>
  <c r="I1188" i="2" s="1"/>
  <c r="G1192" i="2"/>
  <c r="I1192" i="2" s="1"/>
  <c r="G1196" i="2"/>
  <c r="I1196" i="2" s="1"/>
  <c r="G1200" i="2"/>
  <c r="I1200" i="2" s="1"/>
  <c r="G1204" i="2"/>
  <c r="I1204" i="2" s="1"/>
  <c r="G1208" i="2"/>
  <c r="I1208" i="2" s="1"/>
  <c r="G1212" i="2"/>
  <c r="I1212" i="2" s="1"/>
  <c r="G1216" i="2"/>
  <c r="I1216" i="2" s="1"/>
  <c r="G1220" i="2"/>
  <c r="I1220" i="2" s="1"/>
  <c r="G1224" i="2"/>
  <c r="I1224" i="2" s="1"/>
  <c r="G1228" i="2"/>
  <c r="I1228" i="2" s="1"/>
  <c r="G1232" i="2"/>
  <c r="I1232" i="2" s="1"/>
  <c r="G1236" i="2"/>
  <c r="I1236" i="2" s="1"/>
  <c r="G1240" i="2"/>
  <c r="I1240" i="2" s="1"/>
  <c r="G1244" i="2"/>
  <c r="I1244" i="2" s="1"/>
  <c r="G1248" i="2"/>
  <c r="I1248" i="2" s="1"/>
  <c r="G1252" i="2"/>
  <c r="I1252" i="2" s="1"/>
  <c r="G1256" i="2"/>
  <c r="I1256" i="2" s="1"/>
  <c r="G1260" i="2"/>
  <c r="I1260" i="2" s="1"/>
  <c r="G1264" i="2"/>
  <c r="I1264" i="2" s="1"/>
  <c r="G1268" i="2"/>
  <c r="I1268" i="2" s="1"/>
  <c r="G1272" i="2"/>
  <c r="I1272" i="2" s="1"/>
  <c r="G1276" i="2"/>
  <c r="I1276" i="2" s="1"/>
  <c r="G1280" i="2"/>
  <c r="I1280" i="2" s="1"/>
  <c r="G1284" i="2"/>
  <c r="I1284" i="2" s="1"/>
  <c r="G1288" i="2"/>
  <c r="I1288" i="2" s="1"/>
  <c r="G1292" i="2"/>
  <c r="I1292" i="2" s="1"/>
  <c r="G1296" i="2"/>
  <c r="I1296" i="2" s="1"/>
  <c r="G1300" i="2"/>
  <c r="I1300" i="2" s="1"/>
  <c r="G1304" i="2"/>
  <c r="I1304" i="2" s="1"/>
  <c r="G1308" i="2"/>
  <c r="I1308" i="2" s="1"/>
  <c r="G1312" i="2"/>
  <c r="I1312" i="2" s="1"/>
  <c r="G1316" i="2"/>
  <c r="I1316" i="2" s="1"/>
  <c r="G1320" i="2"/>
  <c r="I1320" i="2" s="1"/>
  <c r="G1324" i="2"/>
  <c r="I1324" i="2" s="1"/>
  <c r="G1328" i="2"/>
  <c r="I1328" i="2" s="1"/>
  <c r="G1332" i="2"/>
  <c r="I1332" i="2" s="1"/>
  <c r="G1336" i="2"/>
  <c r="I1336" i="2" s="1"/>
  <c r="G1340" i="2"/>
  <c r="I1340" i="2" s="1"/>
  <c r="G1344" i="2"/>
  <c r="I1344" i="2" s="1"/>
  <c r="G1348" i="2"/>
  <c r="I1348" i="2" s="1"/>
  <c r="G1352" i="2"/>
  <c r="I1352" i="2" s="1"/>
  <c r="G1356" i="2"/>
  <c r="I1356" i="2" s="1"/>
  <c r="G1360" i="2"/>
  <c r="I1360" i="2" s="1"/>
  <c r="G1364" i="2"/>
  <c r="I1364" i="2" s="1"/>
  <c r="G1368" i="2"/>
  <c r="I1368" i="2" s="1"/>
  <c r="G1372" i="2"/>
  <c r="I1372" i="2" s="1"/>
  <c r="G1376" i="2"/>
  <c r="I1376" i="2" s="1"/>
  <c r="G1380" i="2"/>
  <c r="I1380" i="2" s="1"/>
  <c r="G1384" i="2"/>
  <c r="I1384" i="2" s="1"/>
  <c r="G1388" i="2"/>
  <c r="I1388" i="2" s="1"/>
  <c r="G1392" i="2"/>
  <c r="I1392" i="2" s="1"/>
  <c r="G1396" i="2"/>
  <c r="I1396" i="2" s="1"/>
  <c r="G1400" i="2"/>
  <c r="I1400" i="2" s="1"/>
  <c r="G1404" i="2"/>
  <c r="I1404" i="2" s="1"/>
  <c r="G1408" i="2"/>
  <c r="I1408" i="2" s="1"/>
  <c r="G1412" i="2"/>
  <c r="I1412" i="2" s="1"/>
  <c r="G1416" i="2"/>
  <c r="I1416" i="2" s="1"/>
  <c r="G1420" i="2"/>
  <c r="I1420" i="2" s="1"/>
  <c r="G1424" i="2"/>
  <c r="I1424" i="2" s="1"/>
  <c r="G1428" i="2"/>
  <c r="I1428" i="2" s="1"/>
  <c r="G1432" i="2"/>
  <c r="I1432" i="2" s="1"/>
  <c r="G1436" i="2"/>
  <c r="I1436" i="2" s="1"/>
  <c r="G1440" i="2"/>
  <c r="I1440" i="2" s="1"/>
  <c r="G1444" i="2"/>
  <c r="I1444" i="2" s="1"/>
  <c r="G1448" i="2"/>
  <c r="I1448" i="2" s="1"/>
  <c r="G1452" i="2"/>
  <c r="I1452" i="2" s="1"/>
  <c r="G1456" i="2"/>
  <c r="I1456" i="2" s="1"/>
  <c r="G1460" i="2"/>
  <c r="I1460" i="2" s="1"/>
  <c r="G1464" i="2"/>
  <c r="I1464" i="2" s="1"/>
  <c r="G1468" i="2"/>
  <c r="I1468" i="2" s="1"/>
  <c r="G1472" i="2"/>
  <c r="I1472" i="2" s="1"/>
  <c r="G1476" i="2"/>
  <c r="I1476" i="2" s="1"/>
  <c r="G1480" i="2"/>
  <c r="I1480" i="2" s="1"/>
  <c r="G1484" i="2"/>
  <c r="I1484" i="2" s="1"/>
  <c r="G1488" i="2"/>
  <c r="I1488" i="2" s="1"/>
  <c r="G1492" i="2"/>
  <c r="I1492" i="2" s="1"/>
  <c r="G1496" i="2"/>
  <c r="I1496" i="2" s="1"/>
  <c r="G1500" i="2"/>
  <c r="I1500" i="2" s="1"/>
  <c r="G1504" i="2"/>
  <c r="I1504" i="2" s="1"/>
  <c r="G1508" i="2"/>
  <c r="I1508" i="2" s="1"/>
  <c r="G1512" i="2"/>
  <c r="I1512" i="2" s="1"/>
  <c r="G1516" i="2"/>
  <c r="I1516" i="2" s="1"/>
  <c r="G1520" i="2"/>
  <c r="I1520" i="2" s="1"/>
  <c r="G1524" i="2"/>
  <c r="I1524" i="2" s="1"/>
  <c r="G1528" i="2"/>
  <c r="I1528" i="2" s="1"/>
  <c r="G1532" i="2"/>
  <c r="I1532" i="2" s="1"/>
  <c r="G1536" i="2"/>
  <c r="I1536" i="2" s="1"/>
  <c r="G1540" i="2"/>
  <c r="I1540" i="2" s="1"/>
  <c r="G1544" i="2"/>
  <c r="I1544" i="2" s="1"/>
  <c r="G1548" i="2"/>
  <c r="I1548" i="2" s="1"/>
  <c r="G1552" i="2"/>
  <c r="I1552" i="2" s="1"/>
  <c r="G1556" i="2"/>
  <c r="I1556" i="2" s="1"/>
  <c r="G1560" i="2"/>
  <c r="I1560" i="2" s="1"/>
  <c r="G1564" i="2"/>
  <c r="I1564" i="2" s="1"/>
  <c r="G1568" i="2"/>
  <c r="I1568" i="2" s="1"/>
  <c r="G1572" i="2"/>
  <c r="I1572" i="2" s="1"/>
  <c r="G1576" i="2"/>
  <c r="I1576" i="2" s="1"/>
  <c r="G1580" i="2"/>
  <c r="I1580" i="2" s="1"/>
  <c r="G1584" i="2"/>
  <c r="I1584" i="2" s="1"/>
  <c r="G1588" i="2"/>
  <c r="I1588" i="2" s="1"/>
  <c r="G1592" i="2"/>
  <c r="I1592" i="2" s="1"/>
  <c r="G1596" i="2"/>
  <c r="I1596" i="2" s="1"/>
  <c r="G1600" i="2"/>
  <c r="I1600" i="2" s="1"/>
  <c r="G1604" i="2"/>
  <c r="I1604" i="2" s="1"/>
  <c r="G1608" i="2"/>
  <c r="I1608" i="2" s="1"/>
  <c r="G1612" i="2"/>
  <c r="I1612" i="2" s="1"/>
  <c r="G1616" i="2"/>
  <c r="I1616" i="2" s="1"/>
  <c r="G1620" i="2"/>
  <c r="I1620" i="2" s="1"/>
  <c r="G1624" i="2"/>
  <c r="I1624" i="2" s="1"/>
  <c r="G1628" i="2"/>
  <c r="I1628" i="2" s="1"/>
  <c r="G1632" i="2"/>
  <c r="I1632" i="2" s="1"/>
  <c r="G1636" i="2"/>
  <c r="I1636" i="2" s="1"/>
  <c r="G769" i="2"/>
  <c r="I769" i="2" s="1"/>
  <c r="G785" i="2"/>
  <c r="I785" i="2" s="1"/>
  <c r="G801" i="2"/>
  <c r="I801" i="2" s="1"/>
  <c r="G817" i="2"/>
  <c r="I817" i="2" s="1"/>
  <c r="G833" i="2"/>
  <c r="I833" i="2" s="1"/>
  <c r="G849" i="2"/>
  <c r="I849" i="2" s="1"/>
  <c r="G865" i="2"/>
  <c r="I865" i="2" s="1"/>
  <c r="G881" i="2"/>
  <c r="I881" i="2" s="1"/>
  <c r="G897" i="2"/>
  <c r="I897" i="2" s="1"/>
  <c r="G913" i="2"/>
  <c r="I913" i="2" s="1"/>
  <c r="G929" i="2"/>
  <c r="I929" i="2" s="1"/>
  <c r="G945" i="2"/>
  <c r="I945" i="2" s="1"/>
  <c r="G961" i="2"/>
  <c r="I961" i="2" s="1"/>
  <c r="G977" i="2"/>
  <c r="I977" i="2" s="1"/>
  <c r="G993" i="2"/>
  <c r="I993" i="2" s="1"/>
  <c r="G1009" i="2"/>
  <c r="I1009" i="2" s="1"/>
  <c r="G1025" i="2"/>
  <c r="I1025" i="2" s="1"/>
  <c r="G1029" i="2"/>
  <c r="I1029" i="2" s="1"/>
  <c r="G1033" i="2"/>
  <c r="G1037" i="2"/>
  <c r="I1037" i="2" s="1"/>
  <c r="G1041" i="2"/>
  <c r="I1041" i="2" s="1"/>
  <c r="G1045" i="2"/>
  <c r="I1045" i="2" s="1"/>
  <c r="G1049" i="2"/>
  <c r="G1053" i="2"/>
  <c r="I1053" i="2" s="1"/>
  <c r="G1057" i="2"/>
  <c r="I1057" i="2" s="1"/>
  <c r="G1061" i="2"/>
  <c r="I1061" i="2" s="1"/>
  <c r="G1065" i="2"/>
  <c r="G1069" i="2"/>
  <c r="I1069" i="2" s="1"/>
  <c r="G1073" i="2"/>
  <c r="I1073" i="2" s="1"/>
  <c r="G1077" i="2"/>
  <c r="I1077" i="2" s="1"/>
  <c r="G1081" i="2"/>
  <c r="G1085" i="2"/>
  <c r="I1085" i="2" s="1"/>
  <c r="G1089" i="2"/>
  <c r="I1089" i="2" s="1"/>
  <c r="G1093" i="2"/>
  <c r="I1093" i="2" s="1"/>
  <c r="G1097" i="2"/>
  <c r="G1101" i="2"/>
  <c r="I1101" i="2" s="1"/>
  <c r="G1105" i="2"/>
  <c r="I1105" i="2" s="1"/>
  <c r="G1109" i="2"/>
  <c r="I1109" i="2" s="1"/>
  <c r="G1113" i="2"/>
  <c r="G1117" i="2"/>
  <c r="I1117" i="2" s="1"/>
  <c r="G1121" i="2"/>
  <c r="I1121" i="2" s="1"/>
  <c r="G1125" i="2"/>
  <c r="I1125" i="2" s="1"/>
  <c r="G1129" i="2"/>
  <c r="G1133" i="2"/>
  <c r="I1133" i="2" s="1"/>
  <c r="G1137" i="2"/>
  <c r="I1137" i="2" s="1"/>
  <c r="G1141" i="2"/>
  <c r="I1141" i="2" s="1"/>
  <c r="G1145" i="2"/>
  <c r="G1149" i="2"/>
  <c r="I1149" i="2" s="1"/>
  <c r="G1153" i="2"/>
  <c r="I1153" i="2" s="1"/>
  <c r="G1157" i="2"/>
  <c r="I1157" i="2" s="1"/>
  <c r="G1161" i="2"/>
  <c r="G1165" i="2"/>
  <c r="I1165" i="2" s="1"/>
  <c r="G1169" i="2"/>
  <c r="I1169" i="2" s="1"/>
  <c r="G1173" i="2"/>
  <c r="I1173" i="2" s="1"/>
  <c r="G1177" i="2"/>
  <c r="G1181" i="2"/>
  <c r="I1181" i="2" s="1"/>
  <c r="G1185" i="2"/>
  <c r="I1185" i="2" s="1"/>
  <c r="G1189" i="2"/>
  <c r="I1189" i="2" s="1"/>
  <c r="G1193" i="2"/>
  <c r="G1197" i="2"/>
  <c r="I1197" i="2" s="1"/>
  <c r="G1201" i="2"/>
  <c r="I1201" i="2" s="1"/>
  <c r="G1205" i="2"/>
  <c r="I1205" i="2" s="1"/>
  <c r="G1209" i="2"/>
  <c r="G1213" i="2"/>
  <c r="I1213" i="2" s="1"/>
  <c r="G1217" i="2"/>
  <c r="I1217" i="2" s="1"/>
  <c r="G1221" i="2"/>
  <c r="I1221" i="2" s="1"/>
  <c r="G1225" i="2"/>
  <c r="G1229" i="2"/>
  <c r="I1229" i="2" s="1"/>
  <c r="G1233" i="2"/>
  <c r="I1233" i="2" s="1"/>
  <c r="G1237" i="2"/>
  <c r="I1237" i="2" s="1"/>
  <c r="G1241" i="2"/>
  <c r="G1245" i="2"/>
  <c r="I1245" i="2" s="1"/>
  <c r="G1249" i="2"/>
  <c r="I1249" i="2" s="1"/>
  <c r="G1253" i="2"/>
  <c r="I1253" i="2" s="1"/>
  <c r="G1257" i="2"/>
  <c r="G1261" i="2"/>
  <c r="I1261" i="2" s="1"/>
  <c r="G1265" i="2"/>
  <c r="I1265" i="2" s="1"/>
  <c r="G1269" i="2"/>
  <c r="I1269" i="2" s="1"/>
  <c r="G1273" i="2"/>
  <c r="G1277" i="2"/>
  <c r="I1277" i="2" s="1"/>
  <c r="G1281" i="2"/>
  <c r="I1281" i="2" s="1"/>
  <c r="G1285" i="2"/>
  <c r="I1285" i="2" s="1"/>
  <c r="G1289" i="2"/>
  <c r="G1293" i="2"/>
  <c r="I1293" i="2" s="1"/>
  <c r="G1297" i="2"/>
  <c r="I1297" i="2" s="1"/>
  <c r="G1301" i="2"/>
  <c r="I1301" i="2" s="1"/>
  <c r="G1305" i="2"/>
  <c r="G1309" i="2"/>
  <c r="I1309" i="2" s="1"/>
  <c r="G1313" i="2"/>
  <c r="I1313" i="2" s="1"/>
  <c r="G1317" i="2"/>
  <c r="I1317" i="2" s="1"/>
  <c r="G1321" i="2"/>
  <c r="G1325" i="2"/>
  <c r="I1325" i="2" s="1"/>
  <c r="G1329" i="2"/>
  <c r="I1329" i="2" s="1"/>
  <c r="G1333" i="2"/>
  <c r="I1333" i="2" s="1"/>
  <c r="G1337" i="2"/>
  <c r="G1341" i="2"/>
  <c r="I1341" i="2" s="1"/>
  <c r="G1345" i="2"/>
  <c r="I1345" i="2" s="1"/>
  <c r="G1349" i="2"/>
  <c r="I1349" i="2" s="1"/>
  <c r="G1353" i="2"/>
  <c r="G1357" i="2"/>
  <c r="I1357" i="2" s="1"/>
  <c r="G1361" i="2"/>
  <c r="I1361" i="2" s="1"/>
  <c r="G1365" i="2"/>
  <c r="I1365" i="2" s="1"/>
  <c r="G1369" i="2"/>
  <c r="G1373" i="2"/>
  <c r="I1373" i="2" s="1"/>
  <c r="G1377" i="2"/>
  <c r="I1377" i="2" s="1"/>
  <c r="G1381" i="2"/>
  <c r="I1381" i="2" s="1"/>
  <c r="G1385" i="2"/>
  <c r="G1389" i="2"/>
  <c r="I1389" i="2" s="1"/>
  <c r="G1393" i="2"/>
  <c r="I1393" i="2" s="1"/>
  <c r="G1397" i="2"/>
  <c r="I1397" i="2" s="1"/>
  <c r="G1401" i="2"/>
  <c r="G1405" i="2"/>
  <c r="I1405" i="2" s="1"/>
  <c r="G1409" i="2"/>
  <c r="I1409" i="2" s="1"/>
  <c r="G1413" i="2"/>
  <c r="I1413" i="2" s="1"/>
  <c r="G1417" i="2"/>
  <c r="G1421" i="2"/>
  <c r="I1421" i="2" s="1"/>
  <c r="G1425" i="2"/>
  <c r="I1425" i="2" s="1"/>
  <c r="G1429" i="2"/>
  <c r="I1429" i="2" s="1"/>
  <c r="G1433" i="2"/>
  <c r="G1437" i="2"/>
  <c r="I1437" i="2" s="1"/>
  <c r="G1441" i="2"/>
  <c r="I1441" i="2" s="1"/>
  <c r="G1445" i="2"/>
  <c r="I1445" i="2" s="1"/>
  <c r="G1449" i="2"/>
  <c r="G1453" i="2"/>
  <c r="I1453" i="2" s="1"/>
  <c r="G1457" i="2"/>
  <c r="I1457" i="2" s="1"/>
  <c r="G1461" i="2"/>
  <c r="I1461" i="2" s="1"/>
  <c r="G1465" i="2"/>
  <c r="G1469" i="2"/>
  <c r="I1469" i="2" s="1"/>
  <c r="G1473" i="2"/>
  <c r="I1473" i="2" s="1"/>
  <c r="G1477" i="2"/>
  <c r="I1477" i="2" s="1"/>
  <c r="G1481" i="2"/>
  <c r="G1485" i="2"/>
  <c r="I1485" i="2" s="1"/>
  <c r="G1489" i="2"/>
  <c r="I1489" i="2" s="1"/>
  <c r="G1493" i="2"/>
  <c r="I1493" i="2" s="1"/>
  <c r="G1497" i="2"/>
  <c r="G1501" i="2"/>
  <c r="I1501" i="2" s="1"/>
  <c r="G1505" i="2"/>
  <c r="I1505" i="2" s="1"/>
  <c r="G1509" i="2"/>
  <c r="I1509" i="2" s="1"/>
  <c r="G1513" i="2"/>
  <c r="G1517" i="2"/>
  <c r="I1517" i="2" s="1"/>
  <c r="G1521" i="2"/>
  <c r="I1521" i="2" s="1"/>
  <c r="G1525" i="2"/>
  <c r="I1525" i="2" s="1"/>
  <c r="G1529" i="2"/>
  <c r="G1533" i="2"/>
  <c r="I1533" i="2" s="1"/>
  <c r="G1537" i="2"/>
  <c r="I1537" i="2" s="1"/>
  <c r="G1541" i="2"/>
  <c r="I1541" i="2" s="1"/>
  <c r="G1545" i="2"/>
  <c r="G1549" i="2"/>
  <c r="I1549" i="2" s="1"/>
  <c r="G1553" i="2"/>
  <c r="I1553" i="2" s="1"/>
  <c r="G1557" i="2"/>
  <c r="I1557" i="2" s="1"/>
  <c r="G1561" i="2"/>
  <c r="G1565" i="2"/>
  <c r="I1565" i="2" s="1"/>
  <c r="G1569" i="2"/>
  <c r="I1569" i="2" s="1"/>
  <c r="G1573" i="2"/>
  <c r="I1573" i="2" s="1"/>
  <c r="G1577" i="2"/>
  <c r="G1581" i="2"/>
  <c r="I1581" i="2" s="1"/>
  <c r="G1585" i="2"/>
  <c r="I1585" i="2" s="1"/>
  <c r="G1589" i="2"/>
  <c r="I1589" i="2" s="1"/>
  <c r="G1593" i="2"/>
  <c r="G1597" i="2"/>
  <c r="I1597" i="2" s="1"/>
  <c r="G1601" i="2"/>
  <c r="I1601" i="2" s="1"/>
  <c r="G1605" i="2"/>
  <c r="I1605" i="2" s="1"/>
  <c r="G1609" i="2"/>
  <c r="G1613" i="2"/>
  <c r="I1613" i="2" s="1"/>
  <c r="G1617" i="2"/>
  <c r="I1617" i="2" s="1"/>
  <c r="G1621" i="2"/>
  <c r="I1621" i="2" s="1"/>
  <c r="G1625" i="2"/>
  <c r="G1629" i="2"/>
  <c r="I1629" i="2" s="1"/>
  <c r="G1633" i="2"/>
  <c r="I1633" i="2" s="1"/>
  <c r="G1637" i="2"/>
  <c r="I1637" i="2" s="1"/>
  <c r="G821" i="2"/>
  <c r="I821" i="2" s="1"/>
  <c r="G885" i="2"/>
  <c r="I885" i="2" s="1"/>
  <c r="G949" i="2"/>
  <c r="I949" i="2" s="1"/>
  <c r="G1013" i="2"/>
  <c r="I1013" i="2" s="1"/>
  <c r="G1038" i="2"/>
  <c r="I1038" i="2" s="1"/>
  <c r="G1054" i="2"/>
  <c r="I1054" i="2" s="1"/>
  <c r="G1070" i="2"/>
  <c r="I1070" i="2" s="1"/>
  <c r="G1086" i="2"/>
  <c r="I1086" i="2" s="1"/>
  <c r="G1102" i="2"/>
  <c r="I1102" i="2" s="1"/>
  <c r="G1118" i="2"/>
  <c r="I1118" i="2" s="1"/>
  <c r="G1134" i="2"/>
  <c r="I1134" i="2" s="1"/>
  <c r="G1150" i="2"/>
  <c r="I1150" i="2" s="1"/>
  <c r="G1166" i="2"/>
  <c r="I1166" i="2" s="1"/>
  <c r="G1182" i="2"/>
  <c r="I1182" i="2" s="1"/>
  <c r="G1198" i="2"/>
  <c r="I1198" i="2" s="1"/>
  <c r="G1214" i="2"/>
  <c r="I1214" i="2" s="1"/>
  <c r="G1230" i="2"/>
  <c r="I1230" i="2" s="1"/>
  <c r="G1246" i="2"/>
  <c r="I1246" i="2" s="1"/>
  <c r="G1262" i="2"/>
  <c r="I1262" i="2" s="1"/>
  <c r="G1278" i="2"/>
  <c r="I1278" i="2" s="1"/>
  <c r="G1294" i="2"/>
  <c r="I1294" i="2" s="1"/>
  <c r="G1310" i="2"/>
  <c r="I1310" i="2" s="1"/>
  <c r="G1326" i="2"/>
  <c r="I1326" i="2" s="1"/>
  <c r="G1342" i="2"/>
  <c r="I1342" i="2" s="1"/>
  <c r="G1358" i="2"/>
  <c r="I1358" i="2" s="1"/>
  <c r="G1374" i="2"/>
  <c r="I1374" i="2" s="1"/>
  <c r="G1390" i="2"/>
  <c r="I1390" i="2" s="1"/>
  <c r="G1406" i="2"/>
  <c r="I1406" i="2" s="1"/>
  <c r="G1422" i="2"/>
  <c r="I1422" i="2" s="1"/>
  <c r="G1438" i="2"/>
  <c r="I1438" i="2" s="1"/>
  <c r="G1454" i="2"/>
  <c r="I1454" i="2" s="1"/>
  <c r="G1470" i="2"/>
  <c r="I1470" i="2" s="1"/>
  <c r="G1486" i="2"/>
  <c r="I1486" i="2" s="1"/>
  <c r="G1502" i="2"/>
  <c r="I1502" i="2" s="1"/>
  <c r="G1518" i="2"/>
  <c r="I1518" i="2" s="1"/>
  <c r="G1534" i="2"/>
  <c r="I1534" i="2" s="1"/>
  <c r="G1550" i="2"/>
  <c r="I1550" i="2" s="1"/>
  <c r="G1566" i="2"/>
  <c r="I1566" i="2" s="1"/>
  <c r="G1582" i="2"/>
  <c r="I1582" i="2" s="1"/>
  <c r="G1598" i="2"/>
  <c r="I1598" i="2" s="1"/>
  <c r="G1614" i="2"/>
  <c r="I1614" i="2" s="1"/>
  <c r="G1630" i="2"/>
  <c r="I1630" i="2" s="1"/>
  <c r="G1641" i="2"/>
  <c r="G1645" i="2"/>
  <c r="I1645" i="2" s="1"/>
  <c r="G1649" i="2"/>
  <c r="I1649" i="2" s="1"/>
  <c r="G1653" i="2"/>
  <c r="I1653" i="2" s="1"/>
  <c r="G1657" i="2"/>
  <c r="G1661" i="2"/>
  <c r="I1661" i="2" s="1"/>
  <c r="G1665" i="2"/>
  <c r="I1665" i="2" s="1"/>
  <c r="G1669" i="2"/>
  <c r="I1669" i="2" s="1"/>
  <c r="G1673" i="2"/>
  <c r="G1677" i="2"/>
  <c r="I1677" i="2" s="1"/>
  <c r="G1681" i="2"/>
  <c r="I1681" i="2" s="1"/>
  <c r="G1685" i="2"/>
  <c r="I1685" i="2" s="1"/>
  <c r="G1689" i="2"/>
  <c r="G1693" i="2"/>
  <c r="I1693" i="2" s="1"/>
  <c r="G1697" i="2"/>
  <c r="I1697" i="2" s="1"/>
  <c r="G1701" i="2"/>
  <c r="I1701" i="2" s="1"/>
  <c r="G1705" i="2"/>
  <c r="G1709" i="2"/>
  <c r="I1709" i="2" s="1"/>
  <c r="G1713" i="2"/>
  <c r="I1713" i="2" s="1"/>
  <c r="G1717" i="2"/>
  <c r="I1717" i="2" s="1"/>
  <c r="G1721" i="2"/>
  <c r="G1725" i="2"/>
  <c r="I1725" i="2" s="1"/>
  <c r="G1729" i="2"/>
  <c r="I1729" i="2" s="1"/>
  <c r="G1733" i="2"/>
  <c r="I1733" i="2" s="1"/>
  <c r="G1737" i="2"/>
  <c r="G1741" i="2"/>
  <c r="I1741" i="2" s="1"/>
  <c r="G1745" i="2"/>
  <c r="I1745" i="2" s="1"/>
  <c r="G1749" i="2"/>
  <c r="I1749" i="2" s="1"/>
  <c r="G1753" i="2"/>
  <c r="G1757" i="2"/>
  <c r="I1757" i="2" s="1"/>
  <c r="G1761" i="2"/>
  <c r="I1761" i="2" s="1"/>
  <c r="G1765" i="2"/>
  <c r="I1765" i="2" s="1"/>
  <c r="G1769" i="2"/>
  <c r="G1773" i="2"/>
  <c r="I1773" i="2" s="1"/>
  <c r="G1777" i="2"/>
  <c r="I1777" i="2" s="1"/>
  <c r="G1781" i="2"/>
  <c r="I1781" i="2" s="1"/>
  <c r="G1785" i="2"/>
  <c r="G1789" i="2"/>
  <c r="I1789" i="2" s="1"/>
  <c r="G1793" i="2"/>
  <c r="I1793" i="2" s="1"/>
  <c r="G1797" i="2"/>
  <c r="I1797" i="2" s="1"/>
  <c r="G1801" i="2"/>
  <c r="G1805" i="2"/>
  <c r="I1805" i="2" s="1"/>
  <c r="G1809" i="2"/>
  <c r="I1809" i="2" s="1"/>
  <c r="G1813" i="2"/>
  <c r="I1813" i="2" s="1"/>
  <c r="G1817" i="2"/>
  <c r="G1821" i="2"/>
  <c r="I1821" i="2" s="1"/>
  <c r="G1825" i="2"/>
  <c r="I1825" i="2" s="1"/>
  <c r="G1829" i="2"/>
  <c r="I1829" i="2" s="1"/>
  <c r="G1833" i="2"/>
  <c r="G1837" i="2"/>
  <c r="I1837" i="2" s="1"/>
  <c r="G1841" i="2"/>
  <c r="I1841" i="2" s="1"/>
  <c r="G1845" i="2"/>
  <c r="I1845" i="2" s="1"/>
  <c r="G1849" i="2"/>
  <c r="G1853" i="2"/>
  <c r="I1853" i="2" s="1"/>
  <c r="G1857" i="2"/>
  <c r="I1857" i="2" s="1"/>
  <c r="G1861" i="2"/>
  <c r="I1861" i="2" s="1"/>
  <c r="G1865" i="2"/>
  <c r="G1869" i="2"/>
  <c r="I1869" i="2" s="1"/>
  <c r="G1873" i="2"/>
  <c r="I1873" i="2" s="1"/>
  <c r="G1877" i="2"/>
  <c r="I1877" i="2" s="1"/>
  <c r="G1881" i="2"/>
  <c r="G1885" i="2"/>
  <c r="I1885" i="2" s="1"/>
  <c r="G1889" i="2"/>
  <c r="I1889" i="2" s="1"/>
  <c r="G1893" i="2"/>
  <c r="I1893" i="2" s="1"/>
  <c r="G1897" i="2"/>
  <c r="G1901" i="2"/>
  <c r="I1901" i="2" s="1"/>
  <c r="G1905" i="2"/>
  <c r="I1905" i="2" s="1"/>
  <c r="G1909" i="2"/>
  <c r="I1909" i="2" s="1"/>
  <c r="G1913" i="2"/>
  <c r="G1917" i="2"/>
  <c r="I1917" i="2" s="1"/>
  <c r="G1921" i="2"/>
  <c r="I1921" i="2" s="1"/>
  <c r="G1925" i="2"/>
  <c r="I1925" i="2" s="1"/>
  <c r="G1929" i="2"/>
  <c r="G1933" i="2"/>
  <c r="I1933" i="2" s="1"/>
  <c r="G1937" i="2"/>
  <c r="I1937" i="2" s="1"/>
  <c r="G1941" i="2"/>
  <c r="I1941" i="2" s="1"/>
  <c r="G1945" i="2"/>
  <c r="G1949" i="2"/>
  <c r="I1949" i="2" s="1"/>
  <c r="G1953" i="2"/>
  <c r="I1953" i="2" s="1"/>
  <c r="G1957" i="2"/>
  <c r="I1957" i="2" s="1"/>
  <c r="G1961" i="2"/>
  <c r="G1965" i="2"/>
  <c r="I1965" i="2" s="1"/>
  <c r="G1969" i="2"/>
  <c r="I1969" i="2" s="1"/>
  <c r="G1973" i="2"/>
  <c r="I1973" i="2" s="1"/>
  <c r="G1977" i="2"/>
  <c r="G1981" i="2"/>
  <c r="I1981" i="2" s="1"/>
  <c r="G1985" i="2"/>
  <c r="I1985" i="2" s="1"/>
  <c r="G1989" i="2"/>
  <c r="I1989" i="2" s="1"/>
  <c r="G1993" i="2"/>
  <c r="G1997" i="2"/>
  <c r="I1997" i="2" s="1"/>
  <c r="G2001" i="2"/>
  <c r="I2001" i="2" s="1"/>
  <c r="G2005" i="2"/>
  <c r="I2005" i="2" s="1"/>
  <c r="G2009" i="2"/>
  <c r="G2013" i="2"/>
  <c r="I2013" i="2" s="1"/>
  <c r="G2017" i="2"/>
  <c r="I2017" i="2" s="1"/>
  <c r="G2021" i="2"/>
  <c r="I2021" i="2" s="1"/>
  <c r="G2025" i="2"/>
  <c r="G2029" i="2"/>
  <c r="I2029" i="2" s="1"/>
  <c r="G2033" i="2"/>
  <c r="I2033" i="2" s="1"/>
  <c r="G2037" i="2"/>
  <c r="I2037" i="2" s="1"/>
  <c r="G2041" i="2"/>
  <c r="G2045" i="2"/>
  <c r="I2045" i="2" s="1"/>
  <c r="G2049" i="2"/>
  <c r="I2049" i="2" s="1"/>
  <c r="G2053" i="2"/>
  <c r="I2053" i="2" s="1"/>
  <c r="G2057" i="2"/>
  <c r="G2061" i="2"/>
  <c r="I2061" i="2" s="1"/>
  <c r="G2065" i="2"/>
  <c r="I2065" i="2" s="1"/>
  <c r="G2069" i="2"/>
  <c r="I2069" i="2" s="1"/>
  <c r="G2073" i="2"/>
  <c r="G2077" i="2"/>
  <c r="I2077" i="2" s="1"/>
  <c r="G2081" i="2"/>
  <c r="I2081" i="2" s="1"/>
  <c r="G2085" i="2"/>
  <c r="I2085" i="2" s="1"/>
  <c r="G2089" i="2"/>
  <c r="G2093" i="2"/>
  <c r="I2093" i="2" s="1"/>
  <c r="G2097" i="2"/>
  <c r="I2097" i="2" s="1"/>
  <c r="G2101" i="2"/>
  <c r="I2101" i="2" s="1"/>
  <c r="G2105" i="2"/>
  <c r="G2109" i="2"/>
  <c r="I2109" i="2" s="1"/>
  <c r="G2113" i="2"/>
  <c r="I2113" i="2" s="1"/>
  <c r="G2117" i="2"/>
  <c r="I2117" i="2" s="1"/>
  <c r="G2121" i="2"/>
  <c r="G2125" i="2"/>
  <c r="I2125" i="2" s="1"/>
  <c r="G2129" i="2"/>
  <c r="I2129" i="2" s="1"/>
  <c r="G773" i="2"/>
  <c r="I773" i="2" s="1"/>
  <c r="G837" i="2"/>
  <c r="I837" i="2" s="1"/>
  <c r="G901" i="2"/>
  <c r="I901" i="2" s="1"/>
  <c r="G965" i="2"/>
  <c r="I965" i="2" s="1"/>
  <c r="G1026" i="2"/>
  <c r="G1042" i="2"/>
  <c r="G1058" i="2"/>
  <c r="I1058" i="2" s="1"/>
  <c r="G1074" i="2"/>
  <c r="G1090" i="2"/>
  <c r="G1106" i="2"/>
  <c r="G1122" i="2"/>
  <c r="I1122" i="2" s="1"/>
  <c r="G1138" i="2"/>
  <c r="G1154" i="2"/>
  <c r="G1170" i="2"/>
  <c r="G1186" i="2"/>
  <c r="I1186" i="2" s="1"/>
  <c r="G1202" i="2"/>
  <c r="G1218" i="2"/>
  <c r="G1234" i="2"/>
  <c r="G1250" i="2"/>
  <c r="I1250" i="2" s="1"/>
  <c r="G1266" i="2"/>
  <c r="G1282" i="2"/>
  <c r="G1298" i="2"/>
  <c r="G1314" i="2"/>
  <c r="I1314" i="2" s="1"/>
  <c r="G1330" i="2"/>
  <c r="I1330" i="2" s="1"/>
  <c r="G1346" i="2"/>
  <c r="I1346" i="2" s="1"/>
  <c r="G1362" i="2"/>
  <c r="I1362" i="2" s="1"/>
  <c r="G1378" i="2"/>
  <c r="I1378" i="2" s="1"/>
  <c r="G1394" i="2"/>
  <c r="I1394" i="2" s="1"/>
  <c r="G1410" i="2"/>
  <c r="I1410" i="2" s="1"/>
  <c r="G1426" i="2"/>
  <c r="I1426" i="2" s="1"/>
  <c r="G1442" i="2"/>
  <c r="I1442" i="2" s="1"/>
  <c r="G1458" i="2"/>
  <c r="I1458" i="2" s="1"/>
  <c r="G1474" i="2"/>
  <c r="I1474" i="2" s="1"/>
  <c r="G1490" i="2"/>
  <c r="I1490" i="2" s="1"/>
  <c r="G1506" i="2"/>
  <c r="I1506" i="2" s="1"/>
  <c r="G1522" i="2"/>
  <c r="I1522" i="2" s="1"/>
  <c r="G1538" i="2"/>
  <c r="I1538" i="2" s="1"/>
  <c r="G1554" i="2"/>
  <c r="I1554" i="2" s="1"/>
  <c r="G1570" i="2"/>
  <c r="I1570" i="2" s="1"/>
  <c r="G1586" i="2"/>
  <c r="I1586" i="2" s="1"/>
  <c r="G1602" i="2"/>
  <c r="I1602" i="2" s="1"/>
  <c r="G1618" i="2"/>
  <c r="I1618" i="2" s="1"/>
  <c r="G1634" i="2"/>
  <c r="I1634" i="2" s="1"/>
  <c r="G1642" i="2"/>
  <c r="I1642" i="2" s="1"/>
  <c r="G1646" i="2"/>
  <c r="I1646" i="2" s="1"/>
  <c r="G1650" i="2"/>
  <c r="I1650" i="2" s="1"/>
  <c r="G1654" i="2"/>
  <c r="I1654" i="2" s="1"/>
  <c r="G1658" i="2"/>
  <c r="I1658" i="2" s="1"/>
  <c r="G1662" i="2"/>
  <c r="I1662" i="2" s="1"/>
  <c r="G1666" i="2"/>
  <c r="I1666" i="2" s="1"/>
  <c r="G1670" i="2"/>
  <c r="I1670" i="2" s="1"/>
  <c r="G1674" i="2"/>
  <c r="I1674" i="2" s="1"/>
  <c r="G1678" i="2"/>
  <c r="I1678" i="2" s="1"/>
  <c r="G1682" i="2"/>
  <c r="I1682" i="2" s="1"/>
  <c r="G1686" i="2"/>
  <c r="I1686" i="2" s="1"/>
  <c r="G1690" i="2"/>
  <c r="I1690" i="2" s="1"/>
  <c r="G1694" i="2"/>
  <c r="I1694" i="2" s="1"/>
  <c r="G1698" i="2"/>
  <c r="I1698" i="2" s="1"/>
  <c r="G1702" i="2"/>
  <c r="I1702" i="2" s="1"/>
  <c r="G1706" i="2"/>
  <c r="I1706" i="2" s="1"/>
  <c r="G1710" i="2"/>
  <c r="I1710" i="2" s="1"/>
  <c r="G1714" i="2"/>
  <c r="I1714" i="2" s="1"/>
  <c r="G1718" i="2"/>
  <c r="I1718" i="2" s="1"/>
  <c r="G1722" i="2"/>
  <c r="I1722" i="2" s="1"/>
  <c r="G1726" i="2"/>
  <c r="I1726" i="2" s="1"/>
  <c r="G1730" i="2"/>
  <c r="I1730" i="2" s="1"/>
  <c r="G1734" i="2"/>
  <c r="I1734" i="2" s="1"/>
  <c r="G1738" i="2"/>
  <c r="I1738" i="2" s="1"/>
  <c r="G1742" i="2"/>
  <c r="I1742" i="2" s="1"/>
  <c r="G1746" i="2"/>
  <c r="I1746" i="2" s="1"/>
  <c r="G1750" i="2"/>
  <c r="I1750" i="2" s="1"/>
  <c r="G1754" i="2"/>
  <c r="I1754" i="2" s="1"/>
  <c r="G1758" i="2"/>
  <c r="I1758" i="2" s="1"/>
  <c r="G1762" i="2"/>
  <c r="I1762" i="2" s="1"/>
  <c r="G1766" i="2"/>
  <c r="I1766" i="2" s="1"/>
  <c r="G1770" i="2"/>
  <c r="I1770" i="2" s="1"/>
  <c r="G1774" i="2"/>
  <c r="I1774" i="2" s="1"/>
  <c r="G1778" i="2"/>
  <c r="I1778" i="2" s="1"/>
  <c r="G1782" i="2"/>
  <c r="I1782" i="2" s="1"/>
  <c r="G1786" i="2"/>
  <c r="I1786" i="2" s="1"/>
  <c r="G1790" i="2"/>
  <c r="I1790" i="2" s="1"/>
  <c r="G1794" i="2"/>
  <c r="I1794" i="2" s="1"/>
  <c r="G1798" i="2"/>
  <c r="I1798" i="2" s="1"/>
  <c r="G1802" i="2"/>
  <c r="I1802" i="2" s="1"/>
  <c r="G1806" i="2"/>
  <c r="I1806" i="2" s="1"/>
  <c r="G1810" i="2"/>
  <c r="I1810" i="2" s="1"/>
  <c r="G1814" i="2"/>
  <c r="I1814" i="2" s="1"/>
  <c r="G1818" i="2"/>
  <c r="I1818" i="2" s="1"/>
  <c r="G1822" i="2"/>
  <c r="I1822" i="2" s="1"/>
  <c r="G1826" i="2"/>
  <c r="I1826" i="2" s="1"/>
  <c r="G1830" i="2"/>
  <c r="I1830" i="2" s="1"/>
  <c r="G1834" i="2"/>
  <c r="I1834" i="2" s="1"/>
  <c r="G1838" i="2"/>
  <c r="I1838" i="2" s="1"/>
  <c r="G1842" i="2"/>
  <c r="I1842" i="2" s="1"/>
  <c r="G1846" i="2"/>
  <c r="I1846" i="2" s="1"/>
  <c r="G1850" i="2"/>
  <c r="I1850" i="2" s="1"/>
  <c r="G1854" i="2"/>
  <c r="I1854" i="2" s="1"/>
  <c r="G1858" i="2"/>
  <c r="I1858" i="2" s="1"/>
  <c r="G1862" i="2"/>
  <c r="I1862" i="2" s="1"/>
  <c r="G1866" i="2"/>
  <c r="I1866" i="2" s="1"/>
  <c r="G1870" i="2"/>
  <c r="I1870" i="2" s="1"/>
  <c r="G1874" i="2"/>
  <c r="I1874" i="2" s="1"/>
  <c r="G1878" i="2"/>
  <c r="I1878" i="2" s="1"/>
  <c r="G1882" i="2"/>
  <c r="I1882" i="2" s="1"/>
  <c r="G1886" i="2"/>
  <c r="I1886" i="2" s="1"/>
  <c r="G1890" i="2"/>
  <c r="I1890" i="2" s="1"/>
  <c r="G1894" i="2"/>
  <c r="I1894" i="2" s="1"/>
  <c r="G1898" i="2"/>
  <c r="I1898" i="2" s="1"/>
  <c r="G1902" i="2"/>
  <c r="I1902" i="2" s="1"/>
  <c r="G1906" i="2"/>
  <c r="I1906" i="2" s="1"/>
  <c r="G1910" i="2"/>
  <c r="I1910" i="2" s="1"/>
  <c r="G1914" i="2"/>
  <c r="I1914" i="2" s="1"/>
  <c r="G1918" i="2"/>
  <c r="I1918" i="2" s="1"/>
  <c r="G1922" i="2"/>
  <c r="I1922" i="2" s="1"/>
  <c r="G1926" i="2"/>
  <c r="I1926" i="2" s="1"/>
  <c r="G1930" i="2"/>
  <c r="I1930" i="2" s="1"/>
  <c r="G1934" i="2"/>
  <c r="I1934" i="2" s="1"/>
  <c r="G1938" i="2"/>
  <c r="I1938" i="2" s="1"/>
  <c r="G1942" i="2"/>
  <c r="I1942" i="2" s="1"/>
  <c r="G1946" i="2"/>
  <c r="I1946" i="2" s="1"/>
  <c r="G1950" i="2"/>
  <c r="I1950" i="2" s="1"/>
  <c r="G1954" i="2"/>
  <c r="I1954" i="2" s="1"/>
  <c r="G1958" i="2"/>
  <c r="I1958" i="2" s="1"/>
  <c r="G1962" i="2"/>
  <c r="I1962" i="2" s="1"/>
  <c r="G1966" i="2"/>
  <c r="I1966" i="2" s="1"/>
  <c r="G1970" i="2"/>
  <c r="I1970" i="2" s="1"/>
  <c r="G1974" i="2"/>
  <c r="I1974" i="2" s="1"/>
  <c r="G1978" i="2"/>
  <c r="I1978" i="2" s="1"/>
  <c r="G1982" i="2"/>
  <c r="I1982" i="2" s="1"/>
  <c r="G1986" i="2"/>
  <c r="I1986" i="2" s="1"/>
  <c r="G1990" i="2"/>
  <c r="I1990" i="2" s="1"/>
  <c r="G1994" i="2"/>
  <c r="I1994" i="2" s="1"/>
  <c r="G1998" i="2"/>
  <c r="I1998" i="2" s="1"/>
  <c r="G2002" i="2"/>
  <c r="I2002" i="2" s="1"/>
  <c r="G2006" i="2"/>
  <c r="I2006" i="2" s="1"/>
  <c r="G2010" i="2"/>
  <c r="I2010" i="2" s="1"/>
  <c r="G2014" i="2"/>
  <c r="I2014" i="2" s="1"/>
  <c r="G2018" i="2"/>
  <c r="I2018" i="2" s="1"/>
  <c r="G2022" i="2"/>
  <c r="I2022" i="2" s="1"/>
  <c r="G2026" i="2"/>
  <c r="I2026" i="2" s="1"/>
  <c r="G2030" i="2"/>
  <c r="I2030" i="2" s="1"/>
  <c r="G2034" i="2"/>
  <c r="I2034" i="2" s="1"/>
  <c r="G2038" i="2"/>
  <c r="I2038" i="2" s="1"/>
  <c r="G2042" i="2"/>
  <c r="I2042" i="2" s="1"/>
  <c r="G2046" i="2"/>
  <c r="I2046" i="2" s="1"/>
  <c r="G2050" i="2"/>
  <c r="I2050" i="2" s="1"/>
  <c r="G2054" i="2"/>
  <c r="I2054" i="2" s="1"/>
  <c r="G2058" i="2"/>
  <c r="I2058" i="2" s="1"/>
  <c r="G2062" i="2"/>
  <c r="I2062" i="2" s="1"/>
  <c r="G2066" i="2"/>
  <c r="I2066" i="2" s="1"/>
  <c r="G2070" i="2"/>
  <c r="I2070" i="2" s="1"/>
  <c r="G2074" i="2"/>
  <c r="I2074" i="2" s="1"/>
  <c r="G2078" i="2"/>
  <c r="I2078" i="2" s="1"/>
  <c r="G2082" i="2"/>
  <c r="I2082" i="2" s="1"/>
  <c r="G2086" i="2"/>
  <c r="I2086" i="2" s="1"/>
  <c r="G2090" i="2"/>
  <c r="I2090" i="2" s="1"/>
  <c r="G2094" i="2"/>
  <c r="I2094" i="2" s="1"/>
  <c r="G2098" i="2"/>
  <c r="I2098" i="2" s="1"/>
  <c r="G2102" i="2"/>
  <c r="I2102" i="2" s="1"/>
  <c r="G2106" i="2"/>
  <c r="I2106" i="2" s="1"/>
  <c r="G2110" i="2"/>
  <c r="I2110" i="2" s="1"/>
  <c r="G2114" i="2"/>
  <c r="I2114" i="2" s="1"/>
  <c r="G2118" i="2"/>
  <c r="I2118" i="2" s="1"/>
  <c r="G2122" i="2"/>
  <c r="I2122" i="2" s="1"/>
  <c r="G2126" i="2"/>
  <c r="I2126" i="2" s="1"/>
  <c r="G2130" i="2"/>
  <c r="I2130" i="2" s="1"/>
  <c r="G789" i="2"/>
  <c r="I789" i="2" s="1"/>
  <c r="G853" i="2"/>
  <c r="I853" i="2" s="1"/>
  <c r="G917" i="2"/>
  <c r="I917" i="2" s="1"/>
  <c r="G981" i="2"/>
  <c r="I981" i="2" s="1"/>
  <c r="G1030" i="2"/>
  <c r="I1030" i="2" s="1"/>
  <c r="G1046" i="2"/>
  <c r="I1046" i="2" s="1"/>
  <c r="G1062" i="2"/>
  <c r="I1062" i="2" s="1"/>
  <c r="G1078" i="2"/>
  <c r="I1078" i="2" s="1"/>
  <c r="G1094" i="2"/>
  <c r="I1094" i="2" s="1"/>
  <c r="G1110" i="2"/>
  <c r="I1110" i="2" s="1"/>
  <c r="G1126" i="2"/>
  <c r="I1126" i="2" s="1"/>
  <c r="G1142" i="2"/>
  <c r="I1142" i="2" s="1"/>
  <c r="G1158" i="2"/>
  <c r="I1158" i="2" s="1"/>
  <c r="G1174" i="2"/>
  <c r="I1174" i="2" s="1"/>
  <c r="G1190" i="2"/>
  <c r="I1190" i="2" s="1"/>
  <c r="G1206" i="2"/>
  <c r="I1206" i="2" s="1"/>
  <c r="G1222" i="2"/>
  <c r="I1222" i="2" s="1"/>
  <c r="G1238" i="2"/>
  <c r="I1238" i="2" s="1"/>
  <c r="G1254" i="2"/>
  <c r="I1254" i="2" s="1"/>
  <c r="G1270" i="2"/>
  <c r="I1270" i="2" s="1"/>
  <c r="G1286" i="2"/>
  <c r="I1286" i="2" s="1"/>
  <c r="G1302" i="2"/>
  <c r="I1302" i="2" s="1"/>
  <c r="G1318" i="2"/>
  <c r="I1318" i="2" s="1"/>
  <c r="G1334" i="2"/>
  <c r="I1334" i="2" s="1"/>
  <c r="G1350" i="2"/>
  <c r="I1350" i="2" s="1"/>
  <c r="G1366" i="2"/>
  <c r="I1366" i="2" s="1"/>
  <c r="G1382" i="2"/>
  <c r="I1382" i="2" s="1"/>
  <c r="G1398" i="2"/>
  <c r="I1398" i="2" s="1"/>
  <c r="G1414" i="2"/>
  <c r="I1414" i="2" s="1"/>
  <c r="G1430" i="2"/>
  <c r="I1430" i="2" s="1"/>
  <c r="G1446" i="2"/>
  <c r="I1446" i="2" s="1"/>
  <c r="G1462" i="2"/>
  <c r="I1462" i="2" s="1"/>
  <c r="G1478" i="2"/>
  <c r="I1478" i="2" s="1"/>
  <c r="G1494" i="2"/>
  <c r="I1494" i="2" s="1"/>
  <c r="G1510" i="2"/>
  <c r="I1510" i="2" s="1"/>
  <c r="G1526" i="2"/>
  <c r="I1526" i="2" s="1"/>
  <c r="G1542" i="2"/>
  <c r="I1542" i="2" s="1"/>
  <c r="G1558" i="2"/>
  <c r="I1558" i="2" s="1"/>
  <c r="G1574" i="2"/>
  <c r="I1574" i="2" s="1"/>
  <c r="G1590" i="2"/>
  <c r="I1590" i="2" s="1"/>
  <c r="G1606" i="2"/>
  <c r="I1606" i="2" s="1"/>
  <c r="G1622" i="2"/>
  <c r="I1622" i="2" s="1"/>
  <c r="G1638" i="2"/>
  <c r="I1638" i="2" s="1"/>
  <c r="G1643" i="2"/>
  <c r="I1643" i="2" s="1"/>
  <c r="G1647" i="2"/>
  <c r="I1647" i="2" s="1"/>
  <c r="G1651" i="2"/>
  <c r="I1651" i="2" s="1"/>
  <c r="G1655" i="2"/>
  <c r="I1655" i="2" s="1"/>
  <c r="G1659" i="2"/>
  <c r="I1659" i="2" s="1"/>
  <c r="G1663" i="2"/>
  <c r="I1663" i="2" s="1"/>
  <c r="G1667" i="2"/>
  <c r="I1667" i="2" s="1"/>
  <c r="G1671" i="2"/>
  <c r="I1671" i="2" s="1"/>
  <c r="G1675" i="2"/>
  <c r="I1675" i="2" s="1"/>
  <c r="G1679" i="2"/>
  <c r="I1679" i="2" s="1"/>
  <c r="G1683" i="2"/>
  <c r="I1683" i="2" s="1"/>
  <c r="G1687" i="2"/>
  <c r="I1687" i="2" s="1"/>
  <c r="G1691" i="2"/>
  <c r="I1691" i="2" s="1"/>
  <c r="G1695" i="2"/>
  <c r="I1695" i="2" s="1"/>
  <c r="G1699" i="2"/>
  <c r="I1699" i="2" s="1"/>
  <c r="G1703" i="2"/>
  <c r="I1703" i="2" s="1"/>
  <c r="G1707" i="2"/>
  <c r="I1707" i="2" s="1"/>
  <c r="G1711" i="2"/>
  <c r="I1711" i="2" s="1"/>
  <c r="G1715" i="2"/>
  <c r="I1715" i="2" s="1"/>
  <c r="G1719" i="2"/>
  <c r="I1719" i="2" s="1"/>
  <c r="G1723" i="2"/>
  <c r="I1723" i="2" s="1"/>
  <c r="G1727" i="2"/>
  <c r="I1727" i="2" s="1"/>
  <c r="G1731" i="2"/>
  <c r="I1731" i="2" s="1"/>
  <c r="G1735" i="2"/>
  <c r="I1735" i="2" s="1"/>
  <c r="G1739" i="2"/>
  <c r="I1739" i="2" s="1"/>
  <c r="G1743" i="2"/>
  <c r="I1743" i="2" s="1"/>
  <c r="G1747" i="2"/>
  <c r="I1747" i="2" s="1"/>
  <c r="G1751" i="2"/>
  <c r="I1751" i="2" s="1"/>
  <c r="G1755" i="2"/>
  <c r="I1755" i="2" s="1"/>
  <c r="G1759" i="2"/>
  <c r="I1759" i="2" s="1"/>
  <c r="G1763" i="2"/>
  <c r="I1763" i="2" s="1"/>
  <c r="G1767" i="2"/>
  <c r="I1767" i="2" s="1"/>
  <c r="G1771" i="2"/>
  <c r="I1771" i="2" s="1"/>
  <c r="G1775" i="2"/>
  <c r="I1775" i="2" s="1"/>
  <c r="G1779" i="2"/>
  <c r="I1779" i="2" s="1"/>
  <c r="G1783" i="2"/>
  <c r="I1783" i="2" s="1"/>
  <c r="G1787" i="2"/>
  <c r="I1787" i="2" s="1"/>
  <c r="G1791" i="2"/>
  <c r="I1791" i="2" s="1"/>
  <c r="G1795" i="2"/>
  <c r="I1795" i="2" s="1"/>
  <c r="G1799" i="2"/>
  <c r="I1799" i="2" s="1"/>
  <c r="G1803" i="2"/>
  <c r="I1803" i="2" s="1"/>
  <c r="G1807" i="2"/>
  <c r="I1807" i="2" s="1"/>
  <c r="G1811" i="2"/>
  <c r="I1811" i="2" s="1"/>
  <c r="G1815" i="2"/>
  <c r="I1815" i="2" s="1"/>
  <c r="G1819" i="2"/>
  <c r="I1819" i="2" s="1"/>
  <c r="G1823" i="2"/>
  <c r="I1823" i="2" s="1"/>
  <c r="G1827" i="2"/>
  <c r="I1827" i="2" s="1"/>
  <c r="G1831" i="2"/>
  <c r="I1831" i="2" s="1"/>
  <c r="G1835" i="2"/>
  <c r="I1835" i="2" s="1"/>
  <c r="G1839" i="2"/>
  <c r="I1839" i="2" s="1"/>
  <c r="G1843" i="2"/>
  <c r="I1843" i="2" s="1"/>
  <c r="G1847" i="2"/>
  <c r="I1847" i="2" s="1"/>
  <c r="G1851" i="2"/>
  <c r="I1851" i="2" s="1"/>
  <c r="G1855" i="2"/>
  <c r="I1855" i="2" s="1"/>
  <c r="G1859" i="2"/>
  <c r="I1859" i="2" s="1"/>
  <c r="G1863" i="2"/>
  <c r="I1863" i="2" s="1"/>
  <c r="G1867" i="2"/>
  <c r="I1867" i="2" s="1"/>
  <c r="G1871" i="2"/>
  <c r="I1871" i="2" s="1"/>
  <c r="G1875" i="2"/>
  <c r="I1875" i="2" s="1"/>
  <c r="G1879" i="2"/>
  <c r="I1879" i="2" s="1"/>
  <c r="G1883" i="2"/>
  <c r="I1883" i="2" s="1"/>
  <c r="G1887" i="2"/>
  <c r="I1887" i="2" s="1"/>
  <c r="G1891" i="2"/>
  <c r="I1891" i="2" s="1"/>
  <c r="G1895" i="2"/>
  <c r="I1895" i="2" s="1"/>
  <c r="G1899" i="2"/>
  <c r="I1899" i="2" s="1"/>
  <c r="G1903" i="2"/>
  <c r="I1903" i="2" s="1"/>
  <c r="G1907" i="2"/>
  <c r="I1907" i="2" s="1"/>
  <c r="G1911" i="2"/>
  <c r="I1911" i="2" s="1"/>
  <c r="G1915" i="2"/>
  <c r="I1915" i="2" s="1"/>
  <c r="G1919" i="2"/>
  <c r="I1919" i="2" s="1"/>
  <c r="G1923" i="2"/>
  <c r="I1923" i="2" s="1"/>
  <c r="G1927" i="2"/>
  <c r="I1927" i="2" s="1"/>
  <c r="G1931" i="2"/>
  <c r="I1931" i="2" s="1"/>
  <c r="G1935" i="2"/>
  <c r="I1935" i="2" s="1"/>
  <c r="G1939" i="2"/>
  <c r="I1939" i="2" s="1"/>
  <c r="G1943" i="2"/>
  <c r="I1943" i="2" s="1"/>
  <c r="G1947" i="2"/>
  <c r="I1947" i="2" s="1"/>
  <c r="G1951" i="2"/>
  <c r="I1951" i="2" s="1"/>
  <c r="G1955" i="2"/>
  <c r="I1955" i="2" s="1"/>
  <c r="G1959" i="2"/>
  <c r="I1959" i="2" s="1"/>
  <c r="G1963" i="2"/>
  <c r="I1963" i="2" s="1"/>
  <c r="G1967" i="2"/>
  <c r="I1967" i="2" s="1"/>
  <c r="G1971" i="2"/>
  <c r="I1971" i="2" s="1"/>
  <c r="G1975" i="2"/>
  <c r="I1975" i="2" s="1"/>
  <c r="G1979" i="2"/>
  <c r="I1979" i="2" s="1"/>
  <c r="G1983" i="2"/>
  <c r="I1983" i="2" s="1"/>
  <c r="G1987" i="2"/>
  <c r="I1987" i="2" s="1"/>
  <c r="G1991" i="2"/>
  <c r="I1991" i="2" s="1"/>
  <c r="G1995" i="2"/>
  <c r="I1995" i="2" s="1"/>
  <c r="G1999" i="2"/>
  <c r="I1999" i="2" s="1"/>
  <c r="G2003" i="2"/>
  <c r="I2003" i="2" s="1"/>
  <c r="G2007" i="2"/>
  <c r="I2007" i="2" s="1"/>
  <c r="G2011" i="2"/>
  <c r="I2011" i="2" s="1"/>
  <c r="G2015" i="2"/>
  <c r="I2015" i="2" s="1"/>
  <c r="G2019" i="2"/>
  <c r="I2019" i="2" s="1"/>
  <c r="G2023" i="2"/>
  <c r="I2023" i="2" s="1"/>
  <c r="G2027" i="2"/>
  <c r="I2027" i="2" s="1"/>
  <c r="G2031" i="2"/>
  <c r="I2031" i="2" s="1"/>
  <c r="G2035" i="2"/>
  <c r="I2035" i="2" s="1"/>
  <c r="G2039" i="2"/>
  <c r="I2039" i="2" s="1"/>
  <c r="G2043" i="2"/>
  <c r="I2043" i="2" s="1"/>
  <c r="G2047" i="2"/>
  <c r="I2047" i="2" s="1"/>
  <c r="G2051" i="2"/>
  <c r="I2051" i="2" s="1"/>
  <c r="G2055" i="2"/>
  <c r="I2055" i="2" s="1"/>
  <c r="G2059" i="2"/>
  <c r="I2059" i="2" s="1"/>
  <c r="G2063" i="2"/>
  <c r="I2063" i="2" s="1"/>
  <c r="G2067" i="2"/>
  <c r="I2067" i="2" s="1"/>
  <c r="G2071" i="2"/>
  <c r="I2071" i="2" s="1"/>
  <c r="G2075" i="2"/>
  <c r="I2075" i="2" s="1"/>
  <c r="G2079" i="2"/>
  <c r="I2079" i="2" s="1"/>
  <c r="G2083" i="2"/>
  <c r="I2083" i="2" s="1"/>
  <c r="G2087" i="2"/>
  <c r="I2087" i="2" s="1"/>
  <c r="G2091" i="2"/>
  <c r="I2091" i="2" s="1"/>
  <c r="G2095" i="2"/>
  <c r="I2095" i="2" s="1"/>
  <c r="G2099" i="2"/>
  <c r="I2099" i="2" s="1"/>
  <c r="G2103" i="2"/>
  <c r="I2103" i="2" s="1"/>
  <c r="G2107" i="2"/>
  <c r="I2107" i="2" s="1"/>
  <c r="G2111" i="2"/>
  <c r="I2111" i="2" s="1"/>
  <c r="G2115" i="2"/>
  <c r="I2115" i="2" s="1"/>
  <c r="G2119" i="2"/>
  <c r="I2119" i="2" s="1"/>
  <c r="G2123" i="2"/>
  <c r="I2123" i="2" s="1"/>
  <c r="G2127" i="2"/>
  <c r="I2127" i="2" s="1"/>
  <c r="G2131" i="2"/>
  <c r="I2131" i="2" s="1"/>
  <c r="G805" i="2"/>
  <c r="I805" i="2" s="1"/>
  <c r="G869" i="2"/>
  <c r="I869" i="2" s="1"/>
  <c r="G933" i="2"/>
  <c r="I933" i="2" s="1"/>
  <c r="G997" i="2"/>
  <c r="I997" i="2" s="1"/>
  <c r="G1034" i="2"/>
  <c r="I1034" i="2" s="1"/>
  <c r="G1050" i="2"/>
  <c r="I1050" i="2" s="1"/>
  <c r="G1066" i="2"/>
  <c r="I1066" i="2" s="1"/>
  <c r="G1082" i="2"/>
  <c r="I1082" i="2" s="1"/>
  <c r="G1098" i="2"/>
  <c r="I1098" i="2" s="1"/>
  <c r="G1114" i="2"/>
  <c r="I1114" i="2" s="1"/>
  <c r="G1130" i="2"/>
  <c r="I1130" i="2" s="1"/>
  <c r="G1146" i="2"/>
  <c r="I1146" i="2" s="1"/>
  <c r="G1162" i="2"/>
  <c r="I1162" i="2" s="1"/>
  <c r="G1178" i="2"/>
  <c r="I1178" i="2" s="1"/>
  <c r="G1194" i="2"/>
  <c r="I1194" i="2" s="1"/>
  <c r="G1210" i="2"/>
  <c r="I1210" i="2" s="1"/>
  <c r="G1226" i="2"/>
  <c r="I1226" i="2" s="1"/>
  <c r="G1242" i="2"/>
  <c r="I1242" i="2" s="1"/>
  <c r="G1258" i="2"/>
  <c r="I1258" i="2" s="1"/>
  <c r="G1274" i="2"/>
  <c r="I1274" i="2" s="1"/>
  <c r="G1290" i="2"/>
  <c r="I1290" i="2" s="1"/>
  <c r="G1306" i="2"/>
  <c r="I1306" i="2" s="1"/>
  <c r="G1322" i="2"/>
  <c r="I1322" i="2" s="1"/>
  <c r="G1338" i="2"/>
  <c r="I1338" i="2" s="1"/>
  <c r="G1354" i="2"/>
  <c r="I1354" i="2" s="1"/>
  <c r="G1370" i="2"/>
  <c r="I1370" i="2" s="1"/>
  <c r="G1386" i="2"/>
  <c r="I1386" i="2" s="1"/>
  <c r="G1402" i="2"/>
  <c r="I1402" i="2" s="1"/>
  <c r="G1418" i="2"/>
  <c r="I1418" i="2" s="1"/>
  <c r="G1434" i="2"/>
  <c r="I1434" i="2" s="1"/>
  <c r="G1450" i="2"/>
  <c r="I1450" i="2" s="1"/>
  <c r="G1466" i="2"/>
  <c r="I1466" i="2" s="1"/>
  <c r="G1482" i="2"/>
  <c r="I1482" i="2" s="1"/>
  <c r="G1498" i="2"/>
  <c r="I1498" i="2" s="1"/>
  <c r="G1514" i="2"/>
  <c r="I1514" i="2" s="1"/>
  <c r="G1530" i="2"/>
  <c r="I1530" i="2" s="1"/>
  <c r="G1546" i="2"/>
  <c r="I1546" i="2" s="1"/>
  <c r="G1562" i="2"/>
  <c r="I1562" i="2" s="1"/>
  <c r="G1578" i="2"/>
  <c r="I1578" i="2" s="1"/>
  <c r="G1594" i="2"/>
  <c r="I1594" i="2" s="1"/>
  <c r="G1610" i="2"/>
  <c r="I1610" i="2" s="1"/>
  <c r="G1626" i="2"/>
  <c r="I1626" i="2" s="1"/>
  <c r="G1640" i="2"/>
  <c r="I1640" i="2" s="1"/>
  <c r="G1644" i="2"/>
  <c r="I1644" i="2" s="1"/>
  <c r="G1648" i="2"/>
  <c r="I1648" i="2" s="1"/>
  <c r="G1652" i="2"/>
  <c r="I1652" i="2" s="1"/>
  <c r="G1656" i="2"/>
  <c r="I1656" i="2" s="1"/>
  <c r="G1660" i="2"/>
  <c r="I1660" i="2" s="1"/>
  <c r="G1664" i="2"/>
  <c r="I1664" i="2" s="1"/>
  <c r="G1668" i="2"/>
  <c r="I1668" i="2" s="1"/>
  <c r="G1672" i="2"/>
  <c r="I1672" i="2" s="1"/>
  <c r="G1676" i="2"/>
  <c r="I1676" i="2" s="1"/>
  <c r="G1680" i="2"/>
  <c r="I1680" i="2" s="1"/>
  <c r="G1684" i="2"/>
  <c r="I1684" i="2" s="1"/>
  <c r="G1688" i="2"/>
  <c r="I1688" i="2" s="1"/>
  <c r="G1692" i="2"/>
  <c r="I1692" i="2" s="1"/>
  <c r="G1696" i="2"/>
  <c r="I1696" i="2" s="1"/>
  <c r="G1700" i="2"/>
  <c r="I1700" i="2" s="1"/>
  <c r="G1704" i="2"/>
  <c r="I1704" i="2" s="1"/>
  <c r="G1708" i="2"/>
  <c r="I1708" i="2" s="1"/>
  <c r="G1712" i="2"/>
  <c r="I1712" i="2" s="1"/>
  <c r="G1716" i="2"/>
  <c r="I1716" i="2" s="1"/>
  <c r="G1720" i="2"/>
  <c r="I1720" i="2" s="1"/>
  <c r="G1724" i="2"/>
  <c r="I1724" i="2" s="1"/>
  <c r="G1728" i="2"/>
  <c r="I1728" i="2" s="1"/>
  <c r="G1732" i="2"/>
  <c r="I1732" i="2" s="1"/>
  <c r="G1736" i="2"/>
  <c r="I1736" i="2" s="1"/>
  <c r="G1740" i="2"/>
  <c r="I1740" i="2" s="1"/>
  <c r="G1744" i="2"/>
  <c r="I1744" i="2" s="1"/>
  <c r="G1748" i="2"/>
  <c r="I1748" i="2" s="1"/>
  <c r="G1752" i="2"/>
  <c r="I1752" i="2" s="1"/>
  <c r="G1756" i="2"/>
  <c r="I1756" i="2" s="1"/>
  <c r="G1760" i="2"/>
  <c r="I1760" i="2" s="1"/>
  <c r="G1764" i="2"/>
  <c r="I1764" i="2" s="1"/>
  <c r="G1768" i="2"/>
  <c r="I1768" i="2" s="1"/>
  <c r="G1772" i="2"/>
  <c r="I1772" i="2" s="1"/>
  <c r="G1776" i="2"/>
  <c r="I1776" i="2" s="1"/>
  <c r="G1780" i="2"/>
  <c r="I1780" i="2" s="1"/>
  <c r="G1784" i="2"/>
  <c r="I1784" i="2" s="1"/>
  <c r="G1788" i="2"/>
  <c r="I1788" i="2" s="1"/>
  <c r="G1792" i="2"/>
  <c r="I1792" i="2" s="1"/>
  <c r="G1796" i="2"/>
  <c r="I1796" i="2" s="1"/>
  <c r="G1800" i="2"/>
  <c r="I1800" i="2" s="1"/>
  <c r="G1804" i="2"/>
  <c r="I1804" i="2" s="1"/>
  <c r="G1808" i="2"/>
  <c r="I1808" i="2" s="1"/>
  <c r="G1812" i="2"/>
  <c r="I1812" i="2" s="1"/>
  <c r="G1816" i="2"/>
  <c r="I1816" i="2" s="1"/>
  <c r="G1820" i="2"/>
  <c r="I1820" i="2" s="1"/>
  <c r="G1824" i="2"/>
  <c r="I1824" i="2" s="1"/>
  <c r="G1828" i="2"/>
  <c r="I1828" i="2" s="1"/>
  <c r="G1832" i="2"/>
  <c r="I1832" i="2" s="1"/>
  <c r="G1836" i="2"/>
  <c r="I1836" i="2" s="1"/>
  <c r="G1840" i="2"/>
  <c r="I1840" i="2" s="1"/>
  <c r="G1844" i="2"/>
  <c r="I1844" i="2" s="1"/>
  <c r="G1848" i="2"/>
  <c r="I1848" i="2" s="1"/>
  <c r="G1852" i="2"/>
  <c r="I1852" i="2" s="1"/>
  <c r="G1856" i="2"/>
  <c r="I1856" i="2" s="1"/>
  <c r="G1860" i="2"/>
  <c r="I1860" i="2" s="1"/>
  <c r="G1864" i="2"/>
  <c r="I1864" i="2" s="1"/>
  <c r="G1868" i="2"/>
  <c r="I1868" i="2" s="1"/>
  <c r="G1872" i="2"/>
  <c r="I1872" i="2" s="1"/>
  <c r="G1876" i="2"/>
  <c r="I1876" i="2" s="1"/>
  <c r="G1880" i="2"/>
  <c r="I1880" i="2" s="1"/>
  <c r="G1884" i="2"/>
  <c r="I1884" i="2" s="1"/>
  <c r="G1888" i="2"/>
  <c r="I1888" i="2" s="1"/>
  <c r="G1892" i="2"/>
  <c r="I1892" i="2" s="1"/>
  <c r="G1896" i="2"/>
  <c r="I1896" i="2" s="1"/>
  <c r="G1900" i="2"/>
  <c r="I1900" i="2" s="1"/>
  <c r="G1904" i="2"/>
  <c r="I1904" i="2" s="1"/>
  <c r="G1908" i="2"/>
  <c r="I1908" i="2" s="1"/>
  <c r="G1912" i="2"/>
  <c r="I1912" i="2" s="1"/>
  <c r="G1916" i="2"/>
  <c r="I1916" i="2" s="1"/>
  <c r="G1920" i="2"/>
  <c r="I1920" i="2" s="1"/>
  <c r="G1924" i="2"/>
  <c r="I1924" i="2" s="1"/>
  <c r="G1928" i="2"/>
  <c r="I1928" i="2" s="1"/>
  <c r="G1932" i="2"/>
  <c r="I1932" i="2" s="1"/>
  <c r="G1936" i="2"/>
  <c r="I1936" i="2" s="1"/>
  <c r="G1940" i="2"/>
  <c r="I1940" i="2" s="1"/>
  <c r="G1944" i="2"/>
  <c r="I1944" i="2" s="1"/>
  <c r="G1948" i="2"/>
  <c r="I1948" i="2" s="1"/>
  <c r="G1952" i="2"/>
  <c r="I1952" i="2" s="1"/>
  <c r="G1956" i="2"/>
  <c r="I1956" i="2" s="1"/>
  <c r="G1960" i="2"/>
  <c r="I1960" i="2" s="1"/>
  <c r="G1964" i="2"/>
  <c r="I1964" i="2" s="1"/>
  <c r="G1968" i="2"/>
  <c r="I1968" i="2" s="1"/>
  <c r="G1972" i="2"/>
  <c r="I1972" i="2" s="1"/>
  <c r="G1976" i="2"/>
  <c r="I1976" i="2" s="1"/>
  <c r="G1980" i="2"/>
  <c r="I1980" i="2" s="1"/>
  <c r="G1984" i="2"/>
  <c r="I1984" i="2" s="1"/>
  <c r="G1988" i="2"/>
  <c r="I1988" i="2" s="1"/>
  <c r="G1992" i="2"/>
  <c r="I1992" i="2" s="1"/>
  <c r="G1996" i="2"/>
  <c r="I1996" i="2" s="1"/>
  <c r="G2000" i="2"/>
  <c r="I2000" i="2" s="1"/>
  <c r="G2004" i="2"/>
  <c r="I2004" i="2" s="1"/>
  <c r="G2008" i="2"/>
  <c r="I2008" i="2" s="1"/>
  <c r="G2012" i="2"/>
  <c r="I2012" i="2" s="1"/>
  <c r="G2016" i="2"/>
  <c r="I2016" i="2" s="1"/>
  <c r="G2020" i="2"/>
  <c r="I2020" i="2" s="1"/>
  <c r="G2024" i="2"/>
  <c r="I2024" i="2" s="1"/>
  <c r="G2028" i="2"/>
  <c r="I2028" i="2" s="1"/>
  <c r="G2032" i="2"/>
  <c r="I2032" i="2" s="1"/>
  <c r="G2036" i="2"/>
  <c r="I2036" i="2" s="1"/>
  <c r="G2040" i="2"/>
  <c r="I2040" i="2" s="1"/>
  <c r="G2044" i="2"/>
  <c r="I2044" i="2" s="1"/>
  <c r="G2048" i="2"/>
  <c r="I2048" i="2" s="1"/>
  <c r="G2052" i="2"/>
  <c r="I2052" i="2" s="1"/>
  <c r="G2056" i="2"/>
  <c r="I2056" i="2" s="1"/>
  <c r="G2060" i="2"/>
  <c r="I2060" i="2" s="1"/>
  <c r="G2064" i="2"/>
  <c r="I2064" i="2" s="1"/>
  <c r="G2068" i="2"/>
  <c r="I2068" i="2" s="1"/>
  <c r="G2072" i="2"/>
  <c r="I2072" i="2" s="1"/>
  <c r="G2076" i="2"/>
  <c r="I2076" i="2" s="1"/>
  <c r="G2080" i="2"/>
  <c r="I2080" i="2" s="1"/>
  <c r="G2084" i="2"/>
  <c r="I2084" i="2" s="1"/>
  <c r="G2088" i="2"/>
  <c r="I2088" i="2" s="1"/>
  <c r="G2092" i="2"/>
  <c r="I2092" i="2" s="1"/>
  <c r="G2096" i="2"/>
  <c r="I2096" i="2" s="1"/>
  <c r="G2112" i="2"/>
  <c r="I2112" i="2" s="1"/>
  <c r="G2128" i="2"/>
  <c r="I2128" i="2" s="1"/>
  <c r="G2100" i="2"/>
  <c r="I2100" i="2" s="1"/>
  <c r="G2116" i="2"/>
  <c r="I2116" i="2" s="1"/>
  <c r="G2104" i="2"/>
  <c r="I2104" i="2" s="1"/>
  <c r="G2120" i="2"/>
  <c r="I2120" i="2" s="1"/>
  <c r="G2108" i="2"/>
  <c r="I2108" i="2" s="1"/>
  <c r="G2124" i="2"/>
  <c r="I2124" i="2" s="1"/>
  <c r="I777" i="2"/>
  <c r="I809" i="2"/>
  <c r="I825" i="2"/>
  <c r="I841" i="2"/>
  <c r="I873" i="2"/>
  <c r="I889" i="2"/>
  <c r="I905" i="2"/>
  <c r="I937" i="2"/>
  <c r="I953" i="2"/>
  <c r="I969" i="2"/>
  <c r="I1001" i="2"/>
  <c r="I1017" i="2"/>
  <c r="I1033" i="2"/>
  <c r="I1049" i="2"/>
  <c r="I1065" i="2"/>
  <c r="I1081" i="2"/>
  <c r="I1097" i="2"/>
  <c r="I1113" i="2"/>
  <c r="I1129" i="2"/>
  <c r="I1145" i="2"/>
  <c r="I1161" i="2"/>
  <c r="I1177" i="2"/>
  <c r="I1193" i="2"/>
  <c r="I1209" i="2"/>
  <c r="I1225" i="2"/>
  <c r="I1241" i="2"/>
  <c r="I1257" i="2"/>
  <c r="I1273" i="2"/>
  <c r="I1289" i="2"/>
  <c r="I1305" i="2"/>
  <c r="I1321" i="2"/>
  <c r="I1337" i="2"/>
  <c r="I1353" i="2"/>
  <c r="I1369" i="2"/>
  <c r="I1385" i="2"/>
  <c r="I1401" i="2"/>
  <c r="I1417" i="2"/>
  <c r="I1433" i="2"/>
  <c r="I1449" i="2"/>
  <c r="I1465" i="2"/>
  <c r="I1481" i="2"/>
  <c r="I1497" i="2"/>
  <c r="I1513" i="2"/>
  <c r="I1529" i="2"/>
  <c r="I1545" i="2"/>
  <c r="I1561" i="2"/>
  <c r="I1577" i="2"/>
  <c r="I1593" i="2"/>
  <c r="I1609" i="2"/>
  <c r="I1625" i="2"/>
  <c r="I1641" i="2"/>
  <c r="I1657" i="2"/>
  <c r="I1673" i="2"/>
  <c r="I1689" i="2"/>
  <c r="I1705" i="2"/>
  <c r="I1721" i="2"/>
  <c r="I1737" i="2"/>
  <c r="I1753" i="2"/>
  <c r="I1769" i="2"/>
  <c r="I1785" i="2"/>
  <c r="I1801" i="2"/>
  <c r="I1817" i="2"/>
  <c r="I1833" i="2"/>
  <c r="I1849" i="2"/>
  <c r="I1865" i="2"/>
  <c r="I1881" i="2"/>
  <c r="I1897" i="2"/>
  <c r="I1913" i="2"/>
  <c r="I1929" i="2"/>
  <c r="I1945" i="2"/>
  <c r="I1961" i="2"/>
  <c r="I1977" i="2"/>
  <c r="I1993" i="2"/>
  <c r="I2009" i="2"/>
  <c r="I2025" i="2"/>
  <c r="I2041" i="2"/>
  <c r="I2057" i="2"/>
  <c r="I2073" i="2"/>
  <c r="I2089" i="2"/>
  <c r="I2105" i="2"/>
  <c r="I2121" i="2"/>
  <c r="I386" i="2"/>
  <c r="I814" i="2"/>
  <c r="I846" i="2"/>
  <c r="I882" i="2"/>
  <c r="I914" i="2"/>
  <c r="I946" i="2"/>
  <c r="I346" i="2"/>
  <c r="I378" i="2"/>
  <c r="I410" i="2"/>
  <c r="I442" i="2"/>
  <c r="I474" i="2"/>
  <c r="I506" i="2"/>
  <c r="I538" i="2"/>
  <c r="I570" i="2"/>
  <c r="I602" i="2"/>
  <c r="I634" i="2"/>
  <c r="I666" i="2"/>
  <c r="I786" i="2"/>
  <c r="I818" i="2"/>
  <c r="I850" i="2"/>
  <c r="I878" i="2"/>
  <c r="I910" i="2"/>
  <c r="I942" i="2"/>
  <c r="I1026" i="2"/>
  <c r="I1042" i="2"/>
  <c r="I1074" i="2"/>
  <c r="I1090" i="2"/>
  <c r="I1106" i="2"/>
  <c r="I1138" i="2"/>
  <c r="I1154" i="2"/>
  <c r="I1170" i="2"/>
  <c r="I1202" i="2"/>
  <c r="I1218" i="2"/>
  <c r="I1234" i="2"/>
  <c r="I1266" i="2"/>
  <c r="I1282" i="2"/>
  <c r="I1298" i="2"/>
  <c r="I129" i="2"/>
  <c r="G3" i="2"/>
  <c r="I3" i="2" s="1"/>
  <c r="I117" i="2"/>
  <c r="I149" i="2"/>
  <c r="I165" i="2"/>
  <c r="I181" i="2"/>
  <c r="I213" i="2"/>
  <c r="I245" i="2"/>
  <c r="I277" i="2"/>
  <c r="I197" i="2"/>
  <c r="I293" i="2"/>
  <c r="I101" i="2"/>
  <c r="I261" i="2"/>
  <c r="I133" i="2"/>
  <c r="I37" i="2"/>
  <c r="I89" i="2"/>
  <c r="I229" i="2"/>
  <c r="I5" i="2"/>
  <c r="I57" i="2"/>
  <c r="I25" i="2"/>
  <c r="I69" i="2"/>
  <c r="E1708" i="2"/>
  <c r="E1660" i="2"/>
  <c r="E2114" i="2"/>
  <c r="E845" i="2"/>
  <c r="E790" i="2"/>
  <c r="E390" i="2"/>
  <c r="E1648" i="2"/>
  <c r="E1536" i="2"/>
  <c r="E421" i="2"/>
  <c r="E314" i="2"/>
  <c r="E1287" i="2"/>
  <c r="E28" i="2"/>
  <c r="E1875" i="2"/>
  <c r="E1763" i="2"/>
  <c r="E1008" i="2"/>
  <c r="E896" i="2"/>
  <c r="E1047" i="2"/>
  <c r="E1029" i="2"/>
  <c r="E554" i="2"/>
  <c r="E1240" i="2"/>
  <c r="E1192" i="2"/>
  <c r="E313" i="2"/>
  <c r="E1907" i="2"/>
  <c r="E1795" i="2"/>
  <c r="E308" i="2"/>
  <c r="E551" i="2"/>
  <c r="E1065" i="2"/>
  <c r="E1164" i="2"/>
  <c r="E1116" i="2"/>
  <c r="E1735" i="2"/>
  <c r="E1687" i="2"/>
  <c r="E831" i="2"/>
  <c r="E1546" i="2"/>
  <c r="E1221" i="2"/>
  <c r="E258" i="2"/>
  <c r="E976" i="2"/>
  <c r="E864" i="2"/>
  <c r="E329" i="2"/>
  <c r="E1188" i="2"/>
  <c r="E1076" i="2"/>
  <c r="E853" i="2"/>
  <c r="E1395" i="2"/>
  <c r="E1013" i="2"/>
  <c r="E1932" i="2"/>
  <c r="E1884" i="2"/>
  <c r="E92" i="2"/>
  <c r="E2035" i="2"/>
  <c r="E1923" i="2"/>
  <c r="E1423" i="2"/>
  <c r="E1394" i="2"/>
  <c r="E352" i="2"/>
  <c r="E780" i="2"/>
  <c r="E732" i="2"/>
  <c r="E1964" i="2"/>
  <c r="E1916" i="2"/>
  <c r="E447" i="2"/>
  <c r="E1611" i="2"/>
  <c r="E620" i="2"/>
  <c r="E1477" i="2"/>
  <c r="E2079" i="2"/>
  <c r="E1967" i="2"/>
  <c r="E1776" i="2"/>
  <c r="E1664" i="2"/>
  <c r="E549" i="2"/>
  <c r="E442" i="2"/>
  <c r="E300" i="2"/>
  <c r="E193" i="2"/>
  <c r="E2003" i="2"/>
  <c r="E684" i="2"/>
  <c r="E2123" i="2"/>
  <c r="E1074" i="2"/>
  <c r="E1794" i="2"/>
  <c r="E1323" i="2"/>
  <c r="E283" i="2"/>
  <c r="E1412" i="2"/>
  <c r="E1300" i="2"/>
  <c r="E2032" i="2"/>
  <c r="E1920" i="2"/>
  <c r="E861" i="2"/>
  <c r="E2085" i="2"/>
  <c r="E775" i="2"/>
  <c r="E273" i="2"/>
  <c r="E1747" i="2"/>
  <c r="E281" i="2"/>
  <c r="E1444" i="2"/>
  <c r="E1332" i="2"/>
  <c r="E1619" i="2"/>
  <c r="E368" i="2"/>
  <c r="E1277" i="2"/>
  <c r="E1575" i="2"/>
  <c r="E1527" i="2"/>
  <c r="E1272" i="2"/>
  <c r="E1224" i="2"/>
  <c r="E356" i="2"/>
  <c r="E655" i="2"/>
  <c r="E370" i="2"/>
  <c r="E1682" i="2"/>
  <c r="E2000" i="2"/>
  <c r="E8" i="2"/>
  <c r="E1599" i="2"/>
  <c r="E2100" i="2"/>
  <c r="E663" i="2"/>
  <c r="E155" i="2"/>
  <c r="E2069" i="2"/>
  <c r="E856" i="2"/>
  <c r="E808" i="2"/>
  <c r="E121" i="2"/>
  <c r="E1572" i="2"/>
  <c r="E1460" i="2"/>
  <c r="E725" i="2"/>
  <c r="E1267" i="2"/>
  <c r="E645" i="2"/>
  <c r="E1804" i="2"/>
  <c r="E1756" i="2"/>
  <c r="E888" i="2"/>
  <c r="E840" i="2"/>
  <c r="E1471" i="2"/>
  <c r="E271" i="2"/>
  <c r="E1885" i="2"/>
  <c r="E978" i="2"/>
  <c r="E1616" i="2"/>
  <c r="E1504" i="2"/>
  <c r="E812" i="2"/>
  <c r="E764" i="2"/>
  <c r="E1210" i="2"/>
  <c r="E327" i="2"/>
  <c r="E1656" i="2"/>
  <c r="E1608" i="2"/>
  <c r="E461" i="2"/>
  <c r="E1039" i="2"/>
  <c r="E770" i="2"/>
  <c r="E1127" i="2"/>
  <c r="E1883" i="2"/>
  <c r="E1835" i="2"/>
  <c r="E1016" i="2"/>
  <c r="E968" i="2"/>
  <c r="E84" i="2"/>
  <c r="E1802" i="2"/>
  <c r="E1493" i="2"/>
  <c r="E514" i="2"/>
  <c r="E1232" i="2"/>
  <c r="E1120" i="2"/>
  <c r="E1915" i="2"/>
  <c r="E1867" i="2"/>
  <c r="E778" i="2"/>
  <c r="E1282" i="2"/>
  <c r="E1067" i="2"/>
  <c r="E1902" i="2"/>
  <c r="E1156" i="2"/>
  <c r="E1044" i="2"/>
  <c r="E1727" i="2"/>
  <c r="E1615" i="2"/>
  <c r="E791" i="2"/>
  <c r="E564" i="2"/>
  <c r="E298" i="2"/>
  <c r="E984" i="2"/>
  <c r="E936" i="2"/>
  <c r="E557" i="2"/>
  <c r="E1196" i="2"/>
  <c r="E1148" i="2"/>
  <c r="E1594" i="2"/>
  <c r="E364" i="2"/>
  <c r="E78" i="2"/>
  <c r="E891" i="2"/>
  <c r="E1924" i="2"/>
  <c r="E1812" i="2"/>
  <c r="E2043" i="2"/>
  <c r="E1995" i="2"/>
  <c r="E906" i="2"/>
  <c r="E698" i="2"/>
  <c r="E683" i="2"/>
  <c r="E169" i="2"/>
  <c r="E772" i="2"/>
  <c r="E153" i="2"/>
  <c r="E1956" i="2"/>
  <c r="E1844" i="2"/>
  <c r="E407" i="2"/>
  <c r="E310" i="2"/>
  <c r="E1813" i="2"/>
  <c r="E2087" i="2"/>
  <c r="E2039" i="2"/>
  <c r="E1784" i="2"/>
  <c r="E1736" i="2"/>
  <c r="E589" i="2"/>
  <c r="E1167" i="2"/>
  <c r="E962" i="2"/>
  <c r="E140" i="2"/>
  <c r="E2011" i="2"/>
  <c r="E225" i="2"/>
  <c r="E676" i="2"/>
  <c r="E2051" i="2"/>
  <c r="E405" i="2"/>
  <c r="E36" i="2"/>
  <c r="E534" i="2"/>
  <c r="E1420" i="2"/>
  <c r="E1372" i="2"/>
  <c r="E2040" i="2"/>
  <c r="E1992" i="2"/>
  <c r="E901" i="2"/>
  <c r="E911" i="2"/>
  <c r="E626" i="2"/>
  <c r="E615" i="2"/>
  <c r="E1755" i="2"/>
  <c r="E1707" i="2"/>
  <c r="E1452" i="2"/>
  <c r="E1404" i="2"/>
  <c r="E1850" i="2"/>
  <c r="E533" i="2"/>
  <c r="E1497" i="2"/>
  <c r="E1339" i="2"/>
  <c r="E1567" i="2"/>
  <c r="E2068" i="2"/>
  <c r="E1264" i="2"/>
  <c r="E1152" i="2"/>
  <c r="E316" i="2"/>
  <c r="E1829" i="2"/>
  <c r="E1762" i="2"/>
  <c r="E2008" i="2"/>
  <c r="E1960" i="2"/>
  <c r="E1607" i="2"/>
  <c r="E1559" i="2"/>
  <c r="E703" i="2"/>
  <c r="E1418" i="2"/>
  <c r="E1085" i="2"/>
  <c r="E2029" i="2"/>
  <c r="E848" i="2"/>
  <c r="E736" i="2"/>
  <c r="E1580" i="2"/>
  <c r="E1532" i="2"/>
  <c r="E1986" i="2"/>
  <c r="E1351" i="2"/>
  <c r="E424" i="2"/>
  <c r="E723" i="2"/>
  <c r="E1796" i="2"/>
  <c r="E1684" i="2"/>
  <c r="E880" i="2"/>
  <c r="E768" i="2"/>
  <c r="E1431" i="2"/>
  <c r="E1437" i="2"/>
  <c r="E1058" i="2"/>
  <c r="E1624" i="2"/>
  <c r="E1576" i="2"/>
  <c r="E353" i="2"/>
  <c r="E804" i="2"/>
  <c r="E692" i="2"/>
  <c r="E139" i="2"/>
  <c r="E26" i="2"/>
  <c r="E2074" i="2"/>
  <c r="E1823" i="2"/>
  <c r="E1068" i="2"/>
  <c r="E1466" i="2"/>
  <c r="E1195" i="2"/>
  <c r="E1284" i="2"/>
  <c r="E1855" i="2"/>
  <c r="E919" i="2"/>
  <c r="E426" i="2"/>
  <c r="E1064" i="2"/>
  <c r="E1779" i="2"/>
  <c r="E180" i="2"/>
  <c r="E47" i="2"/>
  <c r="E988" i="2"/>
  <c r="E1136" i="2"/>
  <c r="E188" i="2"/>
  <c r="E1506" i="2"/>
  <c r="E1832" i="2"/>
  <c r="E1983" i="2"/>
  <c r="E535" i="2"/>
  <c r="E1941" i="2"/>
  <c r="E680" i="2"/>
  <c r="E1864" i="2"/>
  <c r="E1295" i="2"/>
  <c r="E1507" i="2"/>
  <c r="E2091" i="2"/>
  <c r="E1788" i="2"/>
  <c r="E1018" i="2"/>
  <c r="E941" i="2"/>
  <c r="E2119" i="2"/>
  <c r="E1215" i="2"/>
  <c r="E1629" i="2"/>
  <c r="E1360" i="2"/>
  <c r="E2092" i="2"/>
  <c r="E575" i="2"/>
  <c r="E422" i="2"/>
  <c r="E1695" i="2"/>
  <c r="E1392" i="2"/>
  <c r="E444" i="2"/>
  <c r="E263" i="2"/>
  <c r="E2088" i="2"/>
  <c r="E1316" i="2"/>
  <c r="E1050" i="2"/>
  <c r="E1141" i="2"/>
  <c r="E2012" i="2"/>
  <c r="E2048" i="2"/>
  <c r="E866" i="2"/>
  <c r="E297" i="2"/>
  <c r="E788" i="2"/>
  <c r="E1408" i="2"/>
  <c r="E1573" i="2"/>
  <c r="E1752" i="2"/>
  <c r="E40" i="2"/>
  <c r="E820" i="2"/>
  <c r="E1139" i="2"/>
  <c r="E1676" i="2"/>
  <c r="E760" i="2"/>
  <c r="E1343" i="2"/>
  <c r="E1757" i="2"/>
  <c r="E794" i="2"/>
  <c r="E1488" i="2"/>
  <c r="E1376" i="2"/>
  <c r="E1963" i="2"/>
  <c r="E821" i="2"/>
  <c r="E1363" i="2"/>
  <c r="E981" i="2"/>
  <c r="E582" i="2"/>
  <c r="E1225" i="2"/>
  <c r="E137" i="2"/>
  <c r="E868" i="2"/>
  <c r="E756" i="2"/>
  <c r="E404" i="2"/>
  <c r="E935" i="2"/>
  <c r="E2001" i="2"/>
  <c r="E755" i="2"/>
  <c r="E985" i="2"/>
  <c r="E113" i="2"/>
  <c r="E1715" i="2"/>
  <c r="E1635" i="2"/>
  <c r="E1122" i="2"/>
  <c r="E1926" i="2"/>
  <c r="E1592" i="2"/>
  <c r="E986" i="2"/>
  <c r="E975" i="2"/>
  <c r="E690" i="2"/>
  <c r="E871" i="2"/>
  <c r="E2075" i="2"/>
  <c r="E2027" i="2"/>
  <c r="E946" i="2"/>
  <c r="E1602" i="2"/>
  <c r="E1227" i="2"/>
  <c r="E1034" i="2"/>
  <c r="E1730" i="2"/>
  <c r="E1291" i="2"/>
  <c r="E2126" i="2"/>
  <c r="E540" i="2"/>
  <c r="E160" i="2"/>
  <c r="E1851" i="2"/>
  <c r="E1803" i="2"/>
  <c r="E829" i="2"/>
  <c r="E666" i="2"/>
  <c r="E651" i="2"/>
  <c r="E1486" i="2"/>
  <c r="E827" i="2"/>
  <c r="E135" i="2"/>
  <c r="E1712" i="2"/>
  <c r="E1600" i="2"/>
  <c r="E215" i="2"/>
  <c r="E930" i="2"/>
  <c r="E1462" i="2"/>
  <c r="E2007" i="2"/>
  <c r="E124" i="2"/>
  <c r="E1637" i="2"/>
  <c r="E1378" i="2"/>
  <c r="E2072" i="2"/>
  <c r="E2024" i="2"/>
  <c r="E1413" i="2"/>
  <c r="E1455" i="2"/>
  <c r="E1458" i="2"/>
  <c r="E384" i="2"/>
  <c r="E2118" i="2"/>
  <c r="E899" i="2"/>
  <c r="E98" i="2"/>
  <c r="E631" i="2"/>
  <c r="E1588" i="2"/>
  <c r="E1831" i="2"/>
  <c r="E201" i="2"/>
  <c r="E948" i="2"/>
  <c r="E1063" i="2"/>
  <c r="E1292" i="2"/>
  <c r="E1863" i="2"/>
  <c r="E959" i="2"/>
  <c r="E1357" i="2"/>
  <c r="E1104" i="2"/>
  <c r="E1787" i="2"/>
  <c r="E1627" i="2"/>
  <c r="E939" i="2"/>
  <c r="E1028" i="2"/>
  <c r="E1144" i="2"/>
  <c r="E228" i="2"/>
  <c r="E242" i="2"/>
  <c r="E1872" i="2"/>
  <c r="E1991" i="2"/>
  <c r="E1087" i="2"/>
  <c r="E957" i="2"/>
  <c r="E720" i="2"/>
  <c r="E1904" i="2"/>
  <c r="E733" i="2"/>
  <c r="E555" i="2"/>
  <c r="E2131" i="2"/>
  <c r="E1828" i="2"/>
  <c r="E279" i="2"/>
  <c r="E1685" i="2"/>
  <c r="E1911" i="2"/>
  <c r="E1999" i="2"/>
  <c r="E1165" i="2"/>
  <c r="E1368" i="2"/>
  <c r="E185" i="2"/>
  <c r="E1972" i="2"/>
  <c r="E496" i="2"/>
  <c r="E1703" i="2"/>
  <c r="E1400" i="2"/>
  <c r="E484" i="2"/>
  <c r="E498" i="2"/>
  <c r="E2128" i="2"/>
  <c r="E1324" i="2"/>
  <c r="E1722" i="2"/>
  <c r="E953" i="2"/>
  <c r="E2052" i="2"/>
  <c r="E2120" i="2"/>
  <c r="E221" i="2"/>
  <c r="E480" i="2"/>
  <c r="E860" i="2"/>
  <c r="E1480" i="2"/>
  <c r="E399" i="2"/>
  <c r="E1186" i="2"/>
  <c r="E1632" i="2"/>
  <c r="E892" i="2"/>
  <c r="E839" i="2"/>
  <c r="E547" i="2"/>
  <c r="E1556" i="2"/>
  <c r="E2127" i="2"/>
  <c r="E1301" i="2"/>
  <c r="E902" i="2"/>
  <c r="E1548" i="2"/>
  <c r="E1500" i="2"/>
  <c r="E671" i="2"/>
  <c r="E156" i="2"/>
  <c r="E1669" i="2"/>
  <c r="E1442" i="2"/>
  <c r="E382" i="2"/>
  <c r="E1726" i="2"/>
  <c r="E245" i="2"/>
  <c r="E816" i="2"/>
  <c r="E704" i="2"/>
  <c r="E1015" i="2"/>
  <c r="E997" i="2"/>
  <c r="E522" i="2"/>
  <c r="E1537" i="2"/>
  <c r="E1086" i="2"/>
  <c r="E190" i="2"/>
  <c r="E1663" i="2"/>
  <c r="E1551" i="2"/>
  <c r="E538" i="2"/>
  <c r="E1358" i="2"/>
  <c r="E158" i="2"/>
  <c r="E1472" i="2"/>
  <c r="E2010" i="2"/>
  <c r="E110" i="2"/>
  <c r="E1485" i="2"/>
  <c r="E2023" i="2"/>
  <c r="E1975" i="2"/>
  <c r="E1119" i="2"/>
  <c r="E1834" i="2"/>
  <c r="E1525" i="2"/>
  <c r="E869" i="2"/>
  <c r="E1906" i="2"/>
  <c r="E1597" i="2"/>
  <c r="E610" i="2"/>
  <c r="E494" i="2"/>
  <c r="E1206" i="2"/>
  <c r="E1799" i="2"/>
  <c r="E1751" i="2"/>
  <c r="E543" i="2"/>
  <c r="E1258" i="2"/>
  <c r="E925" i="2"/>
  <c r="E1869" i="2"/>
  <c r="E1601" i="2"/>
  <c r="E334" i="2"/>
  <c r="E1772" i="2"/>
  <c r="E1724" i="2"/>
  <c r="E1399" i="2"/>
  <c r="E1002" i="2"/>
  <c r="E1470" i="2"/>
  <c r="E2047" i="2"/>
  <c r="E2050" i="2"/>
  <c r="E100" i="2"/>
  <c r="E488" i="2"/>
  <c r="E803" i="2"/>
  <c r="E2116" i="2"/>
  <c r="E2004" i="2"/>
  <c r="E567" i="2"/>
  <c r="E742" i="2"/>
  <c r="E1973" i="2"/>
  <c r="E961" i="2"/>
  <c r="E478" i="2"/>
  <c r="E144" i="2"/>
  <c r="E954" i="2"/>
  <c r="E1557" i="2"/>
  <c r="E1020" i="2"/>
  <c r="E2030" i="2"/>
  <c r="E1743" i="2"/>
  <c r="E1112" i="2"/>
  <c r="E1675" i="2"/>
  <c r="E1036" i="2"/>
  <c r="E1024" i="2"/>
  <c r="E1880" i="2"/>
  <c r="E1871" i="2"/>
  <c r="E728" i="2"/>
  <c r="E773" i="2"/>
  <c r="E652" i="2"/>
  <c r="E319" i="2"/>
  <c r="E1951" i="2"/>
  <c r="E1938" i="2"/>
  <c r="E1248" i="2"/>
  <c r="E717" i="2"/>
  <c r="E1583" i="2"/>
  <c r="E1957" i="2"/>
  <c r="E217" i="2"/>
  <c r="E1523" i="2"/>
  <c r="E1659" i="2"/>
  <c r="E811" i="2"/>
  <c r="E1520" i="2"/>
  <c r="E1250" i="2"/>
  <c r="E932" i="2"/>
  <c r="E548" i="2"/>
  <c r="E712" i="2"/>
  <c r="E850" i="2"/>
  <c r="E1448" i="2"/>
  <c r="E1562" i="2"/>
  <c r="E520" i="2"/>
  <c r="E18" i="2"/>
  <c r="E876" i="2"/>
  <c r="E874" i="2"/>
  <c r="E1163" i="2"/>
  <c r="E1049" i="2"/>
  <c r="E1723" i="2"/>
  <c r="E1263" i="2"/>
  <c r="E643" i="2"/>
  <c r="E1285" i="2"/>
  <c r="E1031" i="2"/>
  <c r="E2067" i="2"/>
  <c r="E468" i="2"/>
  <c r="E1888" i="2"/>
  <c r="E1447" i="2"/>
  <c r="E923" i="2"/>
  <c r="E241" i="2"/>
  <c r="E2019" i="2"/>
  <c r="E1330" i="2"/>
  <c r="E2054" i="2"/>
  <c r="E1720" i="2"/>
  <c r="E1439" i="2"/>
  <c r="E894" i="2"/>
  <c r="E123" i="2"/>
  <c r="E2077" i="2"/>
  <c r="E2064" i="2"/>
  <c r="E893" i="2"/>
  <c r="E715" i="2"/>
  <c r="E915" i="2"/>
  <c r="E196" i="2"/>
  <c r="E870" i="2"/>
  <c r="E2037" i="2"/>
  <c r="E1089" i="2"/>
  <c r="E598" i="2"/>
  <c r="E256" i="2"/>
  <c r="E1892" i="2"/>
  <c r="E1780" i="2"/>
  <c r="E1914" i="2"/>
  <c r="E464" i="2"/>
  <c r="E1381" i="2"/>
  <c r="E216" i="2"/>
  <c r="E1657" i="2"/>
  <c r="E576" i="2"/>
  <c r="E1252" i="2"/>
  <c r="E1140" i="2"/>
  <c r="E238" i="2"/>
  <c r="E51" i="2"/>
  <c r="E729" i="2"/>
  <c r="E1524" i="2"/>
  <c r="E500" i="2"/>
  <c r="E1319" i="2"/>
  <c r="E406" i="2"/>
  <c r="E1612" i="2"/>
  <c r="E1564" i="2"/>
  <c r="E2018" i="2"/>
  <c r="E749" i="2"/>
  <c r="E486" i="2"/>
  <c r="E14" i="2"/>
  <c r="E1073" i="2"/>
  <c r="E1713" i="2"/>
  <c r="E115" i="2"/>
  <c r="E282" i="2"/>
  <c r="E1159" i="2"/>
  <c r="E1102" i="2"/>
  <c r="E363" i="2"/>
  <c r="E62" i="2"/>
  <c r="E1328" i="2"/>
  <c r="E1216" i="2"/>
  <c r="E76" i="2"/>
  <c r="E1533" i="2"/>
  <c r="E1194" i="2"/>
  <c r="E2073" i="2"/>
  <c r="E1598" i="2"/>
  <c r="E705" i="2"/>
  <c r="E688" i="2"/>
  <c r="E2063" i="2"/>
  <c r="E711" i="2"/>
  <c r="E507" i="2"/>
  <c r="E817" i="2"/>
  <c r="E2059" i="2"/>
  <c r="E599" i="2"/>
  <c r="E806" i="2"/>
  <c r="E2005" i="2"/>
  <c r="E1048" i="2"/>
  <c r="E1000" i="2"/>
  <c r="E132" i="2"/>
  <c r="E431" i="2"/>
  <c r="E2045" i="2"/>
  <c r="E1234" i="2"/>
  <c r="E1094" i="2"/>
  <c r="E1654" i="2"/>
  <c r="E1766" i="2"/>
  <c r="E1261" i="2"/>
  <c r="E342" i="2"/>
  <c r="E1273" i="2"/>
  <c r="E79" i="2"/>
  <c r="E1060" i="2"/>
  <c r="E278" i="2"/>
  <c r="E1815" i="2"/>
  <c r="E386" i="2"/>
  <c r="E1739" i="2"/>
  <c r="E1774" i="2"/>
  <c r="E1096" i="2"/>
  <c r="E1426" i="2"/>
  <c r="E1943" i="2"/>
  <c r="E1901" i="2"/>
  <c r="E1792" i="2"/>
  <c r="E321" i="2"/>
  <c r="E1716" i="2"/>
  <c r="E1959" i="2"/>
  <c r="E1175" i="2"/>
  <c r="E1320" i="2"/>
  <c r="E1946" i="2"/>
  <c r="E1655" i="2"/>
  <c r="E783" i="2"/>
  <c r="E2016" i="2"/>
  <c r="E131" i="2"/>
  <c r="E177" i="2"/>
  <c r="E1650" i="2"/>
  <c r="E1528" i="2"/>
  <c r="E2013" i="2"/>
  <c r="E940" i="2"/>
  <c r="E296" i="2"/>
  <c r="E752" i="2"/>
  <c r="E1451" i="2"/>
  <c r="E1540" i="2"/>
  <c r="E1891" i="2"/>
  <c r="E2109" i="2"/>
  <c r="E1158" i="2"/>
  <c r="E824" i="2"/>
  <c r="E1055" i="2"/>
  <c r="E1461" i="2"/>
  <c r="E246" i="2"/>
  <c r="E1671" i="2"/>
  <c r="E701" i="2"/>
  <c r="E659" i="2"/>
  <c r="E639" i="2"/>
  <c r="E550" i="2"/>
  <c r="E2015" i="2"/>
  <c r="E1079" i="2"/>
  <c r="E586" i="2"/>
  <c r="E1125" i="2"/>
  <c r="E1673" i="2"/>
  <c r="E552" i="2"/>
  <c r="E1679" i="2"/>
  <c r="E502" i="2"/>
  <c r="E873" i="2"/>
  <c r="E48" i="2"/>
  <c r="E1652" i="2"/>
  <c r="E1937" i="2"/>
  <c r="E1935" i="2"/>
  <c r="E1331" i="2"/>
  <c r="E2124" i="2"/>
  <c r="E607" i="2"/>
  <c r="E989" i="2"/>
  <c r="E1665" i="2"/>
  <c r="E1839" i="2"/>
  <c r="E826" i="2"/>
  <c r="E779" i="2"/>
  <c r="E1614" i="2"/>
  <c r="E995" i="2"/>
  <c r="E425" i="2"/>
  <c r="E1840" i="2"/>
  <c r="E1728" i="2"/>
  <c r="E381" i="2"/>
  <c r="E2053" i="2"/>
  <c r="E647" i="2"/>
  <c r="E974" i="2"/>
  <c r="E2110" i="2"/>
  <c r="E857" i="2"/>
  <c r="E1200" i="2"/>
  <c r="E1088" i="2"/>
  <c r="E1579" i="2"/>
  <c r="E1341" i="2"/>
  <c r="E2049" i="2"/>
  <c r="E1596" i="2"/>
  <c r="E1111" i="2"/>
  <c r="E1093" i="2"/>
  <c r="E618" i="2"/>
  <c r="E1560" i="2"/>
  <c r="E1512" i="2"/>
  <c r="E35" i="2"/>
  <c r="E943" i="2"/>
  <c r="E658" i="2"/>
  <c r="E743" i="2"/>
  <c r="E1606" i="2"/>
  <c r="E291" i="2"/>
  <c r="E1183" i="2"/>
  <c r="E813" i="2"/>
  <c r="E726" i="2"/>
  <c r="E1369" i="2"/>
  <c r="E1161" i="2"/>
  <c r="E1777" i="2"/>
  <c r="E1388" i="2"/>
  <c r="E1340" i="2"/>
  <c r="E1434" i="2"/>
  <c r="E1223" i="2"/>
  <c r="E392" i="2"/>
  <c r="E675" i="2"/>
  <c r="E272" i="2"/>
  <c r="E1041" i="2"/>
  <c r="E748" i="2"/>
  <c r="E700" i="2"/>
  <c r="E509" i="2"/>
  <c r="E235" i="2"/>
  <c r="E1773" i="2"/>
  <c r="E2099" i="2"/>
  <c r="E994" i="2"/>
  <c r="E786" i="2"/>
  <c r="E747" i="2"/>
  <c r="E233" i="2"/>
  <c r="E1092" i="2"/>
  <c r="E980" i="2"/>
  <c r="E757" i="2"/>
  <c r="E1299" i="2"/>
  <c r="E917" i="2"/>
  <c r="E1113" i="2"/>
  <c r="E1153" i="2"/>
  <c r="E1198" i="2"/>
  <c r="E2034" i="2"/>
  <c r="E754" i="2"/>
  <c r="E640" i="2"/>
  <c r="E460" i="2"/>
  <c r="E72" i="2"/>
  <c r="E436" i="2"/>
  <c r="E1674" i="2"/>
  <c r="E1090" i="2"/>
  <c r="E527" i="2"/>
  <c r="E1290" i="2"/>
  <c r="E570" i="2"/>
  <c r="E1097" i="2"/>
  <c r="E682" i="2"/>
  <c r="E1421" i="2"/>
  <c r="E2026" i="2"/>
  <c r="E1083" i="2"/>
  <c r="E908" i="2"/>
  <c r="E1744" i="2"/>
  <c r="E1668" i="2"/>
  <c r="E411" i="2"/>
  <c r="E495" i="2"/>
  <c r="E1718" i="2"/>
  <c r="E1770" i="2"/>
  <c r="E1078" i="2"/>
  <c r="E523" i="2"/>
  <c r="E781" i="2"/>
  <c r="E1903" i="2"/>
  <c r="E1143" i="2"/>
  <c r="E1214" i="2"/>
  <c r="E503" i="2"/>
  <c r="E350" i="2"/>
  <c r="E1397" i="2"/>
  <c r="E789" i="2"/>
  <c r="E2076" i="2"/>
  <c r="E1933" i="2"/>
  <c r="E1519" i="2"/>
  <c r="E448" i="2"/>
  <c r="E987" i="2"/>
  <c r="E1800" i="2"/>
  <c r="E879" i="2"/>
  <c r="E487" i="2"/>
  <c r="E2102" i="2"/>
  <c r="E1160" i="2"/>
  <c r="E588" i="2"/>
  <c r="E1644" i="2"/>
  <c r="E1866" i="2"/>
  <c r="E578" i="2"/>
  <c r="E1440" i="2"/>
  <c r="E2117" i="2"/>
  <c r="E1038" i="2"/>
  <c r="E385" i="2"/>
  <c r="E15" i="2"/>
  <c r="E13" i="2"/>
  <c r="E473" i="2"/>
  <c r="E1268" i="2"/>
  <c r="E1235" i="2"/>
  <c r="E504" i="2"/>
  <c r="E289" i="2"/>
  <c r="E2115" i="2"/>
  <c r="E1379" i="2"/>
  <c r="E1987" i="2"/>
  <c r="E1522" i="2"/>
  <c r="E1100" i="2"/>
  <c r="E1498" i="2"/>
  <c r="E456" i="2"/>
  <c r="E24" i="2"/>
  <c r="E1311" i="2"/>
  <c r="E835" i="2"/>
  <c r="E172" i="2"/>
  <c r="E1921" i="2"/>
  <c r="E1508" i="2"/>
  <c r="E1402" i="2"/>
  <c r="E1095" i="2"/>
  <c r="E360" i="2"/>
  <c r="E635" i="2"/>
  <c r="E1988" i="2"/>
  <c r="E1876" i="2"/>
  <c r="E439" i="2"/>
  <c r="E374" i="2"/>
  <c r="E1845" i="2"/>
  <c r="E809" i="2"/>
  <c r="E2121" i="2"/>
  <c r="E423" i="2"/>
  <c r="E579" i="2"/>
  <c r="E2104" i="2"/>
  <c r="E1731" i="2"/>
  <c r="E1797" i="2"/>
  <c r="E614" i="2"/>
  <c r="E1146" i="2"/>
  <c r="E1387" i="2"/>
  <c r="E1732" i="2"/>
  <c r="E2106" i="2"/>
  <c r="E1589" i="2"/>
  <c r="E1849" i="2"/>
  <c r="E1510" i="2"/>
  <c r="E446" i="2"/>
  <c r="E1219" i="2"/>
  <c r="E469" i="2"/>
  <c r="E366" i="2"/>
  <c r="E231" i="2"/>
  <c r="E379" i="2"/>
  <c r="E1783" i="2"/>
  <c r="E1244" i="2"/>
  <c r="E992" i="2"/>
  <c r="E916" i="2"/>
  <c r="E1760" i="2"/>
  <c r="E2095" i="2"/>
  <c r="E249" i="2"/>
  <c r="E2111" i="2"/>
  <c r="E2084" i="2"/>
  <c r="E1352" i="2"/>
  <c r="E1276" i="2"/>
  <c r="E191" i="2"/>
  <c r="E74" i="2"/>
  <c r="E1338" i="2"/>
  <c r="E1303" i="2"/>
  <c r="E1428" i="2"/>
  <c r="E1362" i="2"/>
  <c r="E776" i="2"/>
  <c r="E482" i="2"/>
  <c r="E1623" i="2"/>
  <c r="E1584" i="2"/>
  <c r="E921" i="2"/>
  <c r="E1061" i="2"/>
  <c r="E650" i="2"/>
  <c r="E1791" i="2"/>
  <c r="E1909" i="2"/>
  <c r="E1764" i="2"/>
  <c r="E577" i="2"/>
  <c r="E949" i="2"/>
  <c r="E1322" i="2"/>
  <c r="E462" i="2"/>
  <c r="E1586" i="2"/>
  <c r="E307" i="2"/>
  <c r="E1848" i="2"/>
  <c r="E429" i="2"/>
  <c r="E594" i="2"/>
  <c r="E1542" i="2"/>
  <c r="E1208" i="2"/>
  <c r="E415" i="2"/>
  <c r="E1457" i="2"/>
  <c r="E164" i="2"/>
  <c r="E1565" i="2"/>
  <c r="E1552" i="2"/>
  <c r="E58" i="2"/>
  <c r="E903" i="2"/>
  <c r="E299" i="2"/>
  <c r="E2042" i="2"/>
  <c r="E1517" i="2"/>
  <c r="E1785" i="2"/>
  <c r="E1380" i="2"/>
  <c r="E685" i="2"/>
  <c r="E644" i="2"/>
  <c r="E1057" i="2"/>
  <c r="E740" i="2"/>
  <c r="E1107" i="2"/>
  <c r="E161" i="2"/>
  <c r="E1487" i="2"/>
  <c r="E416" i="2"/>
  <c r="E1052" i="2"/>
  <c r="E1479" i="2"/>
  <c r="E763" i="2"/>
  <c r="E1145" i="2"/>
  <c r="E1725" i="2"/>
  <c r="E517" i="2"/>
  <c r="E138" i="2"/>
  <c r="E601" i="2"/>
  <c r="E1396" i="2"/>
  <c r="E621" i="2"/>
  <c r="E1203" i="2"/>
  <c r="E612" i="2"/>
  <c r="E1996" i="2"/>
  <c r="E1948" i="2"/>
  <c r="E479" i="2"/>
  <c r="E1643" i="2"/>
  <c r="E597" i="2"/>
  <c r="E1613" i="2"/>
  <c r="E1529" i="2"/>
  <c r="E276" i="2"/>
  <c r="E1001" i="2"/>
  <c r="E1475" i="2"/>
  <c r="E2056" i="2"/>
  <c r="E284" i="2"/>
  <c r="E1698" i="2"/>
  <c r="E1361" i="2"/>
  <c r="E1994" i="2"/>
  <c r="E347" i="2"/>
  <c r="E1620" i="2"/>
  <c r="E143" i="2"/>
  <c r="E34" i="2"/>
  <c r="E617" i="2"/>
  <c r="E1558" i="2"/>
  <c r="E1758" i="2"/>
  <c r="E1786" i="2"/>
  <c r="E1081" i="2"/>
  <c r="E1769" i="2"/>
  <c r="E898" i="2"/>
  <c r="E1269" i="2"/>
  <c r="E1979" i="2"/>
  <c r="E1023" i="2"/>
  <c r="E1738" i="2"/>
  <c r="E1429" i="2"/>
  <c r="E450" i="2"/>
  <c r="E1424" i="2"/>
  <c r="E1312" i="2"/>
  <c r="E476" i="2"/>
  <c r="E1989" i="2"/>
  <c r="E391" i="2"/>
  <c r="E910" i="2"/>
  <c r="E2046" i="2"/>
  <c r="E1925" i="2"/>
  <c r="E782" i="2"/>
  <c r="E122" i="2"/>
  <c r="E960" i="2"/>
  <c r="E1514" i="2"/>
  <c r="E2125" i="2"/>
  <c r="E884" i="2"/>
  <c r="E858" i="2"/>
  <c r="E716" i="2"/>
  <c r="E1114" i="2"/>
  <c r="E1355" i="2"/>
  <c r="E1005" i="2"/>
  <c r="E942" i="2"/>
  <c r="E205" i="2"/>
  <c r="E622" i="2"/>
  <c r="E244" i="2"/>
  <c r="E2062" i="2"/>
  <c r="E838" i="2"/>
  <c r="E1711" i="2"/>
  <c r="E1172" i="2"/>
  <c r="E305" i="2"/>
  <c r="E2082" i="2"/>
  <c r="E741" i="2"/>
  <c r="E1912" i="2"/>
  <c r="E1836" i="2"/>
  <c r="E2071" i="2"/>
  <c r="E2044" i="2"/>
  <c r="E1280" i="2"/>
  <c r="E1204" i="2"/>
  <c r="E1082" i="2"/>
  <c r="E413" i="2"/>
  <c r="E541" i="2"/>
  <c r="E2066" i="2"/>
  <c r="E660" i="2"/>
  <c r="E851" i="2"/>
  <c r="E828" i="2"/>
  <c r="E1998" i="2"/>
  <c r="E2112" i="2"/>
  <c r="E1544" i="2"/>
  <c r="E345" i="2"/>
  <c r="E1191" i="2"/>
  <c r="E470" i="2"/>
  <c r="E1843" i="2"/>
  <c r="E320" i="2"/>
  <c r="E1672" i="2"/>
  <c r="E2055" i="2"/>
  <c r="E1298" i="2"/>
  <c r="E738" i="2"/>
  <c r="E592" i="2"/>
  <c r="E1053" i="2"/>
  <c r="E1729" i="2"/>
  <c r="E1900" i="2"/>
  <c r="E1954" i="2"/>
  <c r="E358" i="2"/>
  <c r="E945" i="2"/>
  <c r="E1260" i="2"/>
  <c r="E375" i="2"/>
  <c r="E2057" i="2"/>
  <c r="E1530" i="2"/>
  <c r="E1259" i="2"/>
  <c r="E1604" i="2"/>
  <c r="E1978" i="2"/>
  <c r="E1453" i="2"/>
  <c r="E1721" i="2"/>
  <c r="E1007" i="2"/>
  <c r="E999" i="2"/>
  <c r="E355" i="2"/>
  <c r="E1288" i="2"/>
  <c r="E367" i="2"/>
  <c r="E1138" i="2"/>
  <c r="E1590" i="2"/>
  <c r="E648" i="2"/>
  <c r="E1547" i="2"/>
  <c r="E2107" i="2"/>
  <c r="E1354" i="2"/>
  <c r="E1965" i="2"/>
  <c r="E928" i="2"/>
  <c r="E1605" i="2"/>
  <c r="E254" i="2"/>
  <c r="E769" i="2"/>
  <c r="E802" i="2"/>
  <c r="E1541" i="2"/>
  <c r="E1313" i="2"/>
  <c r="E1516" i="2"/>
  <c r="E141" i="2"/>
  <c r="E335" i="2"/>
  <c r="E1949" i="2"/>
  <c r="E1098" i="2"/>
  <c r="E1936" i="2"/>
  <c r="E1824" i="2"/>
  <c r="E765" i="2"/>
  <c r="E602" i="2"/>
  <c r="E587" i="2"/>
  <c r="E1422" i="2"/>
  <c r="E739" i="2"/>
  <c r="E1218" i="2"/>
  <c r="E1870" i="2"/>
  <c r="E681" i="2"/>
  <c r="E1984" i="2"/>
  <c r="E623" i="2"/>
  <c r="E1618" i="2"/>
  <c r="E956" i="2"/>
  <c r="E332" i="2"/>
  <c r="E1740" i="2"/>
  <c r="E183" i="2"/>
  <c r="E854" i="2"/>
  <c r="E1233" i="2"/>
  <c r="E537" i="2"/>
  <c r="E673" i="2"/>
  <c r="E1750" i="2"/>
  <c r="E223" i="2"/>
  <c r="E546" i="2"/>
  <c r="E1874" i="2"/>
  <c r="E1653" i="2"/>
  <c r="E1237" i="2"/>
  <c r="E1971" i="2"/>
  <c r="E842" i="2"/>
  <c r="E1410" i="2"/>
  <c r="E1131" i="2"/>
  <c r="E1966" i="2"/>
  <c r="E1476" i="2"/>
  <c r="E1364" i="2"/>
  <c r="E1651" i="2"/>
  <c r="E400" i="2"/>
  <c r="E1317" i="2"/>
  <c r="E1837" i="2"/>
  <c r="E452" i="2"/>
  <c r="E466" i="2"/>
  <c r="E1414" i="2"/>
  <c r="E1080" i="2"/>
  <c r="E709" i="2"/>
  <c r="E251" i="2"/>
  <c r="E1249" i="2"/>
  <c r="E485" i="2"/>
  <c r="E181" i="2"/>
  <c r="E708" i="2"/>
  <c r="E42" i="2"/>
  <c r="E710" i="2"/>
  <c r="E929" i="2"/>
  <c r="E1825" i="2"/>
  <c r="E1137" i="2"/>
  <c r="E553" i="2"/>
  <c r="E1170" i="2"/>
  <c r="E80" i="2"/>
  <c r="E1798" i="2"/>
  <c r="E1538" i="2"/>
  <c r="E566" i="2"/>
  <c r="E408" i="2"/>
  <c r="E1704" i="2"/>
  <c r="E1217" i="2"/>
  <c r="E250" i="2"/>
  <c r="E1391" i="2"/>
  <c r="E1952" i="2"/>
  <c r="E590" i="2"/>
  <c r="E1649" i="2"/>
  <c r="E1666" i="2"/>
  <c r="E280" i="2"/>
  <c r="E1336" i="2"/>
  <c r="E696" i="2"/>
  <c r="E1021" i="2"/>
  <c r="E1662" i="2"/>
  <c r="E1913" i="2"/>
  <c r="E1154" i="2"/>
  <c r="E1327" i="2"/>
  <c r="E746" i="2"/>
  <c r="E324" i="2"/>
  <c r="E774" i="2"/>
  <c r="E1526" i="2"/>
  <c r="E304" i="2"/>
  <c r="E50" i="2"/>
  <c r="E983" i="2"/>
  <c r="E490" i="2"/>
  <c r="E1384" i="2"/>
  <c r="E815" i="2"/>
  <c r="E199" i="2"/>
  <c r="E412" i="2"/>
  <c r="E1982" i="2"/>
  <c r="E799" i="2"/>
  <c r="E1857" i="2"/>
  <c r="E1383" i="2"/>
  <c r="E1858" i="2"/>
  <c r="E862" i="2"/>
  <c r="E1761" i="2"/>
  <c r="E295" i="2"/>
  <c r="E483" i="2"/>
  <c r="E797" i="2"/>
  <c r="E619" i="2"/>
  <c r="E964" i="2"/>
  <c r="E573" i="2"/>
  <c r="E580" i="2"/>
  <c r="E927" i="2"/>
  <c r="E1993" i="2"/>
  <c r="E420" i="2"/>
  <c r="E1037" i="2"/>
  <c r="E762" i="2"/>
  <c r="E1071" i="2"/>
  <c r="E1347" i="2"/>
  <c r="E163" i="2"/>
  <c r="E1893" i="2"/>
  <c r="E1819" i="2"/>
  <c r="E1667" i="2"/>
  <c r="E971" i="2"/>
  <c r="E1371" i="2"/>
  <c r="E574" i="2"/>
  <c r="E569" i="2"/>
  <c r="E2081" i="2"/>
  <c r="E116" i="2"/>
  <c r="E46" i="2"/>
  <c r="E1180" i="2"/>
  <c r="E914" i="2"/>
  <c r="E1678" i="2"/>
  <c r="E2113" i="2"/>
  <c r="E1625" i="2"/>
  <c r="E750" i="2"/>
  <c r="E207" i="2"/>
  <c r="E1205" i="2"/>
  <c r="E672" i="2"/>
  <c r="E1333" i="2"/>
  <c r="E1865" i="2"/>
  <c r="E1289" i="2"/>
  <c r="E1155" i="2"/>
  <c r="E395" i="2"/>
  <c r="E886" i="2"/>
  <c r="E1518" i="2"/>
  <c r="E560" i="2"/>
  <c r="E718" i="2"/>
  <c r="E109" i="2"/>
  <c r="E1374" i="2"/>
  <c r="E22" i="2"/>
  <c r="E1697" i="2"/>
  <c r="E657" i="2"/>
  <c r="E16" i="2"/>
  <c r="E186" i="2"/>
  <c r="E1430" i="2"/>
  <c r="E1897" i="2"/>
  <c r="E1059" i="2"/>
  <c r="E511" i="2"/>
  <c r="E912" i="2"/>
  <c r="E1106" i="2"/>
  <c r="E55" i="2"/>
  <c r="E670" i="2"/>
  <c r="E389" i="2"/>
  <c r="E562" i="2"/>
  <c r="E1947" i="2"/>
  <c r="E810" i="2"/>
  <c r="E1099" i="2"/>
  <c r="E472" i="2"/>
  <c r="E1275" i="2"/>
  <c r="E1084" i="2"/>
  <c r="E174" i="2"/>
  <c r="E969" i="2"/>
  <c r="E1247" i="2"/>
  <c r="E606" i="2"/>
  <c r="E71" i="2"/>
  <c r="E855" i="2"/>
  <c r="E1304" i="2"/>
  <c r="E388" i="2"/>
  <c r="E402" i="2"/>
  <c r="E1350" i="2"/>
  <c r="E513" i="2"/>
  <c r="E29" i="2"/>
  <c r="E889" i="2"/>
  <c r="E252" i="2"/>
  <c r="E1634" i="2"/>
  <c r="E1683" i="2"/>
  <c r="E559" i="2"/>
  <c r="E1490" i="2"/>
  <c r="E731" i="2"/>
  <c r="E31" i="2"/>
  <c r="E963" i="2"/>
  <c r="E477" i="2"/>
  <c r="E203" i="2"/>
  <c r="E1820" i="2"/>
  <c r="E2130" i="2"/>
  <c r="E1069" i="2"/>
  <c r="E1782" i="2"/>
  <c r="E1822" i="2"/>
  <c r="E1446" i="2"/>
  <c r="E1638" i="2"/>
  <c r="E497" i="2"/>
  <c r="E1622" i="2"/>
  <c r="E761" i="2"/>
  <c r="E918" i="2"/>
  <c r="E1345" i="2"/>
  <c r="E689" i="2"/>
  <c r="E326" i="2"/>
  <c r="E753" i="2"/>
  <c r="E259" i="2"/>
  <c r="E312" i="2"/>
  <c r="E2025" i="2"/>
  <c r="E1173" i="2"/>
  <c r="E568" i="2"/>
  <c r="E401" i="2"/>
  <c r="E1877" i="2"/>
  <c r="E303" i="2"/>
  <c r="E887" i="2"/>
  <c r="E958" i="2"/>
  <c r="E67" i="2"/>
  <c r="E706" i="2"/>
  <c r="E1841" i="2"/>
  <c r="E434" i="2"/>
  <c r="E823" i="2"/>
  <c r="E2038" i="2"/>
  <c r="E1279" i="2"/>
  <c r="E1415" i="2"/>
  <c r="E1257" i="2"/>
  <c r="E1719" i="2"/>
  <c r="E1321" i="2"/>
  <c r="E1150" i="2"/>
  <c r="E1801" i="2"/>
  <c r="E991" i="2"/>
  <c r="E1124" i="2"/>
  <c r="E1737" i="2"/>
  <c r="E1236" i="2"/>
  <c r="E459" i="2"/>
  <c r="E944" i="2"/>
  <c r="E1176" i="2"/>
  <c r="E1117" i="2"/>
  <c r="E793" i="2"/>
  <c r="E1908" i="2"/>
  <c r="E844" i="2"/>
  <c r="E1483" i="2"/>
  <c r="E1454" i="2"/>
  <c r="E213" i="2"/>
  <c r="E1633" i="2"/>
  <c r="E83" i="2"/>
  <c r="E146" i="2"/>
  <c r="E947" i="2"/>
  <c r="E237" i="2"/>
  <c r="E218" i="2"/>
  <c r="E1878" i="2"/>
  <c r="E1677" i="2"/>
  <c r="E264" i="2"/>
  <c r="E1887" i="2"/>
  <c r="E1581" i="2"/>
  <c r="E1207" i="2"/>
  <c r="E1356" i="2"/>
  <c r="E489" i="2"/>
  <c r="E1494" i="2"/>
  <c r="E1077" i="2"/>
  <c r="E492" i="2"/>
  <c r="E1270" i="2"/>
  <c r="E558" i="2"/>
  <c r="E882" i="2"/>
  <c r="E474" i="2"/>
  <c r="E1977" i="2"/>
  <c r="E1201" i="2"/>
  <c r="E433" i="2"/>
  <c r="E87" i="2"/>
  <c r="E531" i="2"/>
  <c r="E1126" i="2"/>
  <c r="E1681" i="2"/>
  <c r="E603" i="2"/>
  <c r="E955" i="2"/>
  <c r="E585" i="2"/>
  <c r="E1882" i="2"/>
  <c r="E418" i="2"/>
  <c r="E1377" i="2"/>
  <c r="E1051" i="2"/>
  <c r="E1181" i="2"/>
  <c r="E1390" i="2"/>
  <c r="E1482" i="2"/>
  <c r="E1056" i="2"/>
  <c r="E1169" i="2"/>
  <c r="E2070" i="2"/>
  <c r="E506" i="2"/>
  <c r="E724" i="2"/>
  <c r="E1251" i="2"/>
  <c r="E686" i="2"/>
  <c r="E1182" i="2"/>
  <c r="E112" i="2"/>
  <c r="E182" i="2"/>
  <c r="E624" i="2"/>
  <c r="E1886" i="2"/>
  <c r="E1775" i="2"/>
  <c r="E222" i="2"/>
  <c r="E722" i="2"/>
  <c r="E1308" i="2"/>
  <c r="E1254" i="2"/>
  <c r="E1846" i="2"/>
  <c r="E979" i="2"/>
  <c r="E1427" i="2"/>
  <c r="E7" i="2"/>
  <c r="E2028" i="2"/>
  <c r="E1816" i="2"/>
  <c r="E1010" i="2"/>
  <c r="E120" i="2"/>
  <c r="E1809" i="2"/>
  <c r="E95" i="2"/>
  <c r="E539" i="2"/>
  <c r="E515" i="2"/>
  <c r="E1694" i="2"/>
  <c r="E646" i="2"/>
  <c r="E677" i="2"/>
  <c r="E145" i="2"/>
  <c r="E1474" i="2"/>
  <c r="E819" i="2"/>
  <c r="E1852" i="2"/>
  <c r="E2094" i="2"/>
  <c r="E20" i="2"/>
  <c r="E1962" i="2"/>
  <c r="E211" i="2"/>
  <c r="E2060" i="2"/>
  <c r="E1496" i="2"/>
  <c r="E117" i="2"/>
  <c r="E56" i="2"/>
  <c r="E1853" i="2"/>
  <c r="E1386" i="2"/>
  <c r="E669" i="2"/>
  <c r="E1781" i="2"/>
  <c r="E1492" i="2"/>
  <c r="E730" i="2"/>
  <c r="E1981" i="2"/>
  <c r="E1805" i="2"/>
  <c r="E68" i="2"/>
  <c r="E454" i="2"/>
  <c r="E1495" i="2"/>
  <c r="E1896" i="2"/>
  <c r="E1539" i="2"/>
  <c r="E1499" i="2"/>
  <c r="E1286" i="2"/>
  <c r="E877" i="2"/>
  <c r="E1190" i="2"/>
  <c r="E2122" i="2"/>
  <c r="E1931" i="2"/>
  <c r="E965" i="2"/>
  <c r="E1432" i="2"/>
  <c r="E516" i="2"/>
  <c r="E530" i="2"/>
  <c r="E1478" i="2"/>
  <c r="E2058" i="2"/>
  <c r="E1072" i="2"/>
  <c r="E1189" i="2"/>
  <c r="E1103" i="2"/>
  <c r="E668" i="2"/>
  <c r="E315" i="2"/>
  <c r="E286" i="2"/>
  <c r="E1856" i="2"/>
  <c r="E287" i="2"/>
  <c r="E1416" i="2"/>
  <c r="E634" i="2"/>
  <c r="E104" i="2"/>
  <c r="E852" i="2"/>
  <c r="E1171" i="2"/>
  <c r="E1531" i="2"/>
  <c r="E1325" i="2"/>
  <c r="E1543" i="2"/>
  <c r="E1491" i="2"/>
  <c r="E1239" i="2"/>
  <c r="E1640" i="2"/>
  <c r="E1255" i="2"/>
  <c r="E240" i="2"/>
  <c r="E1976" i="2"/>
  <c r="E1810" i="2"/>
  <c r="E1771" i="2"/>
  <c r="E1130" i="2"/>
  <c r="E1806" i="2"/>
  <c r="E654" i="2"/>
  <c r="E1889" i="2"/>
  <c r="E1489" i="2"/>
  <c r="E832" i="2"/>
  <c r="E1778" i="2"/>
  <c r="E1228" i="2"/>
  <c r="E175" i="2"/>
  <c r="E843" i="2"/>
  <c r="E1115" i="2"/>
  <c r="E2041" i="2"/>
  <c r="E544" i="2"/>
  <c r="E383" i="2"/>
  <c r="E556" i="2"/>
  <c r="E784" i="2"/>
  <c r="E1335" i="2"/>
  <c r="E890" i="2"/>
  <c r="E1406" i="2"/>
  <c r="E693" i="2"/>
  <c r="E81" i="2"/>
  <c r="E785" i="2"/>
  <c r="E128" i="2"/>
  <c r="E867" i="2"/>
  <c r="E1553" i="2"/>
  <c r="E1950" i="2"/>
  <c r="E1833" i="2"/>
  <c r="E481" i="2"/>
  <c r="E505" i="2"/>
  <c r="E526" i="2"/>
  <c r="E262" i="2"/>
  <c r="E134" i="2"/>
  <c r="E830" i="2"/>
  <c r="E86" i="2"/>
  <c r="E798" i="2"/>
  <c r="E1230" i="2"/>
  <c r="E661" i="2"/>
  <c r="E1463" i="2"/>
  <c r="E1534" i="2"/>
  <c r="E1033" i="2"/>
  <c r="E1927" i="2"/>
  <c r="E847" i="2"/>
  <c r="E359" i="2"/>
  <c r="E1899" i="2"/>
  <c r="E1346" i="2"/>
  <c r="E1934" i="2"/>
  <c r="E501" i="2"/>
  <c r="E1513" i="2"/>
  <c r="E148" i="2"/>
  <c r="E996" i="2"/>
  <c r="E664" i="2"/>
  <c r="E1661" i="2"/>
  <c r="E107" i="2"/>
  <c r="E1027" i="2"/>
  <c r="E362" i="2"/>
  <c r="E1256" i="2"/>
  <c r="E687" i="2"/>
  <c r="E1746" i="2"/>
  <c r="E1091" i="2"/>
  <c r="E1133" i="2"/>
  <c r="E1443" i="2"/>
  <c r="E952" i="2"/>
  <c r="E1765" i="2"/>
  <c r="E60" i="2"/>
  <c r="E260" i="2"/>
  <c r="E274" i="2"/>
  <c r="E1222" i="2"/>
  <c r="E616" i="2"/>
  <c r="E777" i="2"/>
  <c r="E1980" i="2"/>
  <c r="E1075" i="2"/>
  <c r="E1868" i="2"/>
  <c r="E351" i="2"/>
  <c r="E243" i="2"/>
  <c r="E1385" i="2"/>
  <c r="E665" i="2"/>
  <c r="E152" i="2"/>
  <c r="E64" i="2"/>
  <c r="E323" i="2"/>
  <c r="E1062" i="2"/>
  <c r="E529" i="2"/>
  <c r="E1961" i="2"/>
  <c r="E65" i="2"/>
  <c r="E1945" i="2"/>
  <c r="E224" i="2"/>
  <c r="E1193" i="2"/>
  <c r="E1574" i="2"/>
  <c r="E465" i="2"/>
  <c r="E1905" i="2"/>
  <c r="E697" i="2"/>
  <c r="E1409" i="2"/>
  <c r="E179" i="2"/>
  <c r="E471" i="2"/>
  <c r="E872" i="2"/>
  <c r="E1042" i="2"/>
  <c r="E394" i="2"/>
  <c r="E2036" i="2"/>
  <c r="E194" i="2"/>
  <c r="E346" i="2"/>
  <c r="E82" i="2"/>
  <c r="E1759" i="2"/>
  <c r="E330" i="2"/>
  <c r="E1535" i="2"/>
  <c r="E1680" i="2"/>
  <c r="E1209" i="2"/>
  <c r="E1213" i="2"/>
  <c r="E1578" i="2"/>
  <c r="E210" i="2"/>
  <c r="E1135" i="2"/>
  <c r="E432" i="2"/>
  <c r="E2065" i="2"/>
  <c r="E909" i="2"/>
  <c r="E895" i="2"/>
  <c r="E1147" i="2"/>
  <c r="E1958" i="2"/>
  <c r="E219" i="2"/>
  <c r="E735" i="2"/>
  <c r="E1793" i="2"/>
  <c r="E532" i="2"/>
  <c r="E1066" i="2"/>
  <c r="E1242" i="2"/>
  <c r="E1549" i="2"/>
  <c r="E114" i="2"/>
  <c r="E1174" i="2"/>
  <c r="E833" i="2"/>
  <c r="E409" i="2"/>
  <c r="E189" i="2"/>
  <c r="E302" i="2"/>
  <c r="E1315" i="2"/>
  <c r="E1283" i="2"/>
  <c r="E1577" i="2"/>
  <c r="E1689" i="2"/>
  <c r="E1922" i="2"/>
  <c r="E458" i="2"/>
  <c r="E1742" i="2"/>
  <c r="E1646" i="2"/>
  <c r="E1017" i="2"/>
  <c r="E417" i="2"/>
  <c r="E1157" i="2"/>
  <c r="E1591" i="2"/>
  <c r="E931" i="2"/>
  <c r="E1054" i="2"/>
  <c r="E151" i="2"/>
  <c r="E1696" i="2"/>
  <c r="E1294" i="2"/>
  <c r="E1337" i="2"/>
  <c r="E1129" i="2"/>
  <c r="E1105" i="2"/>
  <c r="E649" i="2"/>
  <c r="E32" i="2"/>
  <c r="E825" i="2"/>
  <c r="E713" i="2"/>
  <c r="E1318" i="2"/>
  <c r="E214" i="2"/>
  <c r="E118" i="2"/>
  <c r="E1847" i="2"/>
  <c r="E1521" i="2"/>
  <c r="E1197" i="2"/>
  <c r="E1348" i="2"/>
  <c r="E103" i="2"/>
  <c r="E1854" i="2"/>
  <c r="E2093" i="2"/>
  <c r="E187" i="2"/>
  <c r="E288" i="2"/>
  <c r="E178" i="2"/>
  <c r="E257" i="2"/>
  <c r="E1043" i="2"/>
  <c r="E70" i="2"/>
  <c r="E387" i="2"/>
  <c r="E905" i="2"/>
  <c r="E1445" i="2"/>
  <c r="E1373" i="2"/>
  <c r="E377" i="2"/>
  <c r="E605" i="2"/>
  <c r="E1465" i="2"/>
  <c r="E247" i="2"/>
  <c r="E1243" i="2"/>
  <c r="E290" i="2"/>
  <c r="E1969" i="2"/>
  <c r="E90" i="2"/>
  <c r="E1108" i="2"/>
  <c r="E572" i="2"/>
  <c r="E1046" i="2"/>
  <c r="E1365" i="2"/>
  <c r="E653" i="2"/>
  <c r="E1862" i="2"/>
  <c r="E1329" i="2"/>
  <c r="E1753" i="2"/>
  <c r="E88" i="2"/>
  <c r="E96" i="2"/>
  <c r="E636" i="2"/>
  <c r="E248" i="2"/>
  <c r="E1162" i="2"/>
  <c r="E1628" i="2"/>
  <c r="E1955" i="2"/>
  <c r="E1550" i="2"/>
  <c r="E1212" i="2"/>
  <c r="E1940" i="2"/>
  <c r="E1306" i="2"/>
  <c r="E1700" i="2"/>
  <c r="E1701" i="2"/>
  <c r="E642" i="2"/>
  <c r="E900" i="2"/>
  <c r="E236" i="2"/>
  <c r="E524" i="2"/>
  <c r="E227" i="2"/>
  <c r="E463" i="2"/>
  <c r="E1997" i="2"/>
  <c r="E1563" i="2"/>
  <c r="E1636" i="2"/>
  <c r="E528" i="2"/>
  <c r="E1670" i="2"/>
  <c r="E1030" i="2"/>
  <c r="E1151" i="2"/>
  <c r="E1314" i="2"/>
  <c r="E604" i="2"/>
  <c r="E1501" i="2"/>
  <c r="E805" i="2"/>
  <c r="E1990" i="2"/>
  <c r="E2096" i="2"/>
  <c r="E106" i="2"/>
  <c r="E758" i="2"/>
  <c r="E1928" i="2"/>
  <c r="E1123" i="2"/>
  <c r="E1859" i="2"/>
  <c r="E807" i="2"/>
  <c r="E1484" i="2"/>
  <c r="E1890" i="2"/>
  <c r="E2129" i="2"/>
  <c r="E865" i="2"/>
  <c r="E1898" i="2"/>
  <c r="E1032" i="2"/>
  <c r="E266" i="2"/>
  <c r="E378" i="2"/>
  <c r="E2083" i="2"/>
  <c r="E1011" i="2"/>
  <c r="E270" i="2"/>
  <c r="E714" i="2"/>
  <c r="E410" i="2"/>
  <c r="E837" i="2"/>
  <c r="E1266" i="2"/>
  <c r="E972" i="2"/>
  <c r="E1370" i="2"/>
  <c r="E328" i="2"/>
  <c r="E208" i="2"/>
  <c r="E354" i="2"/>
  <c r="E2108" i="2"/>
  <c r="E1109" i="2"/>
  <c r="E1229" i="2"/>
  <c r="E493" i="2"/>
  <c r="E1734" i="2"/>
  <c r="E977" i="2"/>
  <c r="E380" i="2"/>
  <c r="E209" i="2"/>
  <c r="E1699" i="2"/>
  <c r="E2090" i="2"/>
  <c r="E499" i="2"/>
  <c r="E27" i="2"/>
  <c r="E1881" i="2"/>
  <c r="E2089" i="2"/>
  <c r="E239" i="2"/>
  <c r="E875" i="2"/>
  <c r="E1220" i="2"/>
  <c r="E52" i="2"/>
  <c r="E512" i="2"/>
  <c r="E973" i="2"/>
  <c r="E897" i="2"/>
  <c r="E77" i="2"/>
  <c r="E343" i="2"/>
  <c r="E1749" i="2"/>
  <c r="E744" i="2"/>
  <c r="E2098" i="2"/>
  <c r="E834" i="2"/>
  <c r="E563" i="2"/>
  <c r="E1179" i="2"/>
  <c r="E627" i="2"/>
  <c r="E883" i="2"/>
  <c r="E44" i="2"/>
  <c r="E859" i="2"/>
  <c r="E609" i="2"/>
  <c r="E1942" i="2"/>
  <c r="E702" i="2"/>
  <c r="E38" i="2"/>
  <c r="E1025" i="2"/>
  <c r="E6" i="2"/>
  <c r="E1873" i="2"/>
  <c r="E990" i="2"/>
  <c r="E1438" i="2"/>
  <c r="E1281" i="2"/>
  <c r="E19" i="2"/>
  <c r="E1456" i="2"/>
  <c r="E1741" i="2"/>
  <c r="E1469" i="2"/>
  <c r="E1609" i="2"/>
  <c r="E1511" i="2"/>
  <c r="E1879" i="2"/>
  <c r="E2021" i="2"/>
  <c r="E337" i="2"/>
  <c r="E1827" i="2"/>
  <c r="E679" i="2"/>
  <c r="E667" i="2"/>
  <c r="E1241" i="2"/>
  <c r="E1132" i="2"/>
  <c r="E1842" i="2"/>
  <c r="E167" i="2"/>
  <c r="E2103" i="2"/>
  <c r="E674" i="2"/>
  <c r="E787" i="2"/>
  <c r="E1968" i="2"/>
  <c r="E322" i="2"/>
  <c r="E1184" i="2"/>
  <c r="E1861" i="2"/>
  <c r="E678" i="2"/>
  <c r="E1585" i="2"/>
  <c r="E1101" i="2"/>
  <c r="E176" i="2"/>
  <c r="E525" i="2"/>
  <c r="E306" i="2"/>
  <c r="E1691" i="2"/>
  <c r="E220" i="2"/>
  <c r="E1570" i="2"/>
  <c r="E1790" i="2"/>
  <c r="E184" i="2"/>
  <c r="E632" i="2"/>
  <c r="E1274" i="2"/>
  <c r="E1515" i="2"/>
  <c r="E1860" i="2"/>
  <c r="E311" i="2"/>
  <c r="E1717" i="2"/>
  <c r="E1985" i="2"/>
  <c r="E2022" i="2"/>
  <c r="E846" i="2"/>
  <c r="E1070" i="2"/>
  <c r="E17" i="2"/>
  <c r="E1630" i="2"/>
  <c r="E2006" i="2"/>
  <c r="E926" i="2"/>
  <c r="E170" i="2"/>
  <c r="E633" i="2"/>
  <c r="E45" i="2"/>
  <c r="E1185" i="2"/>
  <c r="E267" i="2"/>
  <c r="E94" i="2"/>
  <c r="E1417" i="2"/>
  <c r="E157" i="2"/>
  <c r="E1401" i="2"/>
  <c r="E491" i="2"/>
  <c r="E438" i="2"/>
  <c r="E1503" i="2"/>
  <c r="E966" i="2"/>
  <c r="E1393" i="2"/>
  <c r="E1690" i="2"/>
  <c r="E2002" i="2"/>
  <c r="E1166" i="2"/>
  <c r="E1603" i="2"/>
  <c r="E1647" i="2"/>
  <c r="E1929" i="2"/>
  <c r="E1019" i="2"/>
  <c r="E453" i="2"/>
  <c r="E561" i="2"/>
  <c r="E1767" i="2"/>
  <c r="E1253" i="2"/>
  <c r="E707" i="2"/>
  <c r="E1419" i="2"/>
  <c r="E1895" i="2"/>
  <c r="E1245" i="2"/>
  <c r="E2031" i="2"/>
  <c r="E1838" i="2"/>
  <c r="E1398" i="2"/>
  <c r="E691" i="2"/>
  <c r="E234" i="2"/>
  <c r="E1450" i="2"/>
  <c r="E1910" i="2"/>
  <c r="E1702" i="2"/>
  <c r="E396" i="2"/>
  <c r="E455" i="2"/>
  <c r="E1014" i="2"/>
  <c r="E2033" i="2"/>
  <c r="E49" i="2"/>
  <c r="E75" i="2"/>
  <c r="E1405" i="2"/>
  <c r="E275" i="2"/>
  <c r="E1110" i="2"/>
  <c r="E1645" i="2"/>
  <c r="E168" i="2"/>
  <c r="E230" i="2"/>
  <c r="E611" i="2"/>
  <c r="E294" i="2"/>
  <c r="E1022" i="2"/>
  <c r="E147" i="2"/>
  <c r="E1610" i="2"/>
  <c r="E1309" i="2"/>
  <c r="E934" i="2"/>
  <c r="E1459" i="2"/>
  <c r="E1626" i="2"/>
  <c r="E130" i="2"/>
  <c r="E150" i="2"/>
  <c r="E1821" i="2"/>
  <c r="E581" i="2"/>
  <c r="E571" i="2"/>
  <c r="E66" i="2"/>
  <c r="E1745" i="2"/>
  <c r="E2014" i="2"/>
  <c r="E1262" i="2"/>
  <c r="E584" i="2"/>
  <c r="E1009" i="2"/>
  <c r="E1894" i="2"/>
  <c r="E154" i="2"/>
  <c r="E59" i="2"/>
  <c r="E449" i="2"/>
  <c r="E1706" i="2"/>
  <c r="E1595" i="2"/>
  <c r="E913" i="2"/>
  <c r="E159" i="2"/>
  <c r="E451" i="2"/>
  <c r="E767" i="2"/>
  <c r="E1168" i="2"/>
  <c r="E2101" i="2"/>
  <c r="E403" i="2"/>
  <c r="E637" i="2"/>
  <c r="E836" i="2"/>
  <c r="E171" i="2"/>
  <c r="E2097" i="2"/>
  <c r="E1641" i="2"/>
  <c r="E414" i="2"/>
  <c r="E1481" i="2"/>
  <c r="E1246" i="2"/>
  <c r="E136" i="2"/>
  <c r="E1467" i="2"/>
  <c r="E336" i="2"/>
  <c r="E656" i="2"/>
  <c r="E937" i="2"/>
  <c r="E1593" i="2"/>
  <c r="E1502" i="2"/>
  <c r="E63" i="2"/>
  <c r="E885" i="2"/>
  <c r="E1449" i="2"/>
  <c r="E1705" i="2"/>
  <c r="E938" i="2"/>
  <c r="E1199" i="2"/>
  <c r="E440" i="2"/>
  <c r="E1709" i="2"/>
  <c r="E441" i="2"/>
  <c r="E198" i="2"/>
  <c r="E1830" i="2"/>
  <c r="E318" i="2"/>
  <c r="E344" i="2"/>
  <c r="E1468" i="2"/>
  <c r="E338" i="2"/>
  <c r="E369" i="2"/>
  <c r="E565" i="2"/>
  <c r="E759" i="2"/>
  <c r="E33" i="2"/>
  <c r="E1359" i="2"/>
  <c r="E595" i="2"/>
  <c r="E1004" i="2"/>
  <c r="E1265" i="2"/>
  <c r="E111" i="2"/>
  <c r="E200" i="2"/>
  <c r="E1714" i="2"/>
  <c r="E2020" i="2"/>
  <c r="E1789" i="2"/>
  <c r="E457" i="2"/>
  <c r="E1382" i="2"/>
  <c r="E542" i="2"/>
  <c r="E545" i="2"/>
  <c r="E800" i="2"/>
  <c r="E508" i="2"/>
  <c r="E1177" i="2"/>
  <c r="E435" i="2"/>
  <c r="E339" i="2"/>
  <c r="E1826" i="2"/>
  <c r="E881" i="2"/>
  <c r="E1733" i="2"/>
  <c r="E734" i="2"/>
  <c r="E1305" i="2"/>
  <c r="E1817" i="2"/>
  <c r="E1353" i="2"/>
  <c r="E61" i="2"/>
  <c r="E2017" i="2"/>
  <c r="E920" i="2"/>
  <c r="E127" i="2"/>
  <c r="E596" i="2"/>
  <c r="E719" i="2"/>
  <c r="E1807" i="2"/>
  <c r="E1555" i="2"/>
  <c r="E2061" i="2"/>
  <c r="E443" i="2"/>
  <c r="E1473" i="2"/>
  <c r="E467" i="2"/>
  <c r="E951" i="2"/>
  <c r="E1310" i="2"/>
  <c r="E1710" i="2"/>
  <c r="E1505" i="2"/>
  <c r="E30" i="2"/>
  <c r="E1118" i="2"/>
  <c r="E195" i="2"/>
  <c r="E1149" i="2"/>
  <c r="E397" i="2"/>
  <c r="E119" i="2"/>
  <c r="E1919" i="2"/>
  <c r="E437" i="2"/>
  <c r="E1045" i="2"/>
  <c r="E268" i="2"/>
  <c r="E1411" i="2"/>
  <c r="E445" i="2"/>
  <c r="E933" i="2"/>
  <c r="E998" i="2"/>
  <c r="E593" i="2"/>
  <c r="E91" i="2"/>
  <c r="E1226" i="2"/>
  <c r="E1407" i="2"/>
  <c r="E2080" i="2"/>
  <c r="E1814" i="2"/>
  <c r="E629" i="2"/>
  <c r="E149" i="2"/>
  <c r="E638" i="2"/>
  <c r="E796" i="2"/>
  <c r="E1754" i="2"/>
  <c r="E1435" i="2"/>
  <c r="E699" i="2"/>
  <c r="E1425" i="2"/>
  <c r="E1631" i="2"/>
  <c r="E1944" i="2"/>
  <c r="E1692" i="2"/>
  <c r="E372" i="2"/>
  <c r="E1403" i="2"/>
  <c r="E265" i="2"/>
  <c r="E630" i="2"/>
  <c r="E1571" i="2"/>
  <c r="E1642" i="2"/>
  <c r="E1688" i="2"/>
  <c r="E1930" i="2"/>
  <c r="E1509" i="2"/>
  <c r="E970" i="2"/>
  <c r="E371" i="2"/>
  <c r="E1561" i="2"/>
  <c r="E766" i="2"/>
  <c r="E822" i="2"/>
  <c r="E600" i="2"/>
  <c r="E795" i="2"/>
  <c r="E814" i="2"/>
  <c r="E2009" i="2"/>
  <c r="E519" i="2"/>
  <c r="E1818" i="2"/>
  <c r="E1621" i="2"/>
  <c r="E628" i="2"/>
  <c r="E1918" i="2"/>
  <c r="E591" i="2"/>
  <c r="E510" i="2"/>
  <c r="E583" i="2"/>
  <c r="E202" i="2"/>
  <c r="E331" i="2"/>
  <c r="E849" i="2"/>
  <c r="E1006" i="2"/>
  <c r="E226" i="2"/>
  <c r="E1917" i="2"/>
  <c r="E1568" i="2"/>
  <c r="E93" i="2"/>
  <c r="E863" i="2"/>
  <c r="E1389" i="2"/>
  <c r="E97" i="2"/>
  <c r="E2078" i="2"/>
  <c r="E694" i="2"/>
  <c r="E126" i="2"/>
  <c r="E1582" i="2"/>
  <c r="E1012" i="2"/>
  <c r="E904" i="2"/>
  <c r="E292" i="2"/>
  <c r="E54" i="2"/>
  <c r="E1686" i="2"/>
  <c r="E608" i="2"/>
  <c r="E1293" i="2"/>
  <c r="E695" i="2"/>
  <c r="E1545" i="2"/>
  <c r="E1302" i="2"/>
  <c r="E162" i="2"/>
  <c r="E1617" i="2"/>
  <c r="E721" i="2"/>
  <c r="E1326" i="2"/>
  <c r="E340" i="2"/>
  <c r="E348" i="2"/>
  <c r="E142" i="2"/>
  <c r="E737" i="2"/>
  <c r="E1344" i="2"/>
  <c r="E427" i="2"/>
  <c r="E1128" i="2"/>
  <c r="E982" i="2"/>
  <c r="E428" i="2"/>
  <c r="E1587" i="2"/>
  <c r="E39" i="2"/>
  <c r="E1768" i="2"/>
  <c r="E1040" i="2"/>
  <c r="E1202" i="2"/>
  <c r="E1566" i="2"/>
  <c r="E1433" i="2"/>
  <c r="E751" i="2"/>
  <c r="E129" i="2"/>
  <c r="E1003" i="2"/>
  <c r="E924" i="2"/>
  <c r="E950" i="2"/>
  <c r="E818" i="2"/>
  <c r="E1811" i="2"/>
  <c r="E1569" i="2"/>
  <c r="E361" i="2"/>
  <c r="E253" i="2"/>
  <c r="E792" i="2"/>
  <c r="E102" i="2"/>
  <c r="E2086" i="2"/>
  <c r="E1366" i="2"/>
  <c r="E232" i="2"/>
  <c r="E99" i="2"/>
  <c r="E1178" i="2"/>
  <c r="E1939" i="2"/>
  <c r="E801" i="2"/>
  <c r="E1970" i="2"/>
  <c r="E1296" i="2"/>
  <c r="E841" i="2"/>
  <c r="E1554" i="2"/>
  <c r="E1441" i="2"/>
  <c r="E475" i="2"/>
  <c r="E745" i="2"/>
  <c r="E2105" i="2"/>
  <c r="E1953" i="2"/>
  <c r="E108" i="2"/>
  <c r="E518" i="2"/>
  <c r="E613" i="2"/>
  <c r="E993" i="2"/>
  <c r="E1693" i="2"/>
  <c r="E878" i="2"/>
  <c r="E907" i="2"/>
  <c r="E727" i="2"/>
  <c r="E1231" i="2"/>
  <c r="E430" i="2"/>
  <c r="E23" i="2"/>
  <c r="E1307" i="2"/>
  <c r="E1278" i="2"/>
  <c r="E1639" i="2"/>
  <c r="E1808" i="2"/>
  <c r="E125" i="2"/>
  <c r="E536" i="2"/>
  <c r="E1349" i="2"/>
  <c r="E43" i="2"/>
  <c r="E662" i="2"/>
  <c r="E1297" i="2"/>
  <c r="E1187" i="2"/>
  <c r="E1026" i="2"/>
  <c r="E1658" i="2"/>
  <c r="E1367" i="2"/>
  <c r="E173" i="2"/>
  <c r="E192" i="2"/>
  <c r="E1271" i="2"/>
  <c r="E1035" i="2"/>
  <c r="E1142" i="2"/>
  <c r="E1436" i="2"/>
  <c r="E1974" i="2"/>
  <c r="E204" i="2"/>
  <c r="E1464" i="2"/>
  <c r="E967" i="2"/>
  <c r="E922" i="2"/>
  <c r="E641" i="2"/>
  <c r="E212" i="2"/>
  <c r="E255" i="2"/>
  <c r="E1375" i="2"/>
  <c r="E521" i="2"/>
  <c r="E1238" i="2"/>
  <c r="E1334" i="2"/>
  <c r="E419" i="2"/>
  <c r="E166" i="2"/>
  <c r="E1748" i="2"/>
  <c r="E393" i="2"/>
  <c r="E1211" i="2"/>
  <c r="E771" i="2"/>
  <c r="E398" i="2"/>
  <c r="E1342" i="2"/>
  <c r="E206" i="2"/>
  <c r="E625" i="2"/>
  <c r="E1134" i="2"/>
  <c r="E376" i="2"/>
  <c r="E1121" i="2"/>
</calcChain>
</file>

<file path=xl/sharedStrings.xml><?xml version="1.0" encoding="utf-8"?>
<sst xmlns="http://schemas.openxmlformats.org/spreadsheetml/2006/main" count="244" uniqueCount="50">
  <si>
    <t>(土)</t>
  </si>
  <si>
    <t>元日</t>
  </si>
  <si>
    <t>(月)</t>
  </si>
  <si>
    <t>成人の日</t>
  </si>
  <si>
    <t>(金)</t>
  </si>
  <si>
    <t>建国記念の日</t>
  </si>
  <si>
    <t>(水)</t>
  </si>
  <si>
    <t>天皇誕生日</t>
  </si>
  <si>
    <t>春分の日</t>
  </si>
  <si>
    <t>昭和の日</t>
  </si>
  <si>
    <t>(火)</t>
  </si>
  <si>
    <t>憲法記念日</t>
  </si>
  <si>
    <t>みどりの日</t>
  </si>
  <si>
    <t>(木)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</si>
  <si>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</si>
  <si>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</si>
  <si>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</si>
  <si>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</si>
  <si>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</si>
  <si>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</si>
  <si>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</si>
  <si>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</si>
  <si>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(日)</t>
  </si>
  <si>
    <t>振替休日</t>
  </si>
  <si>
    <t>国民の休日</t>
  </si>
  <si>
    <t>年</t>
    <rPh sb="0" eb="1">
      <t>ネｎ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</si>
  <si>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</si>
  <si>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</si>
  <si>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日付</t>
    <rPh sb="0" eb="2">
      <t>ヒヅケ</t>
    </rPh>
    <phoneticPr fontId="1"/>
  </si>
  <si>
    <t>曜日</t>
    <rPh sb="0" eb="2">
      <t>ヨウビ</t>
    </rPh>
    <phoneticPr fontId="1"/>
  </si>
  <si>
    <t>休日日付
（月日情報のみ）</t>
    <rPh sb="0" eb="2">
      <t>キュウジツ</t>
    </rPh>
    <phoneticPr fontId="1"/>
  </si>
  <si>
    <t>休日名称</t>
    <rPh sb="0" eb="2">
      <t>キュウジツ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</si>
  <si>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</si>
  <si>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</si>
  <si>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</si>
  <si>
    <t>水</t>
  </si>
  <si>
    <t>木</t>
  </si>
  <si>
    <t>金</t>
  </si>
  <si>
    <t>土</t>
  </si>
  <si>
    <t>WEEKDAY値</t>
    <rPh sb="0" eb="1">
      <t>アタイ</t>
    </rPh>
    <phoneticPr fontId="1"/>
  </si>
  <si>
    <t>中休日</t>
    <phoneticPr fontId="1"/>
  </si>
  <si>
    <t>曜日
計算用</t>
    <phoneticPr fontId="1"/>
  </si>
  <si>
    <t>25当日</t>
    <rPh sb="0" eb="1">
      <t>ニチ</t>
    </rPh>
    <phoneticPr fontId="1"/>
  </si>
  <si>
    <t>25中</t>
    <rPh sb="0" eb="2">
      <t>ナカビ</t>
    </rPh>
    <phoneticPr fontId="1"/>
  </si>
  <si>
    <t>月末中</t>
    <rPh sb="0" eb="2">
      <t>ゲツマツ</t>
    </rPh>
    <phoneticPr fontId="1"/>
  </si>
  <si>
    <t>月末当日</t>
    <phoneticPr fontId="1"/>
  </si>
  <si>
    <t>土日
フラグ</t>
    <rPh sb="0" eb="2">
      <t>ドニチ</t>
    </rPh>
    <phoneticPr fontId="1"/>
  </si>
  <si>
    <t>祝日
フラグ</t>
    <phoneticPr fontId="1"/>
  </si>
  <si>
    <t>年末年始
フラグ</t>
    <rPh sb="0" eb="1">
      <t>ネンマツネンマツ</t>
    </rPh>
    <phoneticPr fontId="1"/>
  </si>
  <si>
    <t>休日
フラグ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</si>
</sst>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m&quot;月&quot;d&quot;日&quot;;@"/>
  </numFmts>
  <fonts count="8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4"/>
      <color rgb="FF333333"/>
      <name val="Inherit"/>
    </font>
    <font>
      <sz val="14"/>
      <color rgb="FF333333"/>
      <name val="Inherit"/>
    </font>
    <font>
      <sz val="12"/>
      <color rgb="FFFF0000"/>
      <name val="游ゴシック"/>
      <family val="2"/>
      <charset val="128"/>
      <scheme val="minor"/>
    </font>
    <font>
      <sz val="12"/>
      <color rgb="FF0070C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4" fillId="0" borderId="0" xfId="0" applyFont="1">
      <alignment vertical="center"/>
    </xf>
    <xf numFmtId="31" fontId="5" fillId="0" borderId="0" xfId="0" applyNumberFormat="1" applyFont="1">
      <alignment vertical="center"/>
    </xf>
    <xf numFmtId="0" fontId="5" fillId="0" borderId="0" xfId="0" applyFont="1">
      <alignment vertical="center"/>
    </xf>
    <xf numFmtId="177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14" fontId="0" fillId="0" borderId="0" xfId="0" applyNumberFormat="1" applyFill="1" applyAlignment="1">
      <alignment horizontal="center" vertical="top"/>
    </xf>
    <xf numFmtId="176" fontId="0" fillId="0" borderId="0" xfId="0" applyNumberFormat="1" applyFill="1" applyAlignment="1">
      <alignment horizontal="center" vertical="top"/>
    </xf>
    <xf numFmtId="14" fontId="0" fillId="0" borderId="0" xfId="0" applyNumberFormat="1" applyFill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</cellXfs>
  <cellStyles count="1">
    <cellStyle name="標準" xfId="0" builtinId="0"/>
  </cellStyles>
  <dxfs count="1">
    <dxf>
      <font>
        <color rgb="FF9C0006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83EA1-A967-9B4F-99C0-6A0FC3E0A1E5}">
  <sheetPr codeName="Sheet1"/>
  <dimension ref="A1:K110"/>
  <sheetViews>
    <sheetView zoomScale="140" workbookViewId="0">
      <selection activeCell="H4" sqref="H4"/>
    </sheetView>
  </sheetViews>
  <sheetFormatPr baseColWidth="10" defaultRowHeight="20"/>
  <cols>
    <col min="1" max="1" width="14.42578125" style="18" customWidth="1"/>
    <col min="2" max="2" width="5.7109375" style="19" bestFit="1" customWidth="1"/>
    <col min="3" max="4" width="4.42578125" style="20" bestFit="1" customWidth="1"/>
    <col min="5" max="5" width="11.42578125" style="21" bestFit="1" customWidth="1"/>
    <col min="6" max="6" width="5.140625" style="19" bestFit="1" customWidth="1"/>
    <col min="7" max="7" width="12" style="19" bestFit="1" customWidth="1"/>
  </cols>
  <sheetData>
    <row r="1" spans="1:7" ht="42">
      <c r="A1" s="4" t="s">
        <v>30</v>
      </c>
      <c r="B1" s="5" t="s">
        <v>25</v>
      </c>
      <c r="C1" s="6" t="s">
        <v>26</v>
      </c>
      <c r="D1" s="6" t="s">
        <v>27</v>
      </c>
      <c r="E1" s="7" t="s">
        <v>28</v>
      </c>
      <c r="F1" s="5" t="s">
        <v>29</v>
      </c>
      <c r="G1" s="5" t="s">
        <v>31</v>
      </c>
    </row>
    <row r="2" spans="1:7">
      <c r="A2" s="8">
        <v>44197</v>
      </c>
      <c r="B2" s="9">
        <v>2022</v>
      </c>
      <c r="C2" s="10">
        <f t="shared" ref="C2:C65" si="0">MONTH(A2)</f>
        <v>1</v>
      </c>
      <c r="D2" s="10">
        <f t="shared" ref="D2:D65" si="1">DAY(A2)</f>
        <v>1</v>
      </c>
      <c r="E2" s="11">
        <f>DATE(B2,C2,D2)</f>
        <v>44562</v>
      </c>
      <c r="F2" s="9" t="s">
        <v>0</v>
      </c>
      <c r="G2" s="9" t="s">
        <v>1</v>
      </c>
    </row>
    <row r="3" spans="1:7">
      <c r="A3" s="8">
        <v>44206</v>
      </c>
      <c r="B3" s="9">
        <v>2022</v>
      </c>
      <c r="C3" s="10">
        <f t="shared" si="0"/>
        <v>1</v>
      </c>
      <c r="D3" s="10">
        <f t="shared" si="1"/>
        <v>10</v>
      </c>
      <c r="E3" s="11">
        <f t="shared" ref="E3:E66" si="2">DATE(B3,C3,D3)</f>
        <v>44571</v>
      </c>
      <c r="F3" s="9" t="s">
        <v>2</v>
      </c>
      <c r="G3" s="9" t="s">
        <v>3</v>
      </c>
    </row>
    <row r="4" spans="1:7">
      <c r="A4" s="8">
        <v>44238</v>
      </c>
      <c r="B4" s="9">
        <v>2022</v>
      </c>
      <c r="C4" s="10">
        <f t="shared" si="0"/>
        <v>2</v>
      </c>
      <c r="D4" s="10">
        <f t="shared" si="1"/>
        <v>11</v>
      </c>
      <c r="E4" s="11">
        <f t="shared" si="2"/>
        <v>44603</v>
      </c>
      <c r="F4" s="9" t="s">
        <v>4</v>
      </c>
      <c r="G4" s="9" t="s">
        <v>5</v>
      </c>
    </row>
    <row r="5" spans="1:7">
      <c r="A5" s="8">
        <v>44250</v>
      </c>
      <c r="B5" s="9">
        <v>2022</v>
      </c>
      <c r="C5" s="10">
        <f>MONTH(A5)</f>
        <v>2</v>
      </c>
      <c r="D5" s="10">
        <f t="shared" si="1"/>
        <v>23</v>
      </c>
      <c r="E5" s="11">
        <f t="shared" si="2"/>
        <v>44615</v>
      </c>
      <c r="F5" s="9" t="s">
        <v>6</v>
      </c>
      <c r="G5" s="9" t="s">
        <v>7</v>
      </c>
    </row>
    <row r="6" spans="1:7">
      <c r="A6" s="8">
        <v>44276</v>
      </c>
      <c r="B6" s="9">
        <v>2022</v>
      </c>
      <c r="C6" s="10">
        <f t="shared" si="0"/>
        <v>3</v>
      </c>
      <c r="D6" s="10">
        <f t="shared" si="1"/>
        <v>21</v>
      </c>
      <c r="E6" s="11">
        <f t="shared" si="2"/>
        <v>44641</v>
      </c>
      <c r="F6" s="9" t="s">
        <v>2</v>
      </c>
      <c r="G6" s="9" t="s">
        <v>8</v>
      </c>
    </row>
    <row r="7" spans="1:7">
      <c r="A7" s="8">
        <v>44315</v>
      </c>
      <c r="B7" s="9">
        <v>2022</v>
      </c>
      <c r="C7" s="10">
        <f t="shared" si="0"/>
        <v>4</v>
      </c>
      <c r="D7" s="10">
        <f t="shared" si="1"/>
        <v>29</v>
      </c>
      <c r="E7" s="11">
        <f t="shared" si="2"/>
        <v>44680</v>
      </c>
      <c r="F7" s="9" t="s">
        <v>4</v>
      </c>
      <c r="G7" s="9" t="s">
        <v>9</v>
      </c>
    </row>
    <row r="8" spans="1:7">
      <c r="A8" s="8">
        <v>44319</v>
      </c>
      <c r="B8" s="9">
        <v>2022</v>
      </c>
      <c r="C8" s="10">
        <f t="shared" si="0"/>
        <v>5</v>
      </c>
      <c r="D8" s="10">
        <f t="shared" si="1"/>
        <v>3</v>
      </c>
      <c r="E8" s="11">
        <f t="shared" si="2"/>
        <v>44684</v>
      </c>
      <c r="F8" s="9" t="s">
        <v>10</v>
      </c>
      <c r="G8" s="9" t="s">
        <v>11</v>
      </c>
    </row>
    <row r="9" spans="1:7">
      <c r="A9" s="8">
        <v>44320</v>
      </c>
      <c r="B9" s="9">
        <v>2022</v>
      </c>
      <c r="C9" s="10">
        <f t="shared" si="0"/>
        <v>5</v>
      </c>
      <c r="D9" s="10">
        <f t="shared" si="1"/>
        <v>4</v>
      </c>
      <c r="E9" s="11">
        <f t="shared" si="2"/>
        <v>44685</v>
      </c>
      <c r="F9" s="9" t="s">
        <v>6</v>
      </c>
      <c r="G9" s="9" t="s">
        <v>12</v>
      </c>
    </row>
    <row r="10" spans="1:7">
      <c r="A10" s="8">
        <v>44321</v>
      </c>
      <c r="B10" s="9">
        <v>2022</v>
      </c>
      <c r="C10" s="10">
        <f t="shared" si="0"/>
        <v>5</v>
      </c>
      <c r="D10" s="10">
        <f t="shared" si="1"/>
        <v>5</v>
      </c>
      <c r="E10" s="11">
        <f t="shared" si="2"/>
        <v>44686</v>
      </c>
      <c r="F10" s="9" t="s">
        <v>13</v>
      </c>
      <c r="G10" s="9" t="s">
        <v>14</v>
      </c>
    </row>
    <row r="11" spans="1:7">
      <c r="A11" s="8">
        <v>44395</v>
      </c>
      <c r="B11" s="9">
        <v>2022</v>
      </c>
      <c r="C11" s="10">
        <f t="shared" si="0"/>
        <v>7</v>
      </c>
      <c r="D11" s="10">
        <f t="shared" si="1"/>
        <v>18</v>
      </c>
      <c r="E11" s="11">
        <f t="shared" si="2"/>
        <v>44760</v>
      </c>
      <c r="F11" s="9" t="s">
        <v>2</v>
      </c>
      <c r="G11" s="9" t="s">
        <v>15</v>
      </c>
    </row>
    <row r="12" spans="1:7">
      <c r="A12" s="8">
        <v>44419</v>
      </c>
      <c r="B12" s="9">
        <v>2022</v>
      </c>
      <c r="C12" s="10">
        <f t="shared" si="0"/>
        <v>8</v>
      </c>
      <c r="D12" s="10">
        <f t="shared" si="1"/>
        <v>11</v>
      </c>
      <c r="E12" s="11">
        <f t="shared" si="2"/>
        <v>44784</v>
      </c>
      <c r="F12" s="9" t="s">
        <v>13</v>
      </c>
      <c r="G12" s="9" t="s">
        <v>16</v>
      </c>
    </row>
    <row r="13" spans="1:7">
      <c r="A13" s="8">
        <v>44458</v>
      </c>
      <c r="B13" s="9">
        <v>2022</v>
      </c>
      <c r="C13" s="10">
        <f t="shared" si="0"/>
        <v>9</v>
      </c>
      <c r="D13" s="10">
        <f t="shared" si="1"/>
        <v>19</v>
      </c>
      <c r="E13" s="11">
        <f t="shared" si="2"/>
        <v>44823</v>
      </c>
      <c r="F13" s="9" t="s">
        <v>2</v>
      </c>
      <c r="G13" s="9" t="s">
        <v>17</v>
      </c>
    </row>
    <row r="14" spans="1:7">
      <c r="A14" s="8">
        <v>44462</v>
      </c>
      <c r="B14" s="9">
        <v>2022</v>
      </c>
      <c r="C14" s="10">
        <f t="shared" si="0"/>
        <v>9</v>
      </c>
      <c r="D14" s="10">
        <f t="shared" si="1"/>
        <v>23</v>
      </c>
      <c r="E14" s="11">
        <f t="shared" si="2"/>
        <v>44827</v>
      </c>
      <c r="F14" s="9" t="s">
        <v>4</v>
      </c>
      <c r="G14" s="9" t="s">
        <v>18</v>
      </c>
    </row>
    <row r="15" spans="1:7">
      <c r="A15" s="8">
        <v>44479</v>
      </c>
      <c r="B15" s="9">
        <v>2022</v>
      </c>
      <c r="C15" s="10">
        <f t="shared" si="0"/>
        <v>10</v>
      </c>
      <c r="D15" s="10">
        <f t="shared" si="1"/>
        <v>10</v>
      </c>
      <c r="E15" s="11">
        <f t="shared" si="2"/>
        <v>44844</v>
      </c>
      <c r="F15" s="9" t="s">
        <v>2</v>
      </c>
      <c r="G15" s="9" t="s">
        <v>19</v>
      </c>
    </row>
    <row r="16" spans="1:7">
      <c r="A16" s="8">
        <v>44503</v>
      </c>
      <c r="B16" s="9">
        <v>2022</v>
      </c>
      <c r="C16" s="10">
        <f t="shared" si="0"/>
        <v>11</v>
      </c>
      <c r="D16" s="10">
        <f t="shared" si="1"/>
        <v>3</v>
      </c>
      <c r="E16" s="11">
        <f t="shared" si="2"/>
        <v>44868</v>
      </c>
      <c r="F16" s="9" t="s">
        <v>13</v>
      </c>
      <c r="G16" s="9" t="s">
        <v>20</v>
      </c>
    </row>
    <row r="17" spans="1:7">
      <c r="A17" s="8">
        <v>44523</v>
      </c>
      <c r="B17" s="9">
        <v>2022</v>
      </c>
      <c r="C17" s="10">
        <f t="shared" si="0"/>
        <v>11</v>
      </c>
      <c r="D17" s="10">
        <f t="shared" si="1"/>
        <v>23</v>
      </c>
      <c r="E17" s="11">
        <f t="shared" si="2"/>
        <v>44888</v>
      </c>
      <c r="F17" s="9" t="s">
        <v>6</v>
      </c>
      <c r="G17" s="9" t="s">
        <v>21</v>
      </c>
    </row>
    <row r="18" spans="1:7">
      <c r="A18" s="12">
        <v>44197</v>
      </c>
      <c r="B18" s="9">
        <v>2023</v>
      </c>
      <c r="C18" s="10">
        <f t="shared" si="0"/>
        <v>1</v>
      </c>
      <c r="D18" s="10">
        <f t="shared" si="1"/>
        <v>1</v>
      </c>
      <c r="E18" s="11">
        <f t="shared" si="2"/>
        <v>44927</v>
      </c>
      <c r="F18" s="13" t="s">
        <v>22</v>
      </c>
      <c r="G18" s="13" t="s">
        <v>1</v>
      </c>
    </row>
    <row r="19" spans="1:7">
      <c r="A19" s="12">
        <v>44198</v>
      </c>
      <c r="B19" s="9">
        <v>2023</v>
      </c>
      <c r="C19" s="10">
        <f t="shared" si="0"/>
        <v>1</v>
      </c>
      <c r="D19" s="10">
        <f t="shared" si="1"/>
        <v>2</v>
      </c>
      <c r="E19" s="11">
        <f t="shared" si="2"/>
        <v>44928</v>
      </c>
      <c r="F19" s="13" t="s">
        <v>2</v>
      </c>
      <c r="G19" s="13" t="s">
        <v>23</v>
      </c>
    </row>
    <row r="20" spans="1:7">
      <c r="A20" s="12">
        <v>44205</v>
      </c>
      <c r="B20" s="9">
        <v>2023</v>
      </c>
      <c r="C20" s="10">
        <f t="shared" si="0"/>
        <v>1</v>
      </c>
      <c r="D20" s="10">
        <f t="shared" si="1"/>
        <v>9</v>
      </c>
      <c r="E20" s="11">
        <f t="shared" si="2"/>
        <v>44935</v>
      </c>
      <c r="F20" s="13" t="s">
        <v>2</v>
      </c>
      <c r="G20" s="13" t="s">
        <v>3</v>
      </c>
    </row>
    <row r="21" spans="1:7">
      <c r="A21" s="12">
        <v>44238</v>
      </c>
      <c r="B21" s="9">
        <v>2023</v>
      </c>
      <c r="C21" s="10">
        <f t="shared" si="0"/>
        <v>2</v>
      </c>
      <c r="D21" s="10">
        <f t="shared" si="1"/>
        <v>11</v>
      </c>
      <c r="E21" s="11">
        <f t="shared" si="2"/>
        <v>44968</v>
      </c>
      <c r="F21" s="13" t="s">
        <v>0</v>
      </c>
      <c r="G21" s="13" t="s">
        <v>5</v>
      </c>
    </row>
    <row r="22" spans="1:7">
      <c r="A22" s="12">
        <v>44250</v>
      </c>
      <c r="B22" s="9">
        <v>2023</v>
      </c>
      <c r="C22" s="10">
        <f t="shared" si="0"/>
        <v>2</v>
      </c>
      <c r="D22" s="10">
        <f t="shared" si="1"/>
        <v>23</v>
      </c>
      <c r="E22" s="11">
        <f t="shared" si="2"/>
        <v>44980</v>
      </c>
      <c r="F22" s="13" t="s">
        <v>13</v>
      </c>
      <c r="G22" s="13" t="s">
        <v>7</v>
      </c>
    </row>
    <row r="23" spans="1:7">
      <c r="A23" s="12">
        <v>44276</v>
      </c>
      <c r="B23" s="9">
        <v>2023</v>
      </c>
      <c r="C23" s="10">
        <f t="shared" si="0"/>
        <v>3</v>
      </c>
      <c r="D23" s="10">
        <f t="shared" si="1"/>
        <v>21</v>
      </c>
      <c r="E23" s="11">
        <f t="shared" si="2"/>
        <v>45006</v>
      </c>
      <c r="F23" s="13" t="s">
        <v>10</v>
      </c>
      <c r="G23" s="13" t="s">
        <v>8</v>
      </c>
    </row>
    <row r="24" spans="1:7">
      <c r="A24" s="12">
        <v>44315</v>
      </c>
      <c r="B24" s="9">
        <v>2023</v>
      </c>
      <c r="C24" s="10">
        <f t="shared" si="0"/>
        <v>4</v>
      </c>
      <c r="D24" s="10">
        <f t="shared" si="1"/>
        <v>29</v>
      </c>
      <c r="E24" s="11">
        <f t="shared" si="2"/>
        <v>45045</v>
      </c>
      <c r="F24" s="13" t="s">
        <v>0</v>
      </c>
      <c r="G24" s="13" t="s">
        <v>9</v>
      </c>
    </row>
    <row r="25" spans="1:7">
      <c r="A25" s="12">
        <v>44319</v>
      </c>
      <c r="B25" s="9">
        <v>2023</v>
      </c>
      <c r="C25" s="10">
        <f t="shared" si="0"/>
        <v>5</v>
      </c>
      <c r="D25" s="10">
        <f t="shared" si="1"/>
        <v>3</v>
      </c>
      <c r="E25" s="11">
        <f t="shared" si="2"/>
        <v>45049</v>
      </c>
      <c r="F25" s="13" t="s">
        <v>6</v>
      </c>
      <c r="G25" s="13" t="s">
        <v>11</v>
      </c>
    </row>
    <row r="26" spans="1:7">
      <c r="A26" s="12">
        <v>44320</v>
      </c>
      <c r="B26" s="9">
        <v>2023</v>
      </c>
      <c r="C26" s="10">
        <f t="shared" si="0"/>
        <v>5</v>
      </c>
      <c r="D26" s="10">
        <f t="shared" si="1"/>
        <v>4</v>
      </c>
      <c r="E26" s="11">
        <f t="shared" si="2"/>
        <v>45050</v>
      </c>
      <c r="F26" s="13" t="s">
        <v>13</v>
      </c>
      <c r="G26" s="13" t="s">
        <v>12</v>
      </c>
    </row>
    <row r="27" spans="1:7">
      <c r="A27" s="12">
        <v>44321</v>
      </c>
      <c r="B27" s="9">
        <v>2023</v>
      </c>
      <c r="C27" s="10">
        <f t="shared" si="0"/>
        <v>5</v>
      </c>
      <c r="D27" s="10">
        <f t="shared" si="1"/>
        <v>5</v>
      </c>
      <c r="E27" s="11">
        <f t="shared" si="2"/>
        <v>45051</v>
      </c>
      <c r="F27" s="13" t="s">
        <v>4</v>
      </c>
      <c r="G27" s="13" t="s">
        <v>14</v>
      </c>
    </row>
    <row r="28" spans="1:7">
      <c r="A28" s="12">
        <v>44394</v>
      </c>
      <c r="B28" s="9">
        <v>2023</v>
      </c>
      <c r="C28" s="10">
        <f t="shared" si="0"/>
        <v>7</v>
      </c>
      <c r="D28" s="10">
        <f t="shared" si="1"/>
        <v>17</v>
      </c>
      <c r="E28" s="11">
        <f t="shared" si="2"/>
        <v>45124</v>
      </c>
      <c r="F28" s="13" t="s">
        <v>2</v>
      </c>
      <c r="G28" s="13" t="s">
        <v>15</v>
      </c>
    </row>
    <row r="29" spans="1:7">
      <c r="A29" s="12">
        <v>44419</v>
      </c>
      <c r="B29" s="9">
        <v>2023</v>
      </c>
      <c r="C29" s="10">
        <f t="shared" si="0"/>
        <v>8</v>
      </c>
      <c r="D29" s="10">
        <f t="shared" si="1"/>
        <v>11</v>
      </c>
      <c r="E29" s="11">
        <f t="shared" si="2"/>
        <v>45149</v>
      </c>
      <c r="F29" s="13" t="s">
        <v>4</v>
      </c>
      <c r="G29" s="13" t="s">
        <v>16</v>
      </c>
    </row>
    <row r="30" spans="1:7">
      <c r="A30" s="12">
        <v>44457</v>
      </c>
      <c r="B30" s="9">
        <v>2023</v>
      </c>
      <c r="C30" s="10">
        <f t="shared" si="0"/>
        <v>9</v>
      </c>
      <c r="D30" s="10">
        <f t="shared" si="1"/>
        <v>18</v>
      </c>
      <c r="E30" s="11">
        <f t="shared" si="2"/>
        <v>45187</v>
      </c>
      <c r="F30" s="13" t="s">
        <v>2</v>
      </c>
      <c r="G30" s="13" t="s">
        <v>17</v>
      </c>
    </row>
    <row r="31" spans="1:7">
      <c r="A31" s="12">
        <v>44462</v>
      </c>
      <c r="B31" s="9">
        <v>2023</v>
      </c>
      <c r="C31" s="10">
        <f t="shared" si="0"/>
        <v>9</v>
      </c>
      <c r="D31" s="10">
        <f t="shared" si="1"/>
        <v>23</v>
      </c>
      <c r="E31" s="11">
        <f t="shared" si="2"/>
        <v>45192</v>
      </c>
      <c r="F31" s="13" t="s">
        <v>0</v>
      </c>
      <c r="G31" s="13" t="s">
        <v>18</v>
      </c>
    </row>
    <row r="32" spans="1:7">
      <c r="A32" s="12">
        <v>44478</v>
      </c>
      <c r="B32" s="9">
        <v>2023</v>
      </c>
      <c r="C32" s="10">
        <f t="shared" si="0"/>
        <v>10</v>
      </c>
      <c r="D32" s="10">
        <f t="shared" si="1"/>
        <v>9</v>
      </c>
      <c r="E32" s="11">
        <f t="shared" si="2"/>
        <v>45208</v>
      </c>
      <c r="F32" s="13" t="s">
        <v>2</v>
      </c>
      <c r="G32" s="13" t="s">
        <v>19</v>
      </c>
    </row>
    <row r="33" spans="1:11">
      <c r="A33" s="12">
        <v>44503</v>
      </c>
      <c r="B33" s="9">
        <v>2023</v>
      </c>
      <c r="C33" s="10">
        <f t="shared" si="0"/>
        <v>11</v>
      </c>
      <c r="D33" s="10">
        <f t="shared" si="1"/>
        <v>3</v>
      </c>
      <c r="E33" s="11">
        <f t="shared" si="2"/>
        <v>45233</v>
      </c>
      <c r="F33" s="13" t="s">
        <v>4</v>
      </c>
      <c r="G33" s="13" t="s">
        <v>20</v>
      </c>
    </row>
    <row r="34" spans="1:11">
      <c r="A34" s="12">
        <v>44523</v>
      </c>
      <c r="B34" s="9">
        <v>2023</v>
      </c>
      <c r="C34" s="10">
        <f t="shared" si="0"/>
        <v>11</v>
      </c>
      <c r="D34" s="10">
        <f t="shared" si="1"/>
        <v>23</v>
      </c>
      <c r="E34" s="11">
        <f t="shared" si="2"/>
        <v>45253</v>
      </c>
      <c r="F34" s="13" t="s">
        <v>13</v>
      </c>
      <c r="G34" s="13" t="s">
        <v>21</v>
      </c>
    </row>
    <row r="35" spans="1:11">
      <c r="A35" s="12">
        <v>44197</v>
      </c>
      <c r="B35" s="9">
        <v>2024</v>
      </c>
      <c r="C35" s="10">
        <f t="shared" si="0"/>
        <v>1</v>
      </c>
      <c r="D35" s="10">
        <f t="shared" si="1"/>
        <v>1</v>
      </c>
      <c r="E35" s="11">
        <f t="shared" si="2"/>
        <v>45292</v>
      </c>
      <c r="F35" s="13" t="s">
        <v>2</v>
      </c>
      <c r="G35" s="13" t="s">
        <v>1</v>
      </c>
      <c r="H35" s="1"/>
      <c r="I35" s="2"/>
      <c r="J35" s="3"/>
      <c r="K35" s="3"/>
    </row>
    <row r="36" spans="1:11">
      <c r="A36" s="12">
        <v>44204</v>
      </c>
      <c r="B36" s="9">
        <v>2024</v>
      </c>
      <c r="C36" s="10">
        <f t="shared" si="0"/>
        <v>1</v>
      </c>
      <c r="D36" s="10">
        <f t="shared" si="1"/>
        <v>8</v>
      </c>
      <c r="E36" s="11">
        <f t="shared" si="2"/>
        <v>45299</v>
      </c>
      <c r="F36" s="13" t="s">
        <v>2</v>
      </c>
      <c r="G36" s="13" t="s">
        <v>3</v>
      </c>
      <c r="H36" s="1"/>
      <c r="I36" s="2"/>
      <c r="J36" s="3"/>
      <c r="K36" s="3"/>
    </row>
    <row r="37" spans="1:11">
      <c r="A37" s="12">
        <v>44238</v>
      </c>
      <c r="B37" s="9">
        <v>2024</v>
      </c>
      <c r="C37" s="10">
        <f t="shared" si="0"/>
        <v>2</v>
      </c>
      <c r="D37" s="10">
        <f t="shared" si="1"/>
        <v>11</v>
      </c>
      <c r="E37" s="11">
        <f t="shared" si="2"/>
        <v>45333</v>
      </c>
      <c r="F37" s="13" t="s">
        <v>22</v>
      </c>
      <c r="G37" s="13" t="s">
        <v>5</v>
      </c>
      <c r="H37" s="1"/>
      <c r="I37" s="2"/>
      <c r="J37" s="3"/>
      <c r="K37" s="3"/>
    </row>
    <row r="38" spans="1:11">
      <c r="A38" s="12">
        <v>44239</v>
      </c>
      <c r="B38" s="9">
        <v>2024</v>
      </c>
      <c r="C38" s="10">
        <f t="shared" si="0"/>
        <v>2</v>
      </c>
      <c r="D38" s="10">
        <f t="shared" si="1"/>
        <v>12</v>
      </c>
      <c r="E38" s="11">
        <f t="shared" si="2"/>
        <v>45334</v>
      </c>
      <c r="F38" s="13" t="s">
        <v>2</v>
      </c>
      <c r="G38" s="13" t="s">
        <v>23</v>
      </c>
      <c r="H38" s="1"/>
      <c r="I38" s="2"/>
      <c r="J38" s="3"/>
      <c r="K38" s="3"/>
    </row>
    <row r="39" spans="1:11">
      <c r="A39" s="12">
        <v>44250</v>
      </c>
      <c r="B39" s="9">
        <v>2024</v>
      </c>
      <c r="C39" s="10">
        <f t="shared" si="0"/>
        <v>2</v>
      </c>
      <c r="D39" s="10">
        <f t="shared" si="1"/>
        <v>23</v>
      </c>
      <c r="E39" s="11">
        <f t="shared" si="2"/>
        <v>45345</v>
      </c>
      <c r="F39" s="13" t="s">
        <v>4</v>
      </c>
      <c r="G39" s="13" t="s">
        <v>7</v>
      </c>
      <c r="H39" s="1"/>
      <c r="I39" s="2"/>
      <c r="J39" s="3"/>
      <c r="K39" s="3"/>
    </row>
    <row r="40" spans="1:11">
      <c r="A40" s="12">
        <v>44275</v>
      </c>
      <c r="B40" s="9">
        <v>2024</v>
      </c>
      <c r="C40" s="10">
        <f t="shared" si="0"/>
        <v>3</v>
      </c>
      <c r="D40" s="10">
        <f t="shared" si="1"/>
        <v>20</v>
      </c>
      <c r="E40" s="11">
        <f t="shared" si="2"/>
        <v>45371</v>
      </c>
      <c r="F40" s="13" t="s">
        <v>6</v>
      </c>
      <c r="G40" s="13" t="s">
        <v>8</v>
      </c>
      <c r="H40" s="1"/>
      <c r="I40" s="2"/>
      <c r="J40" s="3"/>
      <c r="K40" s="3"/>
    </row>
    <row r="41" spans="1:11">
      <c r="A41" s="12">
        <v>44315</v>
      </c>
      <c r="B41" s="9">
        <v>2024</v>
      </c>
      <c r="C41" s="10">
        <f t="shared" si="0"/>
        <v>4</v>
      </c>
      <c r="D41" s="10">
        <f t="shared" si="1"/>
        <v>29</v>
      </c>
      <c r="E41" s="11">
        <f t="shared" si="2"/>
        <v>45411</v>
      </c>
      <c r="F41" s="13" t="s">
        <v>2</v>
      </c>
      <c r="G41" s="13" t="s">
        <v>9</v>
      </c>
      <c r="H41" s="1"/>
      <c r="I41" s="2"/>
      <c r="J41" s="3"/>
      <c r="K41" s="3"/>
    </row>
    <row r="42" spans="1:11">
      <c r="A42" s="12">
        <v>44319</v>
      </c>
      <c r="B42" s="9">
        <v>2024</v>
      </c>
      <c r="C42" s="10">
        <f t="shared" si="0"/>
        <v>5</v>
      </c>
      <c r="D42" s="10">
        <f t="shared" si="1"/>
        <v>3</v>
      </c>
      <c r="E42" s="11">
        <f t="shared" si="2"/>
        <v>45415</v>
      </c>
      <c r="F42" s="13" t="s">
        <v>4</v>
      </c>
      <c r="G42" s="13" t="s">
        <v>11</v>
      </c>
      <c r="H42" s="1"/>
      <c r="I42" s="2"/>
      <c r="J42" s="3"/>
      <c r="K42" s="3"/>
    </row>
    <row r="43" spans="1:11">
      <c r="A43" s="12">
        <v>44320</v>
      </c>
      <c r="B43" s="9">
        <v>2024</v>
      </c>
      <c r="C43" s="10">
        <f t="shared" si="0"/>
        <v>5</v>
      </c>
      <c r="D43" s="10">
        <f t="shared" si="1"/>
        <v>4</v>
      </c>
      <c r="E43" s="11">
        <f t="shared" si="2"/>
        <v>45416</v>
      </c>
      <c r="F43" s="13" t="s">
        <v>0</v>
      </c>
      <c r="G43" s="13" t="s">
        <v>12</v>
      </c>
      <c r="H43" s="1"/>
      <c r="I43" s="2"/>
      <c r="J43" s="3"/>
      <c r="K43" s="3"/>
    </row>
    <row r="44" spans="1:11">
      <c r="A44" s="12">
        <v>44321</v>
      </c>
      <c r="B44" s="9">
        <v>2024</v>
      </c>
      <c r="C44" s="10">
        <f t="shared" si="0"/>
        <v>5</v>
      </c>
      <c r="D44" s="10">
        <f t="shared" si="1"/>
        <v>5</v>
      </c>
      <c r="E44" s="11">
        <f t="shared" si="2"/>
        <v>45417</v>
      </c>
      <c r="F44" s="13" t="s">
        <v>22</v>
      </c>
      <c r="G44" s="13" t="s">
        <v>14</v>
      </c>
      <c r="H44" s="1"/>
      <c r="I44" s="2"/>
      <c r="J44" s="3"/>
      <c r="K44" s="3"/>
    </row>
    <row r="45" spans="1:11">
      <c r="A45" s="12">
        <v>44322</v>
      </c>
      <c r="B45" s="9">
        <v>2024</v>
      </c>
      <c r="C45" s="10">
        <f t="shared" si="0"/>
        <v>5</v>
      </c>
      <c r="D45" s="10">
        <f t="shared" si="1"/>
        <v>6</v>
      </c>
      <c r="E45" s="11">
        <f t="shared" si="2"/>
        <v>45418</v>
      </c>
      <c r="F45" s="13" t="s">
        <v>2</v>
      </c>
      <c r="G45" s="13" t="s">
        <v>23</v>
      </c>
      <c r="H45" s="1"/>
      <c r="I45" s="2"/>
      <c r="J45" s="3"/>
      <c r="K45" s="3"/>
    </row>
    <row r="46" spans="1:11">
      <c r="A46" s="12">
        <v>44392</v>
      </c>
      <c r="B46" s="9">
        <v>2024</v>
      </c>
      <c r="C46" s="10">
        <f t="shared" si="0"/>
        <v>7</v>
      </c>
      <c r="D46" s="10">
        <f t="shared" si="1"/>
        <v>15</v>
      </c>
      <c r="E46" s="11">
        <f t="shared" si="2"/>
        <v>45488</v>
      </c>
      <c r="F46" s="13" t="s">
        <v>2</v>
      </c>
      <c r="G46" s="13" t="s">
        <v>15</v>
      </c>
      <c r="H46" s="1"/>
      <c r="I46" s="2"/>
      <c r="J46" s="3"/>
      <c r="K46" s="3"/>
    </row>
    <row r="47" spans="1:11">
      <c r="A47" s="12">
        <v>44419</v>
      </c>
      <c r="B47" s="9">
        <v>2024</v>
      </c>
      <c r="C47" s="10">
        <f t="shared" si="0"/>
        <v>8</v>
      </c>
      <c r="D47" s="10">
        <f t="shared" si="1"/>
        <v>11</v>
      </c>
      <c r="E47" s="11">
        <f t="shared" si="2"/>
        <v>45515</v>
      </c>
      <c r="F47" s="13" t="s">
        <v>22</v>
      </c>
      <c r="G47" s="13" t="s">
        <v>16</v>
      </c>
      <c r="H47" s="1"/>
      <c r="I47" s="2"/>
      <c r="J47" s="3"/>
      <c r="K47" s="3"/>
    </row>
    <row r="48" spans="1:11">
      <c r="A48" s="12">
        <v>44420</v>
      </c>
      <c r="B48" s="9">
        <v>2024</v>
      </c>
      <c r="C48" s="10">
        <f t="shared" si="0"/>
        <v>8</v>
      </c>
      <c r="D48" s="10">
        <f t="shared" si="1"/>
        <v>12</v>
      </c>
      <c r="E48" s="11">
        <f t="shared" si="2"/>
        <v>45516</v>
      </c>
      <c r="F48" s="13" t="s">
        <v>2</v>
      </c>
      <c r="G48" s="13" t="s">
        <v>23</v>
      </c>
      <c r="H48" s="1"/>
      <c r="I48" s="2"/>
      <c r="J48" s="3"/>
      <c r="K48" s="3"/>
    </row>
    <row r="49" spans="1:11">
      <c r="A49" s="12">
        <v>44455</v>
      </c>
      <c r="B49" s="9">
        <v>2024</v>
      </c>
      <c r="C49" s="10">
        <f t="shared" si="0"/>
        <v>9</v>
      </c>
      <c r="D49" s="10">
        <f t="shared" si="1"/>
        <v>16</v>
      </c>
      <c r="E49" s="11">
        <f t="shared" si="2"/>
        <v>45551</v>
      </c>
      <c r="F49" s="13" t="s">
        <v>2</v>
      </c>
      <c r="G49" s="13" t="s">
        <v>17</v>
      </c>
      <c r="H49" s="1"/>
      <c r="I49" s="2"/>
      <c r="J49" s="3"/>
      <c r="K49" s="3"/>
    </row>
    <row r="50" spans="1:11">
      <c r="A50" s="12">
        <v>44461</v>
      </c>
      <c r="B50" s="9">
        <v>2024</v>
      </c>
      <c r="C50" s="10">
        <f t="shared" si="0"/>
        <v>9</v>
      </c>
      <c r="D50" s="10">
        <f t="shared" si="1"/>
        <v>22</v>
      </c>
      <c r="E50" s="11">
        <f t="shared" si="2"/>
        <v>45557</v>
      </c>
      <c r="F50" s="13" t="s">
        <v>22</v>
      </c>
      <c r="G50" s="13" t="s">
        <v>18</v>
      </c>
      <c r="H50" s="1"/>
      <c r="I50" s="2"/>
      <c r="J50" s="3"/>
      <c r="K50" s="3"/>
    </row>
    <row r="51" spans="1:11">
      <c r="A51" s="12">
        <v>44462</v>
      </c>
      <c r="B51" s="9">
        <v>2024</v>
      </c>
      <c r="C51" s="10">
        <f t="shared" si="0"/>
        <v>9</v>
      </c>
      <c r="D51" s="10">
        <f t="shared" si="1"/>
        <v>23</v>
      </c>
      <c r="E51" s="11">
        <f t="shared" si="2"/>
        <v>45558</v>
      </c>
      <c r="F51" s="13" t="s">
        <v>2</v>
      </c>
      <c r="G51" s="13" t="s">
        <v>23</v>
      </c>
      <c r="H51" s="1"/>
      <c r="I51" s="2"/>
      <c r="J51" s="3"/>
      <c r="K51" s="3"/>
    </row>
    <row r="52" spans="1:11">
      <c r="A52" s="12">
        <v>44483</v>
      </c>
      <c r="B52" s="9">
        <v>2024</v>
      </c>
      <c r="C52" s="10">
        <f t="shared" si="0"/>
        <v>10</v>
      </c>
      <c r="D52" s="10">
        <f t="shared" si="1"/>
        <v>14</v>
      </c>
      <c r="E52" s="11">
        <f t="shared" si="2"/>
        <v>45579</v>
      </c>
      <c r="F52" s="13" t="s">
        <v>2</v>
      </c>
      <c r="G52" s="13" t="s">
        <v>19</v>
      </c>
      <c r="H52" s="1"/>
      <c r="I52" s="2"/>
      <c r="J52" s="3"/>
      <c r="K52" s="3"/>
    </row>
    <row r="53" spans="1:11">
      <c r="A53" s="12">
        <v>44503</v>
      </c>
      <c r="B53" s="9">
        <v>2024</v>
      </c>
      <c r="C53" s="10">
        <f t="shared" si="0"/>
        <v>11</v>
      </c>
      <c r="D53" s="10">
        <f t="shared" si="1"/>
        <v>3</v>
      </c>
      <c r="E53" s="11">
        <f t="shared" si="2"/>
        <v>45599</v>
      </c>
      <c r="F53" s="13" t="s">
        <v>22</v>
      </c>
      <c r="G53" s="13" t="s">
        <v>20</v>
      </c>
      <c r="H53" s="1"/>
      <c r="I53" s="2"/>
      <c r="J53" s="3"/>
      <c r="K53" s="3"/>
    </row>
    <row r="54" spans="1:11">
      <c r="A54" s="12">
        <v>44504</v>
      </c>
      <c r="B54" s="9">
        <v>2024</v>
      </c>
      <c r="C54" s="10">
        <f t="shared" si="0"/>
        <v>11</v>
      </c>
      <c r="D54" s="10">
        <f t="shared" si="1"/>
        <v>4</v>
      </c>
      <c r="E54" s="11">
        <f t="shared" si="2"/>
        <v>45600</v>
      </c>
      <c r="F54" s="13" t="s">
        <v>2</v>
      </c>
      <c r="G54" s="13" t="s">
        <v>23</v>
      </c>
      <c r="H54" s="1"/>
      <c r="I54" s="2"/>
      <c r="J54" s="3"/>
      <c r="K54" s="3"/>
    </row>
    <row r="55" spans="1:11">
      <c r="A55" s="12">
        <v>44523</v>
      </c>
      <c r="B55" s="9">
        <v>2024</v>
      </c>
      <c r="C55" s="10">
        <f t="shared" si="0"/>
        <v>11</v>
      </c>
      <c r="D55" s="10">
        <f t="shared" si="1"/>
        <v>23</v>
      </c>
      <c r="E55" s="11">
        <f t="shared" si="2"/>
        <v>45619</v>
      </c>
      <c r="F55" s="13" t="s">
        <v>0</v>
      </c>
      <c r="G55" s="13" t="s">
        <v>21</v>
      </c>
      <c r="H55" s="1"/>
      <c r="I55" s="2"/>
      <c r="J55" s="3"/>
      <c r="K55" s="3"/>
    </row>
    <row r="56" spans="1:11">
      <c r="A56" s="12">
        <v>44197</v>
      </c>
      <c r="B56" s="9">
        <v>2025</v>
      </c>
      <c r="C56" s="10">
        <f t="shared" si="0"/>
        <v>1</v>
      </c>
      <c r="D56" s="10">
        <f t="shared" si="1"/>
        <v>1</v>
      </c>
      <c r="E56" s="11">
        <f t="shared" si="2"/>
        <v>45658</v>
      </c>
      <c r="F56" s="13" t="s">
        <v>6</v>
      </c>
      <c r="G56" s="13" t="s">
        <v>1</v>
      </c>
    </row>
    <row r="57" spans="1:11">
      <c r="A57" s="12">
        <v>44209</v>
      </c>
      <c r="B57" s="9">
        <v>2025</v>
      </c>
      <c r="C57" s="10">
        <f t="shared" si="0"/>
        <v>1</v>
      </c>
      <c r="D57" s="10">
        <f t="shared" si="1"/>
        <v>13</v>
      </c>
      <c r="E57" s="11">
        <f t="shared" si="2"/>
        <v>45670</v>
      </c>
      <c r="F57" s="13" t="s">
        <v>2</v>
      </c>
      <c r="G57" s="13" t="s">
        <v>3</v>
      </c>
    </row>
    <row r="58" spans="1:11">
      <c r="A58" s="12">
        <v>44238</v>
      </c>
      <c r="B58" s="9">
        <v>2025</v>
      </c>
      <c r="C58" s="10">
        <f t="shared" si="0"/>
        <v>2</v>
      </c>
      <c r="D58" s="10">
        <f t="shared" si="1"/>
        <v>11</v>
      </c>
      <c r="E58" s="11">
        <f t="shared" si="2"/>
        <v>45699</v>
      </c>
      <c r="F58" s="13" t="s">
        <v>10</v>
      </c>
      <c r="G58" s="13" t="s">
        <v>5</v>
      </c>
    </row>
    <row r="59" spans="1:11">
      <c r="A59" s="12">
        <v>44250</v>
      </c>
      <c r="B59" s="9">
        <v>2025</v>
      </c>
      <c r="C59" s="10">
        <f t="shared" si="0"/>
        <v>2</v>
      </c>
      <c r="D59" s="10">
        <f t="shared" si="1"/>
        <v>23</v>
      </c>
      <c r="E59" s="11">
        <f t="shared" si="2"/>
        <v>45711</v>
      </c>
      <c r="F59" s="13" t="s">
        <v>22</v>
      </c>
      <c r="G59" s="13" t="s">
        <v>7</v>
      </c>
    </row>
    <row r="60" spans="1:11">
      <c r="A60" s="12">
        <v>44251</v>
      </c>
      <c r="B60" s="9">
        <v>2025</v>
      </c>
      <c r="C60" s="10">
        <f t="shared" si="0"/>
        <v>2</v>
      </c>
      <c r="D60" s="10">
        <f t="shared" si="1"/>
        <v>24</v>
      </c>
      <c r="E60" s="11">
        <f t="shared" si="2"/>
        <v>45712</v>
      </c>
      <c r="F60" s="13" t="s">
        <v>2</v>
      </c>
      <c r="G60" s="13" t="s">
        <v>23</v>
      </c>
    </row>
    <row r="61" spans="1:11">
      <c r="A61" s="12">
        <v>44275</v>
      </c>
      <c r="B61" s="9">
        <v>2025</v>
      </c>
      <c r="C61" s="10">
        <f t="shared" si="0"/>
        <v>3</v>
      </c>
      <c r="D61" s="10">
        <f t="shared" si="1"/>
        <v>20</v>
      </c>
      <c r="E61" s="11">
        <f t="shared" si="2"/>
        <v>45736</v>
      </c>
      <c r="F61" s="13" t="s">
        <v>13</v>
      </c>
      <c r="G61" s="13" t="s">
        <v>8</v>
      </c>
    </row>
    <row r="62" spans="1:11">
      <c r="A62" s="12">
        <v>44315</v>
      </c>
      <c r="B62" s="9">
        <v>2025</v>
      </c>
      <c r="C62" s="10">
        <f t="shared" si="0"/>
        <v>4</v>
      </c>
      <c r="D62" s="10">
        <f t="shared" si="1"/>
        <v>29</v>
      </c>
      <c r="E62" s="11">
        <f t="shared" si="2"/>
        <v>45776</v>
      </c>
      <c r="F62" s="13" t="s">
        <v>10</v>
      </c>
      <c r="G62" s="13" t="s">
        <v>9</v>
      </c>
    </row>
    <row r="63" spans="1:11">
      <c r="A63" s="12">
        <v>44319</v>
      </c>
      <c r="B63" s="9">
        <v>2025</v>
      </c>
      <c r="C63" s="10">
        <f t="shared" si="0"/>
        <v>5</v>
      </c>
      <c r="D63" s="10">
        <f t="shared" si="1"/>
        <v>3</v>
      </c>
      <c r="E63" s="11">
        <f t="shared" si="2"/>
        <v>45780</v>
      </c>
      <c r="F63" s="13" t="s">
        <v>0</v>
      </c>
      <c r="G63" s="13" t="s">
        <v>11</v>
      </c>
    </row>
    <row r="64" spans="1:11">
      <c r="A64" s="12">
        <v>44320</v>
      </c>
      <c r="B64" s="9">
        <v>2025</v>
      </c>
      <c r="C64" s="10">
        <f t="shared" si="0"/>
        <v>5</v>
      </c>
      <c r="D64" s="10">
        <f t="shared" si="1"/>
        <v>4</v>
      </c>
      <c r="E64" s="11">
        <f t="shared" si="2"/>
        <v>45781</v>
      </c>
      <c r="F64" s="13" t="s">
        <v>22</v>
      </c>
      <c r="G64" s="13" t="s">
        <v>12</v>
      </c>
    </row>
    <row r="65" spans="1:7">
      <c r="A65" s="12">
        <v>44321</v>
      </c>
      <c r="B65" s="9">
        <v>2025</v>
      </c>
      <c r="C65" s="10">
        <f t="shared" si="0"/>
        <v>5</v>
      </c>
      <c r="D65" s="10">
        <f t="shared" si="1"/>
        <v>5</v>
      </c>
      <c r="E65" s="11">
        <f t="shared" si="2"/>
        <v>45782</v>
      </c>
      <c r="F65" s="13" t="s">
        <v>2</v>
      </c>
      <c r="G65" s="13" t="s">
        <v>14</v>
      </c>
    </row>
    <row r="66" spans="1:7">
      <c r="A66" s="12">
        <v>44322</v>
      </c>
      <c r="B66" s="9">
        <v>2025</v>
      </c>
      <c r="C66" s="10">
        <f t="shared" ref="C66:C107" si="3">MONTH(A66)</f>
        <v>5</v>
      </c>
      <c r="D66" s="10">
        <f t="shared" ref="D66:D107" si="4">DAY(A66)</f>
        <v>6</v>
      </c>
      <c r="E66" s="11">
        <f t="shared" si="2"/>
        <v>45783</v>
      </c>
      <c r="F66" s="13" t="s">
        <v>10</v>
      </c>
      <c r="G66" s="13" t="s">
        <v>23</v>
      </c>
    </row>
    <row r="67" spans="1:7">
      <c r="A67" s="12">
        <v>44398</v>
      </c>
      <c r="B67" s="9">
        <v>2025</v>
      </c>
      <c r="C67" s="10">
        <f t="shared" si="3"/>
        <v>7</v>
      </c>
      <c r="D67" s="10">
        <f t="shared" si="4"/>
        <v>21</v>
      </c>
      <c r="E67" s="11">
        <f t="shared" ref="E67:E107" si="5">DATE(B67,C67,D67)</f>
        <v>45859</v>
      </c>
      <c r="F67" s="13" t="s">
        <v>2</v>
      </c>
      <c r="G67" s="13" t="s">
        <v>15</v>
      </c>
    </row>
    <row r="68" spans="1:7">
      <c r="A68" s="12">
        <v>44419</v>
      </c>
      <c r="B68" s="9">
        <v>2025</v>
      </c>
      <c r="C68" s="10">
        <f t="shared" si="3"/>
        <v>8</v>
      </c>
      <c r="D68" s="10">
        <f t="shared" si="4"/>
        <v>11</v>
      </c>
      <c r="E68" s="11">
        <f t="shared" si="5"/>
        <v>45880</v>
      </c>
      <c r="F68" s="13" t="s">
        <v>2</v>
      </c>
      <c r="G68" s="13" t="s">
        <v>16</v>
      </c>
    </row>
    <row r="69" spans="1:7">
      <c r="A69" s="12">
        <v>44454</v>
      </c>
      <c r="B69" s="9">
        <v>2025</v>
      </c>
      <c r="C69" s="10">
        <f t="shared" si="3"/>
        <v>9</v>
      </c>
      <c r="D69" s="10">
        <f t="shared" si="4"/>
        <v>15</v>
      </c>
      <c r="E69" s="11">
        <f t="shared" si="5"/>
        <v>45915</v>
      </c>
      <c r="F69" s="13" t="s">
        <v>2</v>
      </c>
      <c r="G69" s="13" t="s">
        <v>17</v>
      </c>
    </row>
    <row r="70" spans="1:7">
      <c r="A70" s="12">
        <v>44462</v>
      </c>
      <c r="B70" s="9">
        <v>2025</v>
      </c>
      <c r="C70" s="10">
        <f t="shared" si="3"/>
        <v>9</v>
      </c>
      <c r="D70" s="10">
        <f t="shared" si="4"/>
        <v>23</v>
      </c>
      <c r="E70" s="11">
        <f t="shared" si="5"/>
        <v>45923</v>
      </c>
      <c r="F70" s="13" t="s">
        <v>10</v>
      </c>
      <c r="G70" s="13" t="s">
        <v>18</v>
      </c>
    </row>
    <row r="71" spans="1:7">
      <c r="A71" s="12">
        <v>44482</v>
      </c>
      <c r="B71" s="9">
        <v>2025</v>
      </c>
      <c r="C71" s="10">
        <f t="shared" si="3"/>
        <v>10</v>
      </c>
      <c r="D71" s="10">
        <f t="shared" si="4"/>
        <v>13</v>
      </c>
      <c r="E71" s="11">
        <f t="shared" si="5"/>
        <v>45943</v>
      </c>
      <c r="F71" s="13" t="s">
        <v>2</v>
      </c>
      <c r="G71" s="13" t="s">
        <v>19</v>
      </c>
    </row>
    <row r="72" spans="1:7">
      <c r="A72" s="12">
        <v>44503</v>
      </c>
      <c r="B72" s="9">
        <v>2025</v>
      </c>
      <c r="C72" s="10">
        <f t="shared" si="3"/>
        <v>11</v>
      </c>
      <c r="D72" s="10">
        <f t="shared" si="4"/>
        <v>3</v>
      </c>
      <c r="E72" s="11">
        <f t="shared" si="5"/>
        <v>45964</v>
      </c>
      <c r="F72" s="13" t="s">
        <v>2</v>
      </c>
      <c r="G72" s="13" t="s">
        <v>20</v>
      </c>
    </row>
    <row r="73" spans="1:7">
      <c r="A73" s="12">
        <v>44523</v>
      </c>
      <c r="B73" s="9">
        <v>2025</v>
      </c>
      <c r="C73" s="10">
        <f t="shared" si="3"/>
        <v>11</v>
      </c>
      <c r="D73" s="10">
        <f t="shared" si="4"/>
        <v>23</v>
      </c>
      <c r="E73" s="11">
        <f t="shared" si="5"/>
        <v>45984</v>
      </c>
      <c r="F73" s="13" t="s">
        <v>22</v>
      </c>
      <c r="G73" s="13" t="s">
        <v>21</v>
      </c>
    </row>
    <row r="74" spans="1:7">
      <c r="A74" s="12">
        <v>44524</v>
      </c>
      <c r="B74" s="9">
        <v>2025</v>
      </c>
      <c r="C74" s="10">
        <f t="shared" si="3"/>
        <v>11</v>
      </c>
      <c r="D74" s="10">
        <f t="shared" si="4"/>
        <v>24</v>
      </c>
      <c r="E74" s="11">
        <f t="shared" si="5"/>
        <v>45985</v>
      </c>
      <c r="F74" s="13" t="s">
        <v>2</v>
      </c>
      <c r="G74" s="13" t="s">
        <v>23</v>
      </c>
    </row>
    <row r="75" spans="1:7">
      <c r="A75" s="12">
        <v>44197</v>
      </c>
      <c r="B75" s="9">
        <v>2026</v>
      </c>
      <c r="C75" s="10">
        <f t="shared" si="3"/>
        <v>1</v>
      </c>
      <c r="D75" s="10">
        <f t="shared" si="4"/>
        <v>1</v>
      </c>
      <c r="E75" s="11">
        <f t="shared" si="5"/>
        <v>46023</v>
      </c>
      <c r="F75" s="13" t="s">
        <v>13</v>
      </c>
      <c r="G75" s="13" t="s">
        <v>1</v>
      </c>
    </row>
    <row r="76" spans="1:7">
      <c r="A76" s="12">
        <v>44208</v>
      </c>
      <c r="B76" s="9">
        <v>2026</v>
      </c>
      <c r="C76" s="10">
        <f t="shared" si="3"/>
        <v>1</v>
      </c>
      <c r="D76" s="10">
        <f t="shared" si="4"/>
        <v>12</v>
      </c>
      <c r="E76" s="11">
        <f t="shared" si="5"/>
        <v>46034</v>
      </c>
      <c r="F76" s="13" t="s">
        <v>2</v>
      </c>
      <c r="G76" s="13" t="s">
        <v>3</v>
      </c>
    </row>
    <row r="77" spans="1:7">
      <c r="A77" s="12">
        <v>44238</v>
      </c>
      <c r="B77" s="9">
        <v>2026</v>
      </c>
      <c r="C77" s="10">
        <f t="shared" si="3"/>
        <v>2</v>
      </c>
      <c r="D77" s="10">
        <f t="shared" si="4"/>
        <v>11</v>
      </c>
      <c r="E77" s="11">
        <f t="shared" si="5"/>
        <v>46064</v>
      </c>
      <c r="F77" s="13" t="s">
        <v>6</v>
      </c>
      <c r="G77" s="13" t="s">
        <v>5</v>
      </c>
    </row>
    <row r="78" spans="1:7">
      <c r="A78" s="12">
        <v>44250</v>
      </c>
      <c r="B78" s="9">
        <v>2026</v>
      </c>
      <c r="C78" s="10">
        <f t="shared" si="3"/>
        <v>2</v>
      </c>
      <c r="D78" s="10">
        <f t="shared" si="4"/>
        <v>23</v>
      </c>
      <c r="E78" s="11">
        <f t="shared" si="5"/>
        <v>46076</v>
      </c>
      <c r="F78" s="13" t="s">
        <v>2</v>
      </c>
      <c r="G78" s="13" t="s">
        <v>7</v>
      </c>
    </row>
    <row r="79" spans="1:7">
      <c r="A79" s="12">
        <v>44275</v>
      </c>
      <c r="B79" s="9">
        <v>2026</v>
      </c>
      <c r="C79" s="10">
        <f t="shared" si="3"/>
        <v>3</v>
      </c>
      <c r="D79" s="10">
        <f t="shared" si="4"/>
        <v>20</v>
      </c>
      <c r="E79" s="11">
        <f t="shared" si="5"/>
        <v>46101</v>
      </c>
      <c r="F79" s="13" t="s">
        <v>4</v>
      </c>
      <c r="G79" s="13" t="s">
        <v>8</v>
      </c>
    </row>
    <row r="80" spans="1:7">
      <c r="A80" s="12">
        <v>44315</v>
      </c>
      <c r="B80" s="9">
        <v>2026</v>
      </c>
      <c r="C80" s="10">
        <f t="shared" si="3"/>
        <v>4</v>
      </c>
      <c r="D80" s="10">
        <f t="shared" si="4"/>
        <v>29</v>
      </c>
      <c r="E80" s="11">
        <f t="shared" si="5"/>
        <v>46141</v>
      </c>
      <c r="F80" s="13" t="s">
        <v>6</v>
      </c>
      <c r="G80" s="13" t="s">
        <v>9</v>
      </c>
    </row>
    <row r="81" spans="1:7">
      <c r="A81" s="12">
        <v>44319</v>
      </c>
      <c r="B81" s="9">
        <v>2026</v>
      </c>
      <c r="C81" s="10">
        <f t="shared" si="3"/>
        <v>5</v>
      </c>
      <c r="D81" s="10">
        <f t="shared" si="4"/>
        <v>3</v>
      </c>
      <c r="E81" s="11">
        <f t="shared" si="5"/>
        <v>46145</v>
      </c>
      <c r="F81" s="13" t="s">
        <v>22</v>
      </c>
      <c r="G81" s="13" t="s">
        <v>11</v>
      </c>
    </row>
    <row r="82" spans="1:7">
      <c r="A82" s="12">
        <v>44320</v>
      </c>
      <c r="B82" s="9">
        <v>2026</v>
      </c>
      <c r="C82" s="10">
        <f t="shared" si="3"/>
        <v>5</v>
      </c>
      <c r="D82" s="10">
        <f t="shared" si="4"/>
        <v>4</v>
      </c>
      <c r="E82" s="11">
        <f t="shared" si="5"/>
        <v>46146</v>
      </c>
      <c r="F82" s="13" t="s">
        <v>2</v>
      </c>
      <c r="G82" s="13" t="s">
        <v>12</v>
      </c>
    </row>
    <row r="83" spans="1:7">
      <c r="A83" s="12">
        <v>44321</v>
      </c>
      <c r="B83" s="9">
        <v>2026</v>
      </c>
      <c r="C83" s="10">
        <f t="shared" si="3"/>
        <v>5</v>
      </c>
      <c r="D83" s="10">
        <f t="shared" si="4"/>
        <v>5</v>
      </c>
      <c r="E83" s="11">
        <f t="shared" si="5"/>
        <v>46147</v>
      </c>
      <c r="F83" s="13" t="s">
        <v>10</v>
      </c>
      <c r="G83" s="13" t="s">
        <v>14</v>
      </c>
    </row>
    <row r="84" spans="1:7">
      <c r="A84" s="12">
        <v>44322</v>
      </c>
      <c r="B84" s="9">
        <v>2026</v>
      </c>
      <c r="C84" s="10">
        <f t="shared" si="3"/>
        <v>5</v>
      </c>
      <c r="D84" s="10">
        <f t="shared" si="4"/>
        <v>6</v>
      </c>
      <c r="E84" s="11">
        <f t="shared" si="5"/>
        <v>46148</v>
      </c>
      <c r="F84" s="13" t="s">
        <v>6</v>
      </c>
      <c r="G84" s="13" t="s">
        <v>23</v>
      </c>
    </row>
    <row r="85" spans="1:7">
      <c r="A85" s="12">
        <v>44397</v>
      </c>
      <c r="B85" s="9">
        <v>2026</v>
      </c>
      <c r="C85" s="10">
        <f t="shared" si="3"/>
        <v>7</v>
      </c>
      <c r="D85" s="10">
        <f t="shared" si="4"/>
        <v>20</v>
      </c>
      <c r="E85" s="11">
        <f t="shared" si="5"/>
        <v>46223</v>
      </c>
      <c r="F85" s="13" t="s">
        <v>2</v>
      </c>
      <c r="G85" s="13" t="s">
        <v>15</v>
      </c>
    </row>
    <row r="86" spans="1:7">
      <c r="A86" s="12">
        <v>44419</v>
      </c>
      <c r="B86" s="9">
        <v>2026</v>
      </c>
      <c r="C86" s="10">
        <f t="shared" si="3"/>
        <v>8</v>
      </c>
      <c r="D86" s="10">
        <f t="shared" si="4"/>
        <v>11</v>
      </c>
      <c r="E86" s="11">
        <f t="shared" si="5"/>
        <v>46245</v>
      </c>
      <c r="F86" s="13" t="s">
        <v>10</v>
      </c>
      <c r="G86" s="13" t="s">
        <v>16</v>
      </c>
    </row>
    <row r="87" spans="1:7">
      <c r="A87" s="12">
        <v>44460</v>
      </c>
      <c r="B87" s="9">
        <v>2026</v>
      </c>
      <c r="C87" s="10">
        <f t="shared" si="3"/>
        <v>9</v>
      </c>
      <c r="D87" s="10">
        <f t="shared" si="4"/>
        <v>21</v>
      </c>
      <c r="E87" s="11">
        <f t="shared" si="5"/>
        <v>46286</v>
      </c>
      <c r="F87" s="13" t="s">
        <v>2</v>
      </c>
      <c r="G87" s="13" t="s">
        <v>17</v>
      </c>
    </row>
    <row r="88" spans="1:7">
      <c r="A88" s="12">
        <v>44461</v>
      </c>
      <c r="B88" s="9">
        <v>2026</v>
      </c>
      <c r="C88" s="10">
        <f t="shared" si="3"/>
        <v>9</v>
      </c>
      <c r="D88" s="10">
        <f t="shared" si="4"/>
        <v>22</v>
      </c>
      <c r="E88" s="11">
        <f t="shared" si="5"/>
        <v>46287</v>
      </c>
      <c r="F88" s="13" t="s">
        <v>10</v>
      </c>
      <c r="G88" s="13" t="s">
        <v>24</v>
      </c>
    </row>
    <row r="89" spans="1:7">
      <c r="A89" s="12">
        <v>44462</v>
      </c>
      <c r="B89" s="9">
        <v>2026</v>
      </c>
      <c r="C89" s="10">
        <f t="shared" si="3"/>
        <v>9</v>
      </c>
      <c r="D89" s="10">
        <f t="shared" si="4"/>
        <v>23</v>
      </c>
      <c r="E89" s="11">
        <f t="shared" si="5"/>
        <v>46288</v>
      </c>
      <c r="F89" s="13" t="s">
        <v>6</v>
      </c>
      <c r="G89" s="13" t="s">
        <v>18</v>
      </c>
    </row>
    <row r="90" spans="1:7">
      <c r="A90" s="12">
        <v>44481</v>
      </c>
      <c r="B90" s="9">
        <v>2026</v>
      </c>
      <c r="C90" s="10">
        <f t="shared" si="3"/>
        <v>10</v>
      </c>
      <c r="D90" s="10">
        <f t="shared" si="4"/>
        <v>12</v>
      </c>
      <c r="E90" s="11">
        <f t="shared" si="5"/>
        <v>46307</v>
      </c>
      <c r="F90" s="13" t="s">
        <v>2</v>
      </c>
      <c r="G90" s="13" t="s">
        <v>19</v>
      </c>
    </row>
    <row r="91" spans="1:7">
      <c r="A91" s="12">
        <v>44503</v>
      </c>
      <c r="B91" s="9">
        <v>2026</v>
      </c>
      <c r="C91" s="10">
        <f t="shared" si="3"/>
        <v>11</v>
      </c>
      <c r="D91" s="10">
        <f t="shared" si="4"/>
        <v>3</v>
      </c>
      <c r="E91" s="11">
        <f t="shared" si="5"/>
        <v>46329</v>
      </c>
      <c r="F91" s="13" t="s">
        <v>10</v>
      </c>
      <c r="G91" s="13" t="s">
        <v>20</v>
      </c>
    </row>
    <row r="92" spans="1:7">
      <c r="A92" s="12">
        <v>44523</v>
      </c>
      <c r="B92" s="9">
        <v>2026</v>
      </c>
      <c r="C92" s="10">
        <f t="shared" si="3"/>
        <v>11</v>
      </c>
      <c r="D92" s="10">
        <f t="shared" si="4"/>
        <v>23</v>
      </c>
      <c r="E92" s="11">
        <f t="shared" si="5"/>
        <v>46349</v>
      </c>
      <c r="F92" s="13" t="s">
        <v>2</v>
      </c>
      <c r="G92" s="13" t="s">
        <v>21</v>
      </c>
    </row>
    <row r="93" spans="1:7">
      <c r="A93" s="12">
        <v>44197</v>
      </c>
      <c r="B93" s="9">
        <v>2027</v>
      </c>
      <c r="C93" s="10">
        <f t="shared" si="3"/>
        <v>1</v>
      </c>
      <c r="D93" s="10">
        <f t="shared" si="4"/>
        <v>1</v>
      </c>
      <c r="E93" s="11">
        <f t="shared" si="5"/>
        <v>46388</v>
      </c>
      <c r="F93" s="13" t="s">
        <v>4</v>
      </c>
      <c r="G93" s="13" t="s">
        <v>1</v>
      </c>
    </row>
    <row r="94" spans="1:7">
      <c r="A94" s="12">
        <v>44207</v>
      </c>
      <c r="B94" s="9">
        <v>2027</v>
      </c>
      <c r="C94" s="10">
        <f t="shared" si="3"/>
        <v>1</v>
      </c>
      <c r="D94" s="10">
        <f t="shared" si="4"/>
        <v>11</v>
      </c>
      <c r="E94" s="11">
        <f t="shared" si="5"/>
        <v>46398</v>
      </c>
      <c r="F94" s="13" t="s">
        <v>2</v>
      </c>
      <c r="G94" s="13" t="s">
        <v>3</v>
      </c>
    </row>
    <row r="95" spans="1:7">
      <c r="A95" s="12">
        <v>44238</v>
      </c>
      <c r="B95" s="9">
        <v>2027</v>
      </c>
      <c r="C95" s="10">
        <f t="shared" si="3"/>
        <v>2</v>
      </c>
      <c r="D95" s="10">
        <f t="shared" si="4"/>
        <v>11</v>
      </c>
      <c r="E95" s="11">
        <f t="shared" si="5"/>
        <v>46429</v>
      </c>
      <c r="F95" s="13" t="s">
        <v>13</v>
      </c>
      <c r="G95" s="13" t="s">
        <v>5</v>
      </c>
    </row>
    <row r="96" spans="1:7">
      <c r="A96" s="12">
        <v>44250</v>
      </c>
      <c r="B96" s="9">
        <v>2027</v>
      </c>
      <c r="C96" s="10">
        <f t="shared" si="3"/>
        <v>2</v>
      </c>
      <c r="D96" s="10">
        <f t="shared" si="4"/>
        <v>23</v>
      </c>
      <c r="E96" s="11">
        <f t="shared" si="5"/>
        <v>46441</v>
      </c>
      <c r="F96" s="13" t="s">
        <v>10</v>
      </c>
      <c r="G96" s="13" t="s">
        <v>7</v>
      </c>
    </row>
    <row r="97" spans="1:7">
      <c r="A97" s="12">
        <v>44276</v>
      </c>
      <c r="B97" s="9">
        <v>2027</v>
      </c>
      <c r="C97" s="10">
        <f t="shared" si="3"/>
        <v>3</v>
      </c>
      <c r="D97" s="10">
        <f t="shared" si="4"/>
        <v>21</v>
      </c>
      <c r="E97" s="11">
        <f t="shared" si="5"/>
        <v>46467</v>
      </c>
      <c r="F97" s="13" t="s">
        <v>22</v>
      </c>
      <c r="G97" s="13" t="s">
        <v>8</v>
      </c>
    </row>
    <row r="98" spans="1:7">
      <c r="A98" s="12">
        <v>44277</v>
      </c>
      <c r="B98" s="9">
        <v>2027</v>
      </c>
      <c r="C98" s="10">
        <f t="shared" si="3"/>
        <v>3</v>
      </c>
      <c r="D98" s="10">
        <f t="shared" si="4"/>
        <v>22</v>
      </c>
      <c r="E98" s="11">
        <f t="shared" si="5"/>
        <v>46468</v>
      </c>
      <c r="F98" s="13" t="s">
        <v>2</v>
      </c>
      <c r="G98" s="13" t="s">
        <v>23</v>
      </c>
    </row>
    <row r="99" spans="1:7">
      <c r="A99" s="12">
        <v>44315</v>
      </c>
      <c r="B99" s="9">
        <v>2027</v>
      </c>
      <c r="C99" s="10">
        <f t="shared" si="3"/>
        <v>4</v>
      </c>
      <c r="D99" s="10">
        <f t="shared" si="4"/>
        <v>29</v>
      </c>
      <c r="E99" s="11">
        <f t="shared" si="5"/>
        <v>46506</v>
      </c>
      <c r="F99" s="13" t="s">
        <v>13</v>
      </c>
      <c r="G99" s="13" t="s">
        <v>9</v>
      </c>
    </row>
    <row r="100" spans="1:7">
      <c r="A100" s="12">
        <v>44319</v>
      </c>
      <c r="B100" s="9">
        <v>2027</v>
      </c>
      <c r="C100" s="10">
        <f t="shared" si="3"/>
        <v>5</v>
      </c>
      <c r="D100" s="10">
        <f t="shared" si="4"/>
        <v>3</v>
      </c>
      <c r="E100" s="11">
        <f t="shared" si="5"/>
        <v>46510</v>
      </c>
      <c r="F100" s="13" t="s">
        <v>2</v>
      </c>
      <c r="G100" s="13" t="s">
        <v>11</v>
      </c>
    </row>
    <row r="101" spans="1:7">
      <c r="A101" s="12">
        <v>44320</v>
      </c>
      <c r="B101" s="9">
        <v>2027</v>
      </c>
      <c r="C101" s="10">
        <f t="shared" si="3"/>
        <v>5</v>
      </c>
      <c r="D101" s="10">
        <f t="shared" si="4"/>
        <v>4</v>
      </c>
      <c r="E101" s="11">
        <f t="shared" si="5"/>
        <v>46511</v>
      </c>
      <c r="F101" s="13" t="s">
        <v>10</v>
      </c>
      <c r="G101" s="13" t="s">
        <v>12</v>
      </c>
    </row>
    <row r="102" spans="1:7">
      <c r="A102" s="12">
        <v>44321</v>
      </c>
      <c r="B102" s="9">
        <v>2027</v>
      </c>
      <c r="C102" s="10">
        <f t="shared" si="3"/>
        <v>5</v>
      </c>
      <c r="D102" s="10">
        <f t="shared" si="4"/>
        <v>5</v>
      </c>
      <c r="E102" s="11">
        <f t="shared" si="5"/>
        <v>46512</v>
      </c>
      <c r="F102" s="13" t="s">
        <v>6</v>
      </c>
      <c r="G102" s="13" t="s">
        <v>14</v>
      </c>
    </row>
    <row r="103" spans="1:7">
      <c r="A103" s="12">
        <v>44396</v>
      </c>
      <c r="B103" s="9">
        <v>2027</v>
      </c>
      <c r="C103" s="10">
        <f t="shared" si="3"/>
        <v>7</v>
      </c>
      <c r="D103" s="10">
        <f t="shared" si="4"/>
        <v>19</v>
      </c>
      <c r="E103" s="11">
        <f t="shared" si="5"/>
        <v>46587</v>
      </c>
      <c r="F103" s="13" t="s">
        <v>2</v>
      </c>
      <c r="G103" s="13" t="s">
        <v>15</v>
      </c>
    </row>
    <row r="104" spans="1:7">
      <c r="A104" s="12">
        <v>44419</v>
      </c>
      <c r="B104" s="9">
        <v>2027</v>
      </c>
      <c r="C104" s="10">
        <f t="shared" si="3"/>
        <v>8</v>
      </c>
      <c r="D104" s="10">
        <f t="shared" si="4"/>
        <v>11</v>
      </c>
      <c r="E104" s="11">
        <f t="shared" si="5"/>
        <v>46610</v>
      </c>
      <c r="F104" s="13" t="s">
        <v>6</v>
      </c>
      <c r="G104" s="13" t="s">
        <v>16</v>
      </c>
    </row>
    <row r="105" spans="1:7">
      <c r="A105" s="12">
        <v>44459</v>
      </c>
      <c r="B105" s="9">
        <v>2027</v>
      </c>
      <c r="C105" s="10">
        <f t="shared" si="3"/>
        <v>9</v>
      </c>
      <c r="D105" s="10">
        <f t="shared" si="4"/>
        <v>20</v>
      </c>
      <c r="E105" s="11">
        <f t="shared" si="5"/>
        <v>46650</v>
      </c>
      <c r="F105" s="13" t="s">
        <v>2</v>
      </c>
      <c r="G105" s="13" t="s">
        <v>17</v>
      </c>
    </row>
    <row r="106" spans="1:7">
      <c r="A106" s="12">
        <v>44462</v>
      </c>
      <c r="B106" s="9">
        <v>2027</v>
      </c>
      <c r="C106" s="10">
        <f t="shared" si="3"/>
        <v>9</v>
      </c>
      <c r="D106" s="10">
        <f t="shared" si="4"/>
        <v>23</v>
      </c>
      <c r="E106" s="11">
        <f t="shared" si="5"/>
        <v>46653</v>
      </c>
      <c r="F106" s="13" t="s">
        <v>13</v>
      </c>
      <c r="G106" s="13" t="s">
        <v>18</v>
      </c>
    </row>
    <row r="107" spans="1:7">
      <c r="A107" s="12">
        <v>44480</v>
      </c>
      <c r="B107" s="9">
        <v>2027</v>
      </c>
      <c r="C107" s="10">
        <f t="shared" si="3"/>
        <v>10</v>
      </c>
      <c r="D107" s="10">
        <f t="shared" si="4"/>
        <v>11</v>
      </c>
      <c r="E107" s="11">
        <f t="shared" si="5"/>
        <v>46671</v>
      </c>
      <c r="F107" s="13" t="s">
        <v>2</v>
      </c>
      <c r="G107" s="13" t="s">
        <v>19</v>
      </c>
    </row>
    <row r="108" spans="1:7">
      <c r="A108" s="14"/>
      <c r="B108" s="15"/>
      <c r="C108" s="16"/>
      <c r="D108" s="16"/>
      <c r="E108" s="17"/>
      <c r="F108" s="15"/>
      <c r="G108" s="15"/>
    </row>
    <row r="109" spans="1:7">
      <c r="A109" s="14"/>
      <c r="B109" s="15"/>
      <c r="C109" s="16"/>
      <c r="D109" s="16"/>
      <c r="E109" s="17"/>
      <c r="F109" s="15"/>
      <c r="G109" s="15"/>
    </row>
    <row r="110" spans="1:7">
      <c r="A110" s="14"/>
      <c r="B110" s="15"/>
      <c r="C110" s="16"/>
      <c r="D110" s="16"/>
      <c r="E110" s="17"/>
      <c r="F110" s="15"/>
      <c r="G110" s="15"/>
    </row>
  </sheetData>
  <autoFilter ref="G1:G110" xr:uid="{D03F7332-66B5-8D4A-8CD6-A20BA578ED5D}"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0EAA8-2C22-EA47-9C92-BF0A3827D397}">
  <sheetPr codeName="Sheet2"/>
  <dimension ref="A1:E8"/>
  <sheetViews>
    <sheetView workbookViewId="0">
      <selection activeCell="J9" sqref="J9"/>
    </sheetView>
  </sheetViews>
  <sheetFormatPr baseColWidth="10" defaultRowHeight="20"/>
  <cols>
    <col min="1" max="1" width="11.85546875" bestFit="1" customWidth="1"/>
    <col min="2" max="2" width="5.140625" bestFit="1" customWidth="1"/>
    <col min="3" max="4" width="3.7109375" bestFit="1" customWidth="1"/>
  </cols>
  <sheetData>
    <row r="1" spans="1:5">
      <c r="A1" t="s">
        <v>39</v>
      </c>
      <c r="B1" t="s">
        <v>29</v>
      </c>
      <c r="C1" t="s">
        <v>26</v>
      </c>
      <c r="D1" t="s">
        <v>27</v>
      </c>
    </row>
    <row r="2" spans="1:5">
      <c r="A2">
        <v>1</v>
      </c>
      <c r="B2" t="s">
        <v>32</v>
      </c>
      <c r="C2">
        <v>12</v>
      </c>
      <c r="D2">
        <v>30</v>
      </c>
      <c r="E2" t="str">
        <f>C2&amp;"/"&amp;D2</f>
        <v>12/30</v>
      </c>
    </row>
    <row r="3" spans="1:5">
      <c r="A3">
        <v>2</v>
      </c>
      <c r="B3" t="s">
        <v>33</v>
      </c>
      <c r="C3">
        <v>12</v>
      </c>
      <c r="D3">
        <v>31</v>
      </c>
      <c r="E3" t="str">
        <f t="shared" ref="E3:E6" si="0">C3&amp;"/"&amp;D3</f>
        <v>12/31</v>
      </c>
    </row>
    <row r="4" spans="1:5">
      <c r="A4">
        <v>3</v>
      </c>
      <c r="B4" t="s">
        <v>34</v>
      </c>
      <c r="C4">
        <v>1</v>
      </c>
      <c r="D4">
        <v>1</v>
      </c>
      <c r="E4" t="str">
        <f t="shared" si="0"/>
        <v>1/1</v>
      </c>
    </row>
    <row r="5" spans="1:5">
      <c r="A5">
        <v>4</v>
      </c>
      <c r="B5" t="s">
        <v>35</v>
      </c>
      <c r="C5">
        <v>1</v>
      </c>
      <c r="D5">
        <v>2</v>
      </c>
      <c r="E5" t="str">
        <f t="shared" si="0"/>
        <v>1/2</v>
      </c>
    </row>
    <row r="6" spans="1:5">
      <c r="A6">
        <v>5</v>
      </c>
      <c r="B6" t="s">
        <v>36</v>
      </c>
      <c r="C6">
        <v>1</v>
      </c>
      <c r="D6">
        <v>3</v>
      </c>
      <c r="E6" t="str">
        <f t="shared" si="0"/>
        <v>1/3</v>
      </c>
    </row>
    <row r="7" spans="1:5">
      <c r="A7">
        <v>6</v>
      </c>
      <c r="B7" t="s">
        <v>37</v>
      </c>
    </row>
    <row r="8" spans="1:5">
      <c r="A8">
        <v>7</v>
      </c>
      <c r="B8" t="s">
        <v>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F068-9D76-834B-AD31-BB666BA4070E}">
  <sheetPr codeName="Sheet3"/>
  <dimension ref="A1:N2131"/>
  <sheetViews>
    <sheetView tabSelected="1" zoomScale="90" workbookViewId="0">
      <selection activeCell="J2" sqref="J2"/>
    </sheetView>
  </sheetViews>
  <sheetFormatPr baseColWidth="10" defaultRowHeight="20"/>
  <cols>
    <col min="1" max="1" width="11.42578125" style="29" bestFit="1" customWidth="1"/>
    <col min="2" max="3" width="8.28515625" style="30" bestFit="1" customWidth="1"/>
    <col min="4" max="4" width="11.5703125" style="26" customWidth="1"/>
    <col min="5" max="5" width="9.85546875" style="26" bestFit="1" customWidth="1"/>
    <col min="6" max="7" width="11.5703125" style="26" bestFit="1" customWidth="1"/>
    <col min="8" max="8" width="13.28515625" style="26" bestFit="1" customWidth="1"/>
    <col min="9" max="9" width="11.5703125" style="26" bestFit="1" customWidth="1"/>
    <col min="10" max="10" width="11.5703125" style="26" customWidth="1"/>
    <col min="11" max="11" width="10.140625" style="26" bestFit="1" customWidth="1"/>
    <col min="12" max="12" width="11.85546875" style="26" bestFit="1" customWidth="1"/>
    <col min="13" max="13" width="11.5703125" bestFit="1" customWidth="1"/>
    <col min="14" max="14" width="13.28515625" bestFit="1" customWidth="1"/>
  </cols>
  <sheetData>
    <row r="1" spans="1:14" s="22" customFormat="1" ht="42">
      <c r="A1" s="27" t="s">
        <v>28</v>
      </c>
      <c r="B1" s="28" t="s">
        <v>26</v>
      </c>
      <c r="C1" s="28" t="s">
        <v>27</v>
      </c>
      <c r="D1" s="25" t="s">
        <v>41</v>
      </c>
      <c r="E1" s="24" t="s">
        <v>29</v>
      </c>
      <c r="F1" s="25" t="s">
        <v>46</v>
      </c>
      <c r="G1" s="25" t="s">
        <v>47</v>
      </c>
      <c r="H1" s="25" t="s">
        <v>48</v>
      </c>
      <c r="I1" s="25" t="s">
        <v>49</v>
      </c>
      <c r="J1" s="24" t="s">
        <v>40</v>
      </c>
      <c r="K1" s="24" t="s">
        <v>43</v>
      </c>
      <c r="L1" s="24" t="s">
        <v>42</v>
      </c>
      <c r="M1" s="22" t="s">
        <v>44</v>
      </c>
      <c r="N1" s="22" t="s">
        <v>45</v>
      </c>
    </row>
    <row r="2" spans="1:14">
      <c r="A2" s="29">
        <v>44562</v>
      </c>
      <c r="B2" s="30">
        <f t="shared" ref="B2:B65" si="0">MONTH(A2)</f>
        <v>1</v>
      </c>
      <c r="C2" s="30">
        <f>DAY(A2)</f>
        <v>1</v>
      </c>
      <c r="D2" s="26">
        <f>MATCH(WEEKDAY(A2),そのた定義!A:A,0)</f>
        <v>8</v>
      </c>
      <c r="E2" s="33" t="str">
        <f ca="1">INDIRECT("そのた定義!"&amp;"B"&amp;D2)</f>
        <v>土</v>
      </c>
      <c r="F2" s="26">
        <f>IF(OR(D2=8,D2=2),1,0)</f>
        <v>1</v>
      </c>
      <c r="G2" s="26">
        <f>IF(ISNA(MATCH(A2,祝日定義!E:E,0)),0,1)</f>
        <v>1</v>
      </c>
      <c r="H2" s="26">
        <f>IF(ISNA(MATCH(B2&amp;"/"&amp;C2,そのた定義!E:E,0)), 0, 1)</f>
        <v>1</v>
      </c>
      <c r="I2" s="23" t="b">
        <f>SUM(F2:H2)&gt;0</f>
        <v>1</v>
      </c>
      <c r="J2" s="26">
        <v>0</v>
      </c>
      <c r="K2" s="26" t="b">
        <f t="shared" ref="K2:K65" si="1">AND(C2&gt;25,DAY(A2-J2)&lt;=25)</f>
        <v>0</v>
      </c>
      <c r="L2" s="26" t="b">
        <f t="shared" ref="L2:L33" si="2">C2=25</f>
        <v>0</v>
      </c>
      <c r="M2" t="b">
        <f>B2&lt;&gt;MONTH(A2-J2)</f>
        <v>0</v>
      </c>
      <c r="N2" t="b">
        <f>B2&lt;&gt;MONTH(A2+1)</f>
        <v>0</v>
      </c>
    </row>
    <row r="3" spans="1:14">
      <c r="A3" s="29">
        <v>44563</v>
      </c>
      <c r="B3" s="30">
        <f t="shared" si="0"/>
        <v>1</v>
      </c>
      <c r="C3" s="30">
        <f t="shared" ref="C3:C66" si="3">DAY(A3)</f>
        <v>2</v>
      </c>
      <c r="D3" s="26">
        <f>MATCH(WEEKDAY(A3),そのた定義!A:A,0)</f>
        <v>2</v>
      </c>
      <c r="E3" s="32" t="str">
        <f ca="1">INDIRECT("そのた定義!"&amp;"B"&amp;D3)</f>
        <v>日</v>
      </c>
      <c r="F3" s="26">
        <f t="shared" ref="F3:F66" si="4">IF(OR(D3=8,D3=2),1,0)</f>
        <v>1</v>
      </c>
      <c r="G3" s="26">
        <f>IF(ISNA(MATCH(A3,祝日定義!E:E,0)),0,1)</f>
        <v>0</v>
      </c>
      <c r="H3" s="26">
        <f>IF(ISNA(MATCH(B3&amp;"/"&amp;C3,そのた定義!E:E,0)), 0, 1)</f>
        <v>1</v>
      </c>
      <c r="I3" s="23" t="b">
        <f>SUM(F3:H3)&gt;0</f>
        <v>1</v>
      </c>
      <c r="J3" s="26">
        <v>0</v>
      </c>
      <c r="K3" s="26" t="b">
        <f t="shared" si="1"/>
        <v>0</v>
      </c>
      <c r="L3" s="26" t="b">
        <f t="shared" si="2"/>
        <v>0</v>
      </c>
      <c r="M3" t="b">
        <f t="shared" ref="M3:M66" si="5">B3&lt;&gt;MONTH(A3-J3)</f>
        <v>0</v>
      </c>
      <c r="N3" t="b">
        <f t="shared" ref="N3:N66" si="6">B3&lt;&gt;MONTH(A3+1)</f>
        <v>0</v>
      </c>
    </row>
    <row r="4" spans="1:14">
      <c r="A4" s="29">
        <v>44564</v>
      </c>
      <c r="B4" s="30">
        <f t="shared" si="0"/>
        <v>1</v>
      </c>
      <c r="C4" s="30">
        <f t="shared" si="3"/>
        <v>3</v>
      </c>
      <c r="D4" s="26">
        <f>MATCH(WEEKDAY(A4),そのた定義!A:A,0)</f>
        <v>3</v>
      </c>
      <c r="E4" s="31" t="str">
        <f ca="1">INDIRECT("そのた定義!"&amp;"B"&amp;D4)</f>
        <v>月</v>
      </c>
      <c r="F4" s="26">
        <f t="shared" si="4"/>
        <v>0</v>
      </c>
      <c r="G4" s="26">
        <f>IF(ISNA(MATCH(A4,祝日定義!E:E,0)),0,1)</f>
        <v>0</v>
      </c>
      <c r="H4" s="26">
        <f>IF(ISNA(MATCH(B4&amp;"/"&amp;C4,そのた定義!E:E,0)), 0, 1)</f>
        <v>1</v>
      </c>
      <c r="I4" s="23" t="b">
        <f>SUM(F4:H4)&gt;0</f>
        <v>1</v>
      </c>
      <c r="J4" s="26">
        <v>0</v>
      </c>
      <c r="K4" s="26" t="b">
        <f t="shared" si="1"/>
        <v>0</v>
      </c>
      <c r="L4" s="26" t="b">
        <f t="shared" si="2"/>
        <v>0</v>
      </c>
      <c r="M4" t="b">
        <f t="shared" si="5"/>
        <v>0</v>
      </c>
      <c r="N4" t="b">
        <f t="shared" si="6"/>
        <v>0</v>
      </c>
    </row>
    <row r="5" spans="1:14">
      <c r="A5" s="29">
        <v>44565</v>
      </c>
      <c r="B5" s="30">
        <f t="shared" si="0"/>
        <v>1</v>
      </c>
      <c r="C5" s="30">
        <f t="shared" si="3"/>
        <v>4</v>
      </c>
      <c r="D5" s="26">
        <f>MATCH(WEEKDAY(A5),そのた定義!A:A,0)</f>
        <v>4</v>
      </c>
      <c r="E5" s="26" t="str">
        <f ca="1">INDIRECT("そのた定義!"&amp;"B"&amp;D5)</f>
        <v>火</v>
      </c>
      <c r="F5" s="26">
        <f t="shared" si="4"/>
        <v>0</v>
      </c>
      <c r="G5" s="26">
        <f>IF(ISNA(MATCH(A5,祝日定義!E:E,0)),0,1)</f>
        <v>0</v>
      </c>
      <c r="H5" s="26">
        <f>IF(ISNA(MATCH(B5&amp;"/"&amp;C5,そのた定義!E:E,0)), 0, 1)</f>
        <v>0</v>
      </c>
      <c r="I5" s="26" t="b">
        <f>SUM(F5:H5)&gt;0</f>
        <v>0</v>
      </c>
      <c r="J5" s="26">
        <v>3</v>
      </c>
      <c r="K5" s="26" t="b">
        <f t="shared" si="1"/>
        <v>0</v>
      </c>
      <c r="L5" s="26" t="b">
        <f t="shared" si="2"/>
        <v>0</v>
      </c>
      <c r="M5" t="b">
        <f t="shared" si="5"/>
        <v>0</v>
      </c>
      <c r="N5" t="b">
        <f t="shared" si="6"/>
        <v>0</v>
      </c>
    </row>
    <row r="6" spans="1:14">
      <c r="A6" s="29">
        <v>44566</v>
      </c>
      <c r="B6" s="30">
        <f t="shared" si="0"/>
        <v>1</v>
      </c>
      <c r="C6" s="30">
        <f t="shared" si="3"/>
        <v>5</v>
      </c>
      <c r="D6" s="26">
        <f>MATCH(WEEKDAY(A6),そのた定義!A:A,0)</f>
        <v>5</v>
      </c>
      <c r="E6" s="26" t="str">
        <f t="shared" ref="E6:E66" ca="1" si="7">INDIRECT("そのた定義!"&amp;"B"&amp;D6)</f>
        <v>水</v>
      </c>
      <c r="F6" s="26">
        <f t="shared" si="4"/>
        <v>0</v>
      </c>
      <c r="G6" s="26">
        <f>IF(ISNA(MATCH(A6,祝日定義!E:E,0)),0,1)</f>
        <v>0</v>
      </c>
      <c r="H6" s="26">
        <f>IF(ISNA(MATCH(B6&amp;"/"&amp;C6,そのた定義!E:E,0)), 0, 1)</f>
        <v>0</v>
      </c>
      <c r="I6" s="26" t="b">
        <f>SUM(F6:H6)&gt;0</f>
        <v>0</v>
      </c>
      <c r="J6" s="26">
        <v>0</v>
      </c>
      <c r="K6" s="26" t="b">
        <f t="shared" si="1"/>
        <v>0</v>
      </c>
      <c r="L6" s="26" t="b">
        <f t="shared" si="2"/>
        <v>0</v>
      </c>
      <c r="M6" t="b">
        <f t="shared" si="5"/>
        <v>0</v>
      </c>
      <c r="N6" t="b">
        <f t="shared" si="6"/>
        <v>0</v>
      </c>
    </row>
    <row r="7" spans="1:14">
      <c r="A7" s="29">
        <v>44567</v>
      </c>
      <c r="B7" s="30">
        <f t="shared" si="0"/>
        <v>1</v>
      </c>
      <c r="C7" s="30">
        <f t="shared" si="3"/>
        <v>6</v>
      </c>
      <c r="D7" s="26">
        <f>MATCH(WEEKDAY(A7),そのた定義!A:A,0)</f>
        <v>6</v>
      </c>
      <c r="E7" s="26" t="str">
        <f t="shared" ca="1" si="7"/>
        <v>木</v>
      </c>
      <c r="F7" s="26">
        <f t="shared" si="4"/>
        <v>0</v>
      </c>
      <c r="G7" s="26">
        <f>IF(ISNA(MATCH(A7,祝日定義!E:E,0)),0,1)</f>
        <v>0</v>
      </c>
      <c r="H7" s="26">
        <f>IF(ISNA(MATCH(B7&amp;"/"&amp;C7,そのた定義!E:E,0)), 0, 1)</f>
        <v>0</v>
      </c>
      <c r="I7" s="26" t="b">
        <f t="shared" ref="I7:I66" si="8">SUM(F7:H7)&gt;0</f>
        <v>0</v>
      </c>
      <c r="J7" s="26">
        <v>0</v>
      </c>
      <c r="K7" s="26" t="b">
        <f t="shared" si="1"/>
        <v>0</v>
      </c>
      <c r="L7" s="26" t="b">
        <f t="shared" si="2"/>
        <v>0</v>
      </c>
      <c r="M7" t="b">
        <f t="shared" si="5"/>
        <v>0</v>
      </c>
      <c r="N7" t="b">
        <f t="shared" si="6"/>
        <v>0</v>
      </c>
    </row>
    <row r="8" spans="1:14">
      <c r="A8" s="29">
        <v>44568</v>
      </c>
      <c r="B8" s="30">
        <f t="shared" si="0"/>
        <v>1</v>
      </c>
      <c r="C8" s="30">
        <f t="shared" si="3"/>
        <v>7</v>
      </c>
      <c r="D8" s="26">
        <f>MATCH(WEEKDAY(A8),そのた定義!A:A,0)</f>
        <v>7</v>
      </c>
      <c r="E8" s="26" t="str">
        <f t="shared" ca="1" si="7"/>
        <v>金</v>
      </c>
      <c r="F8" s="26">
        <f t="shared" si="4"/>
        <v>0</v>
      </c>
      <c r="G8" s="26">
        <f>IF(ISNA(MATCH(A8,祝日定義!E:E,0)),0,1)</f>
        <v>0</v>
      </c>
      <c r="H8" s="26">
        <f>IF(ISNA(MATCH(B8&amp;"/"&amp;C8,そのた定義!E:E,0)), 0, 1)</f>
        <v>0</v>
      </c>
      <c r="I8" s="26" t="b">
        <f t="shared" si="8"/>
        <v>0</v>
      </c>
      <c r="J8" s="26">
        <v>0</v>
      </c>
      <c r="K8" s="26" t="b">
        <f t="shared" si="1"/>
        <v>0</v>
      </c>
      <c r="L8" s="26" t="b">
        <f t="shared" si="2"/>
        <v>0</v>
      </c>
      <c r="M8" t="b">
        <f t="shared" si="5"/>
        <v>0</v>
      </c>
      <c r="N8" t="b">
        <f t="shared" si="6"/>
        <v>0</v>
      </c>
    </row>
    <row r="9" spans="1:14">
      <c r="A9" s="29">
        <v>44569</v>
      </c>
      <c r="B9" s="30">
        <f t="shared" si="0"/>
        <v>1</v>
      </c>
      <c r="C9" s="30">
        <f t="shared" si="3"/>
        <v>8</v>
      </c>
      <c r="D9" s="26">
        <f>MATCH(WEEKDAY(A9),そのた定義!A:A,0)</f>
        <v>8</v>
      </c>
      <c r="E9" s="33" t="str">
        <f ca="1">INDIRECT("そのた定義!"&amp;"B"&amp;D9)</f>
        <v>土</v>
      </c>
      <c r="F9" s="26">
        <f t="shared" si="4"/>
        <v>1</v>
      </c>
      <c r="G9" s="26">
        <f>IF(ISNA(MATCH(A9,祝日定義!E:E,0)),0,1)</f>
        <v>0</v>
      </c>
      <c r="H9" s="26">
        <f>IF(ISNA(MATCH(B9&amp;"/"&amp;C9,そのた定義!E:E,0)), 0, 1)</f>
        <v>0</v>
      </c>
      <c r="I9" s="23" t="b">
        <f t="shared" si="8"/>
        <v>1</v>
      </c>
      <c r="J9" s="26">
        <v>0</v>
      </c>
      <c r="K9" s="26" t="b">
        <f t="shared" si="1"/>
        <v>0</v>
      </c>
      <c r="L9" s="26" t="b">
        <f t="shared" si="2"/>
        <v>0</v>
      </c>
      <c r="M9" t="b">
        <f t="shared" si="5"/>
        <v>0</v>
      </c>
      <c r="N9" t="b">
        <f t="shared" si="6"/>
        <v>0</v>
      </c>
    </row>
    <row r="10" spans="1:14">
      <c r="A10" s="29">
        <v>44570</v>
      </c>
      <c r="B10" s="30">
        <f t="shared" si="0"/>
        <v>1</v>
      </c>
      <c r="C10" s="30">
        <f t="shared" si="3"/>
        <v>9</v>
      </c>
      <c r="D10" s="26">
        <f>MATCH(WEEKDAY(A10),そのた定義!A:A,0)</f>
        <v>2</v>
      </c>
      <c r="E10" s="32" t="str">
        <f ca="1">INDIRECT("そのた定義!"&amp;"B"&amp;D10)</f>
        <v>日</v>
      </c>
      <c r="F10" s="26">
        <f t="shared" si="4"/>
        <v>1</v>
      </c>
      <c r="G10" s="26">
        <f>IF(ISNA(MATCH(A10,祝日定義!E:E,0)),0,1)</f>
        <v>0</v>
      </c>
      <c r="H10" s="26">
        <f>IF(ISNA(MATCH(B10&amp;"/"&amp;C10,そのた定義!E:E,0)), 0, 1)</f>
        <v>0</v>
      </c>
      <c r="I10" s="23" t="b">
        <f t="shared" si="8"/>
        <v>1</v>
      </c>
      <c r="J10" s="26">
        <v>0</v>
      </c>
      <c r="K10" s="26" t="b">
        <f t="shared" si="1"/>
        <v>0</v>
      </c>
      <c r="L10" s="26" t="b">
        <f t="shared" si="2"/>
        <v>0</v>
      </c>
      <c r="M10" t="b">
        <f t="shared" si="5"/>
        <v>0</v>
      </c>
      <c r="N10" t="b">
        <f t="shared" si="6"/>
        <v>0</v>
      </c>
    </row>
    <row r="11" spans="1:14">
      <c r="A11" s="29">
        <v>44571</v>
      </c>
      <c r="B11" s="30">
        <f t="shared" si="0"/>
        <v>1</v>
      </c>
      <c r="C11" s="30">
        <f t="shared" si="3"/>
        <v>10</v>
      </c>
      <c r="D11" s="26">
        <f>MATCH(WEEKDAY(A11),そのた定義!A:A,0)</f>
        <v>3</v>
      </c>
      <c r="E11" s="31" t="str">
        <f ca="1">INDIRECT("そのた定義!"&amp;"B"&amp;D11)</f>
        <v>月</v>
      </c>
      <c r="F11" s="26">
        <f t="shared" si="4"/>
        <v>0</v>
      </c>
      <c r="G11" s="26">
        <f>IF(ISNA(MATCH(A11,祝日定義!E:E,0)),0,1)</f>
        <v>1</v>
      </c>
      <c r="H11" s="26">
        <f>IF(ISNA(MATCH(B11&amp;"/"&amp;C11,そのた定義!E:E,0)), 0, 1)</f>
        <v>0</v>
      </c>
      <c r="I11" s="23" t="b">
        <f t="shared" si="8"/>
        <v>1</v>
      </c>
      <c r="J11" s="26">
        <v>0</v>
      </c>
      <c r="K11" s="26" t="b">
        <f t="shared" si="1"/>
        <v>0</v>
      </c>
      <c r="L11" s="26" t="b">
        <f t="shared" si="2"/>
        <v>0</v>
      </c>
      <c r="M11" t="b">
        <f t="shared" si="5"/>
        <v>0</v>
      </c>
      <c r="N11" t="b">
        <f t="shared" si="6"/>
        <v>0</v>
      </c>
    </row>
    <row r="12" spans="1:14">
      <c r="A12" s="29">
        <v>44572</v>
      </c>
      <c r="B12" s="30">
        <f t="shared" si="0"/>
        <v>1</v>
      </c>
      <c r="C12" s="30">
        <f t="shared" si="3"/>
        <v>11</v>
      </c>
      <c r="D12" s="26">
        <f>MATCH(WEEKDAY(A12),そのた定義!A:A,0)</f>
        <v>4</v>
      </c>
      <c r="E12" s="26" t="str">
        <f ca="1">INDIRECT("そのた定義!"&amp;"B"&amp;D12)</f>
        <v>火</v>
      </c>
      <c r="F12" s="26">
        <f t="shared" si="4"/>
        <v>0</v>
      </c>
      <c r="G12" s="26">
        <f>IF(ISNA(MATCH(A12,祝日定義!E:E,0)),0,1)</f>
        <v>0</v>
      </c>
      <c r="H12" s="26">
        <f>IF(ISNA(MATCH(B12&amp;"/"&amp;C12,そのた定義!E:E,0)), 0, 1)</f>
        <v>0</v>
      </c>
      <c r="I12" s="26" t="b">
        <f t="shared" si="8"/>
        <v>0</v>
      </c>
      <c r="J12" s="26">
        <v>3</v>
      </c>
      <c r="K12" s="26" t="b">
        <f t="shared" si="1"/>
        <v>0</v>
      </c>
      <c r="L12" s="26" t="b">
        <f t="shared" si="2"/>
        <v>0</v>
      </c>
      <c r="M12" t="b">
        <f t="shared" si="5"/>
        <v>0</v>
      </c>
      <c r="N12" t="b">
        <f t="shared" si="6"/>
        <v>0</v>
      </c>
    </row>
    <row r="13" spans="1:14">
      <c r="A13" s="29">
        <v>44573</v>
      </c>
      <c r="B13" s="30">
        <f t="shared" si="0"/>
        <v>1</v>
      </c>
      <c r="C13" s="30">
        <f t="shared" si="3"/>
        <v>12</v>
      </c>
      <c r="D13" s="26">
        <f>MATCH(WEEKDAY(A13),そのた定義!A:A,0)</f>
        <v>5</v>
      </c>
      <c r="E13" s="26" t="str">
        <f t="shared" ca="1" si="7"/>
        <v>水</v>
      </c>
      <c r="F13" s="26">
        <f t="shared" si="4"/>
        <v>0</v>
      </c>
      <c r="G13" s="26">
        <f>IF(ISNA(MATCH(A13,祝日定義!E:E,0)),0,1)</f>
        <v>0</v>
      </c>
      <c r="H13" s="26">
        <f>IF(ISNA(MATCH(B13&amp;"/"&amp;C13,そのた定義!E:E,0)), 0, 1)</f>
        <v>0</v>
      </c>
      <c r="I13" s="26" t="b">
        <f t="shared" si="8"/>
        <v>0</v>
      </c>
      <c r="J13" s="26">
        <v>0</v>
      </c>
      <c r="K13" s="26" t="b">
        <f t="shared" si="1"/>
        <v>0</v>
      </c>
      <c r="L13" s="26" t="b">
        <f t="shared" si="2"/>
        <v>0</v>
      </c>
      <c r="M13" t="b">
        <f t="shared" si="5"/>
        <v>0</v>
      </c>
      <c r="N13" t="b">
        <f t="shared" si="6"/>
        <v>0</v>
      </c>
    </row>
    <row r="14" spans="1:14">
      <c r="A14" s="29">
        <v>44574</v>
      </c>
      <c r="B14" s="30">
        <f t="shared" si="0"/>
        <v>1</v>
      </c>
      <c r="C14" s="30">
        <f t="shared" si="3"/>
        <v>13</v>
      </c>
      <c r="D14" s="26">
        <f>MATCH(WEEKDAY(A14),そのた定義!A:A,0)</f>
        <v>6</v>
      </c>
      <c r="E14" s="26" t="str">
        <f t="shared" ca="1" si="7"/>
        <v>木</v>
      </c>
      <c r="F14" s="26">
        <f t="shared" si="4"/>
        <v>0</v>
      </c>
      <c r="G14" s="26">
        <f>IF(ISNA(MATCH(A14,祝日定義!E:E,0)),0,1)</f>
        <v>0</v>
      </c>
      <c r="H14" s="26">
        <f>IF(ISNA(MATCH(B14&amp;"/"&amp;C14,そのた定義!E:E,0)), 0, 1)</f>
        <v>0</v>
      </c>
      <c r="I14" s="26" t="b">
        <f t="shared" si="8"/>
        <v>0</v>
      </c>
      <c r="J14" s="26">
        <v>0</v>
      </c>
      <c r="K14" s="26" t="b">
        <f t="shared" si="1"/>
        <v>0</v>
      </c>
      <c r="L14" s="26" t="b">
        <f t="shared" si="2"/>
        <v>0</v>
      </c>
      <c r="M14" t="b">
        <f t="shared" si="5"/>
        <v>0</v>
      </c>
      <c r="N14" t="b">
        <f t="shared" si="6"/>
        <v>0</v>
      </c>
    </row>
    <row r="15" spans="1:14">
      <c r="A15" s="29">
        <v>44575</v>
      </c>
      <c r="B15" s="30">
        <f t="shared" si="0"/>
        <v>1</v>
      </c>
      <c r="C15" s="30">
        <f t="shared" si="3"/>
        <v>14</v>
      </c>
      <c r="D15" s="26">
        <f>MATCH(WEEKDAY(A15),そのた定義!A:A,0)</f>
        <v>7</v>
      </c>
      <c r="E15" s="26" t="str">
        <f t="shared" ca="1" si="7"/>
        <v>金</v>
      </c>
      <c r="F15" s="26">
        <f t="shared" si="4"/>
        <v>0</v>
      </c>
      <c r="G15" s="26">
        <f>IF(ISNA(MATCH(A15,祝日定義!E:E,0)),0,1)</f>
        <v>0</v>
      </c>
      <c r="H15" s="26">
        <f>IF(ISNA(MATCH(B15&amp;"/"&amp;C15,そのた定義!E:E,0)), 0, 1)</f>
        <v>0</v>
      </c>
      <c r="I15" s="26" t="b">
        <f t="shared" si="8"/>
        <v>0</v>
      </c>
      <c r="J15" s="26">
        <v>0</v>
      </c>
      <c r="K15" s="26" t="b">
        <f t="shared" si="1"/>
        <v>0</v>
      </c>
      <c r="L15" s="26" t="b">
        <f t="shared" si="2"/>
        <v>0</v>
      </c>
      <c r="M15" t="b">
        <f t="shared" si="5"/>
        <v>0</v>
      </c>
      <c r="N15" t="b">
        <f t="shared" si="6"/>
        <v>0</v>
      </c>
    </row>
    <row r="16" spans="1:14">
      <c r="A16" s="29">
        <v>44576</v>
      </c>
      <c r="B16" s="30">
        <f t="shared" si="0"/>
        <v>1</v>
      </c>
      <c r="C16" s="30">
        <f t="shared" si="3"/>
        <v>15</v>
      </c>
      <c r="D16" s="26">
        <f>MATCH(WEEKDAY(A16),そのた定義!A:A,0)</f>
        <v>8</v>
      </c>
      <c r="E16" s="33" t="str">
        <f t="shared" ca="1" si="7"/>
        <v>土</v>
      </c>
      <c r="F16" s="26">
        <f t="shared" si="4"/>
        <v>1</v>
      </c>
      <c r="G16" s="26">
        <f>IF(ISNA(MATCH(A16,祝日定義!E:E,0)),0,1)</f>
        <v>0</v>
      </c>
      <c r="H16" s="26">
        <f>IF(ISNA(MATCH(B16&amp;"/"&amp;C16,そのた定義!E:E,0)), 0, 1)</f>
        <v>0</v>
      </c>
      <c r="I16" s="23" t="b">
        <f t="shared" si="8"/>
        <v>1</v>
      </c>
      <c r="J16" s="26">
        <v>0</v>
      </c>
      <c r="K16" s="26" t="b">
        <f t="shared" si="1"/>
        <v>0</v>
      </c>
      <c r="L16" s="26" t="b">
        <f t="shared" si="2"/>
        <v>0</v>
      </c>
      <c r="M16" t="b">
        <f t="shared" si="5"/>
        <v>0</v>
      </c>
      <c r="N16" t="b">
        <f t="shared" si="6"/>
        <v>0</v>
      </c>
    </row>
    <row r="17" spans="1:14">
      <c r="A17" s="29">
        <v>44577</v>
      </c>
      <c r="B17" s="30">
        <f t="shared" si="0"/>
        <v>1</v>
      </c>
      <c r="C17" s="30">
        <f t="shared" si="3"/>
        <v>16</v>
      </c>
      <c r="D17" s="26">
        <f>MATCH(WEEKDAY(A17),そのた定義!A:A,0)</f>
        <v>2</v>
      </c>
      <c r="E17" s="32" t="str">
        <f t="shared" ca="1" si="7"/>
        <v>日</v>
      </c>
      <c r="F17" s="26">
        <f t="shared" si="4"/>
        <v>1</v>
      </c>
      <c r="G17" s="26">
        <f>IF(ISNA(MATCH(A17,祝日定義!E:E,0)),0,1)</f>
        <v>0</v>
      </c>
      <c r="H17" s="26">
        <f>IF(ISNA(MATCH(B17&amp;"/"&amp;C17,そのた定義!E:E,0)), 0, 1)</f>
        <v>0</v>
      </c>
      <c r="I17" s="23" t="b">
        <f t="shared" si="8"/>
        <v>1</v>
      </c>
      <c r="J17" s="26">
        <v>0</v>
      </c>
      <c r="K17" s="26" t="b">
        <f t="shared" si="1"/>
        <v>0</v>
      </c>
      <c r="L17" s="26" t="b">
        <f t="shared" si="2"/>
        <v>0</v>
      </c>
      <c r="M17" t="b">
        <f t="shared" si="5"/>
        <v>0</v>
      </c>
      <c r="N17" t="b">
        <f t="shared" si="6"/>
        <v>0</v>
      </c>
    </row>
    <row r="18" spans="1:14">
      <c r="A18" s="29">
        <v>44578</v>
      </c>
      <c r="B18" s="30">
        <f t="shared" si="0"/>
        <v>1</v>
      </c>
      <c r="C18" s="30">
        <f t="shared" si="3"/>
        <v>17</v>
      </c>
      <c r="D18" s="26">
        <f>MATCH(WEEKDAY(A18),そのた定義!A:A,0)</f>
        <v>3</v>
      </c>
      <c r="E18" s="26" t="str">
        <f t="shared" ca="1" si="7"/>
        <v>月</v>
      </c>
      <c r="F18" s="26">
        <f t="shared" si="4"/>
        <v>0</v>
      </c>
      <c r="G18" s="26">
        <f>IF(ISNA(MATCH(A18,祝日定義!E:E,0)),0,1)</f>
        <v>0</v>
      </c>
      <c r="H18" s="26">
        <f>IF(ISNA(MATCH(B18&amp;"/"&amp;C18,そのた定義!E:E,0)), 0, 1)</f>
        <v>0</v>
      </c>
      <c r="I18" s="26" t="b">
        <f t="shared" si="8"/>
        <v>0</v>
      </c>
      <c r="J18" s="26">
        <v>2</v>
      </c>
      <c r="K18" s="26" t="b">
        <f t="shared" si="1"/>
        <v>0</v>
      </c>
      <c r="L18" s="26" t="b">
        <f t="shared" si="2"/>
        <v>0</v>
      </c>
      <c r="M18" t="b">
        <f t="shared" si="5"/>
        <v>0</v>
      </c>
      <c r="N18" t="b">
        <f t="shared" si="6"/>
        <v>0</v>
      </c>
    </row>
    <row r="19" spans="1:14">
      <c r="A19" s="29">
        <v>44579</v>
      </c>
      <c r="B19" s="30">
        <f t="shared" si="0"/>
        <v>1</v>
      </c>
      <c r="C19" s="30">
        <f t="shared" si="3"/>
        <v>18</v>
      </c>
      <c r="D19" s="26">
        <f>MATCH(WEEKDAY(A19),そのた定義!A:A,0)</f>
        <v>4</v>
      </c>
      <c r="E19" s="26" t="str">
        <f t="shared" ca="1" si="7"/>
        <v>火</v>
      </c>
      <c r="F19" s="26">
        <f t="shared" si="4"/>
        <v>0</v>
      </c>
      <c r="G19" s="26">
        <f>IF(ISNA(MATCH(A19,祝日定義!E:E,0)),0,1)</f>
        <v>0</v>
      </c>
      <c r="H19" s="26">
        <f>IF(ISNA(MATCH(B19&amp;"/"&amp;C19,そのた定義!E:E,0)), 0, 1)</f>
        <v>0</v>
      </c>
      <c r="I19" s="26" t="b">
        <f t="shared" si="8"/>
        <v>0</v>
      </c>
      <c r="J19" s="26">
        <v>0</v>
      </c>
      <c r="K19" s="26" t="b">
        <f t="shared" si="1"/>
        <v>0</v>
      </c>
      <c r="L19" s="26" t="b">
        <f t="shared" si="2"/>
        <v>0</v>
      </c>
      <c r="M19" t="b">
        <f t="shared" si="5"/>
        <v>0</v>
      </c>
      <c r="N19" t="b">
        <f t="shared" si="6"/>
        <v>0</v>
      </c>
    </row>
    <row r="20" spans="1:14">
      <c r="A20" s="29">
        <v>44580</v>
      </c>
      <c r="B20" s="30">
        <f t="shared" si="0"/>
        <v>1</v>
      </c>
      <c r="C20" s="30">
        <f t="shared" si="3"/>
        <v>19</v>
      </c>
      <c r="D20" s="26">
        <f>MATCH(WEEKDAY(A20),そのた定義!A:A,0)</f>
        <v>5</v>
      </c>
      <c r="E20" s="26" t="str">
        <f t="shared" ca="1" si="7"/>
        <v>水</v>
      </c>
      <c r="F20" s="26">
        <f t="shared" si="4"/>
        <v>0</v>
      </c>
      <c r="G20" s="26">
        <f>IF(ISNA(MATCH(A20,祝日定義!E:E,0)),0,1)</f>
        <v>0</v>
      </c>
      <c r="H20" s="26">
        <f>IF(ISNA(MATCH(B20&amp;"/"&amp;C20,そのた定義!E:E,0)), 0, 1)</f>
        <v>0</v>
      </c>
      <c r="I20" s="26" t="b">
        <f t="shared" si="8"/>
        <v>0</v>
      </c>
      <c r="J20" s="26">
        <v>0</v>
      </c>
      <c r="K20" s="26" t="b">
        <f t="shared" si="1"/>
        <v>0</v>
      </c>
      <c r="L20" s="26" t="b">
        <f t="shared" si="2"/>
        <v>0</v>
      </c>
      <c r="M20" t="b">
        <f t="shared" si="5"/>
        <v>0</v>
      </c>
      <c r="N20" t="b">
        <f t="shared" si="6"/>
        <v>0</v>
      </c>
    </row>
    <row r="21" spans="1:14">
      <c r="A21" s="29">
        <v>44581</v>
      </c>
      <c r="B21" s="30">
        <f t="shared" si="0"/>
        <v>1</v>
      </c>
      <c r="C21" s="30">
        <f t="shared" si="3"/>
        <v>20</v>
      </c>
      <c r="D21" s="26">
        <f>MATCH(WEEKDAY(A21),そのた定義!A:A,0)</f>
        <v>6</v>
      </c>
      <c r="E21" s="26" t="str">
        <f t="shared" ca="1" si="7"/>
        <v>木</v>
      </c>
      <c r="F21" s="26">
        <f t="shared" si="4"/>
        <v>0</v>
      </c>
      <c r="G21" s="26">
        <f>IF(ISNA(MATCH(A21,祝日定義!E:E,0)),0,1)</f>
        <v>0</v>
      </c>
      <c r="H21" s="26">
        <f>IF(ISNA(MATCH(B21&amp;"/"&amp;C21,そのた定義!E:E,0)), 0, 1)</f>
        <v>0</v>
      </c>
      <c r="I21" s="26" t="b">
        <f t="shared" si="8"/>
        <v>0</v>
      </c>
      <c r="J21" s="26">
        <v>0</v>
      </c>
      <c r="K21" s="26" t="b">
        <f t="shared" si="1"/>
        <v>0</v>
      </c>
      <c r="L21" s="26" t="b">
        <f t="shared" si="2"/>
        <v>0</v>
      </c>
      <c r="M21" t="b">
        <f t="shared" si="5"/>
        <v>0</v>
      </c>
      <c r="N21" t="b">
        <f t="shared" si="6"/>
        <v>0</v>
      </c>
    </row>
    <row r="22" spans="1:14">
      <c r="A22" s="29">
        <v>44582</v>
      </c>
      <c r="B22" s="30">
        <f t="shared" si="0"/>
        <v>1</v>
      </c>
      <c r="C22" s="30">
        <f t="shared" si="3"/>
        <v>21</v>
      </c>
      <c r="D22" s="26">
        <f>MATCH(WEEKDAY(A22),そのた定義!A:A,0)</f>
        <v>7</v>
      </c>
      <c r="E22" s="26" t="str">
        <f t="shared" ca="1" si="7"/>
        <v>金</v>
      </c>
      <c r="F22" s="26">
        <f t="shared" si="4"/>
        <v>0</v>
      </c>
      <c r="G22" s="26">
        <f>IF(ISNA(MATCH(A22,祝日定義!E:E,0)),0,1)</f>
        <v>0</v>
      </c>
      <c r="H22" s="26">
        <f>IF(ISNA(MATCH(B22&amp;"/"&amp;C22,そのた定義!E:E,0)), 0, 1)</f>
        <v>0</v>
      </c>
      <c r="I22" s="26" t="b">
        <f t="shared" si="8"/>
        <v>0</v>
      </c>
      <c r="J22" s="26">
        <v>0</v>
      </c>
      <c r="K22" s="26" t="b">
        <f t="shared" si="1"/>
        <v>0</v>
      </c>
      <c r="L22" s="26" t="b">
        <f t="shared" si="2"/>
        <v>0</v>
      </c>
      <c r="M22" t="b">
        <f t="shared" si="5"/>
        <v>0</v>
      </c>
      <c r="N22" t="b">
        <f t="shared" si="6"/>
        <v>0</v>
      </c>
    </row>
    <row r="23" spans="1:14">
      <c r="A23" s="29">
        <v>44583</v>
      </c>
      <c r="B23" s="30">
        <f t="shared" si="0"/>
        <v>1</v>
      </c>
      <c r="C23" s="30">
        <f t="shared" si="3"/>
        <v>22</v>
      </c>
      <c r="D23" s="26">
        <f>MATCH(WEEKDAY(A23),そのた定義!A:A,0)</f>
        <v>8</v>
      </c>
      <c r="E23" s="33" t="str">
        <f t="shared" ca="1" si="7"/>
        <v>土</v>
      </c>
      <c r="F23" s="26">
        <f t="shared" si="4"/>
        <v>1</v>
      </c>
      <c r="G23" s="26">
        <f>IF(ISNA(MATCH(A23,祝日定義!E:E,0)),0,1)</f>
        <v>0</v>
      </c>
      <c r="H23" s="26">
        <f>IF(ISNA(MATCH(B23&amp;"/"&amp;C23,そのた定義!E:E,0)), 0, 1)</f>
        <v>0</v>
      </c>
      <c r="I23" s="23" t="b">
        <f t="shared" si="8"/>
        <v>1</v>
      </c>
      <c r="J23" s="26">
        <v>0</v>
      </c>
      <c r="K23" s="26" t="b">
        <f t="shared" si="1"/>
        <v>0</v>
      </c>
      <c r="L23" s="26" t="b">
        <f t="shared" si="2"/>
        <v>0</v>
      </c>
      <c r="M23" t="b">
        <f t="shared" si="5"/>
        <v>0</v>
      </c>
      <c r="N23" t="b">
        <f t="shared" si="6"/>
        <v>0</v>
      </c>
    </row>
    <row r="24" spans="1:14">
      <c r="A24" s="29">
        <v>44584</v>
      </c>
      <c r="B24" s="30">
        <f t="shared" si="0"/>
        <v>1</v>
      </c>
      <c r="C24" s="30">
        <f t="shared" si="3"/>
        <v>23</v>
      </c>
      <c r="D24" s="26">
        <f>MATCH(WEEKDAY(A24),そのた定義!A:A,0)</f>
        <v>2</v>
      </c>
      <c r="E24" s="32" t="str">
        <f t="shared" ca="1" si="7"/>
        <v>日</v>
      </c>
      <c r="F24" s="26">
        <f t="shared" si="4"/>
        <v>1</v>
      </c>
      <c r="G24" s="26">
        <f>IF(ISNA(MATCH(A24,祝日定義!E:E,0)),0,1)</f>
        <v>0</v>
      </c>
      <c r="H24" s="26">
        <f>IF(ISNA(MATCH(B24&amp;"/"&amp;C24,そのた定義!E:E,0)), 0, 1)</f>
        <v>0</v>
      </c>
      <c r="I24" s="23" t="b">
        <f t="shared" si="8"/>
        <v>1</v>
      </c>
      <c r="J24" s="26">
        <v>0</v>
      </c>
      <c r="K24" s="26" t="b">
        <f t="shared" si="1"/>
        <v>0</v>
      </c>
      <c r="L24" s="26" t="b">
        <f t="shared" si="2"/>
        <v>0</v>
      </c>
      <c r="M24" t="b">
        <f t="shared" si="5"/>
        <v>0</v>
      </c>
      <c r="N24" t="b">
        <f t="shared" si="6"/>
        <v>0</v>
      </c>
    </row>
    <row r="25" spans="1:14">
      <c r="A25" s="29">
        <v>44585</v>
      </c>
      <c r="B25" s="30">
        <f t="shared" si="0"/>
        <v>1</v>
      </c>
      <c r="C25" s="30">
        <f t="shared" si="3"/>
        <v>24</v>
      </c>
      <c r="D25" s="26">
        <f>MATCH(WEEKDAY(A25),そのた定義!A:A,0)</f>
        <v>3</v>
      </c>
      <c r="E25" s="26" t="str">
        <f t="shared" ca="1" si="7"/>
        <v>月</v>
      </c>
      <c r="F25" s="26">
        <f t="shared" si="4"/>
        <v>0</v>
      </c>
      <c r="G25" s="26">
        <f>IF(ISNA(MATCH(A25,祝日定義!E:E,0)),0,1)</f>
        <v>0</v>
      </c>
      <c r="H25" s="26">
        <f>IF(ISNA(MATCH(B25&amp;"/"&amp;C25,そのた定義!E:E,0)), 0, 1)</f>
        <v>0</v>
      </c>
      <c r="I25" s="26" t="b">
        <f t="shared" si="8"/>
        <v>0</v>
      </c>
      <c r="J25" s="26">
        <v>2</v>
      </c>
      <c r="K25" s="26" t="b">
        <f t="shared" si="1"/>
        <v>0</v>
      </c>
      <c r="L25" s="26" t="b">
        <f t="shared" si="2"/>
        <v>0</v>
      </c>
      <c r="M25" t="b">
        <f t="shared" si="5"/>
        <v>0</v>
      </c>
      <c r="N25" t="b">
        <f t="shared" si="6"/>
        <v>0</v>
      </c>
    </row>
    <row r="26" spans="1:14">
      <c r="A26" s="29">
        <v>44586</v>
      </c>
      <c r="B26" s="30">
        <f t="shared" si="0"/>
        <v>1</v>
      </c>
      <c r="C26" s="30">
        <f t="shared" si="3"/>
        <v>25</v>
      </c>
      <c r="D26" s="26">
        <f>MATCH(WEEKDAY(A26),そのた定義!A:A,0)</f>
        <v>4</v>
      </c>
      <c r="E26" s="26" t="str">
        <f t="shared" ca="1" si="7"/>
        <v>火</v>
      </c>
      <c r="F26" s="26">
        <f t="shared" si="4"/>
        <v>0</v>
      </c>
      <c r="G26" s="26">
        <f>IF(ISNA(MATCH(A26,祝日定義!E:E,0)),0,1)</f>
        <v>0</v>
      </c>
      <c r="H26" s="26">
        <f>IF(ISNA(MATCH(B26&amp;"/"&amp;C26,そのた定義!E:E,0)), 0, 1)</f>
        <v>0</v>
      </c>
      <c r="I26" s="26" t="b">
        <f t="shared" si="8"/>
        <v>0</v>
      </c>
      <c r="J26" s="26">
        <v>0</v>
      </c>
      <c r="K26" s="26" t="b">
        <f t="shared" si="1"/>
        <v>0</v>
      </c>
      <c r="L26" s="23" t="b">
        <f t="shared" si="2"/>
        <v>1</v>
      </c>
      <c r="M26" t="b">
        <f t="shared" si="5"/>
        <v>0</v>
      </c>
      <c r="N26" t="b">
        <f t="shared" si="6"/>
        <v>0</v>
      </c>
    </row>
    <row r="27" spans="1:14">
      <c r="A27" s="29">
        <v>44587</v>
      </c>
      <c r="B27" s="30">
        <f t="shared" si="0"/>
        <v>1</v>
      </c>
      <c r="C27" s="30">
        <f t="shared" si="3"/>
        <v>26</v>
      </c>
      <c r="D27" s="26">
        <f>MATCH(WEEKDAY(A27),そのた定義!A:A,0)</f>
        <v>5</v>
      </c>
      <c r="E27" s="26" t="str">
        <f t="shared" ca="1" si="7"/>
        <v>水</v>
      </c>
      <c r="F27" s="26">
        <f t="shared" si="4"/>
        <v>0</v>
      </c>
      <c r="G27" s="26">
        <f>IF(ISNA(MATCH(A27,祝日定義!E:E,0)),0,1)</f>
        <v>0</v>
      </c>
      <c r="H27" s="26">
        <f>IF(ISNA(MATCH(B27&amp;"/"&amp;C27,そのた定義!E:E,0)), 0, 1)</f>
        <v>0</v>
      </c>
      <c r="I27" s="26" t="b">
        <f t="shared" si="8"/>
        <v>0</v>
      </c>
      <c r="J27" s="26">
        <v>0</v>
      </c>
      <c r="K27" s="26" t="b">
        <f t="shared" si="1"/>
        <v>0</v>
      </c>
      <c r="L27" s="26" t="b">
        <f t="shared" si="2"/>
        <v>0</v>
      </c>
      <c r="M27" t="b">
        <f t="shared" si="5"/>
        <v>0</v>
      </c>
      <c r="N27" t="b">
        <f t="shared" si="6"/>
        <v>0</v>
      </c>
    </row>
    <row r="28" spans="1:14">
      <c r="A28" s="29">
        <v>44588</v>
      </c>
      <c r="B28" s="30">
        <f t="shared" si="0"/>
        <v>1</v>
      </c>
      <c r="C28" s="30">
        <f t="shared" si="3"/>
        <v>27</v>
      </c>
      <c r="D28" s="26">
        <f>MATCH(WEEKDAY(A28),そのた定義!A:A,0)</f>
        <v>6</v>
      </c>
      <c r="E28" s="26" t="str">
        <f t="shared" ca="1" si="7"/>
        <v>木</v>
      </c>
      <c r="F28" s="26">
        <f t="shared" si="4"/>
        <v>0</v>
      </c>
      <c r="G28" s="26">
        <f>IF(ISNA(MATCH(A28,祝日定義!E:E,0)),0,1)</f>
        <v>0</v>
      </c>
      <c r="H28" s="26">
        <f>IF(ISNA(MATCH(B28&amp;"/"&amp;C28,そのた定義!E:E,0)), 0, 1)</f>
        <v>0</v>
      </c>
      <c r="I28" s="26" t="b">
        <f t="shared" si="8"/>
        <v>0</v>
      </c>
      <c r="J28" s="26">
        <v>0</v>
      </c>
      <c r="K28" s="26" t="b">
        <f t="shared" si="1"/>
        <v>0</v>
      </c>
      <c r="L28" s="26" t="b">
        <f t="shared" si="2"/>
        <v>0</v>
      </c>
      <c r="M28" t="b">
        <f t="shared" si="5"/>
        <v>0</v>
      </c>
      <c r="N28" t="b">
        <f t="shared" si="6"/>
        <v>0</v>
      </c>
    </row>
    <row r="29" spans="1:14">
      <c r="A29" s="29">
        <v>44589</v>
      </c>
      <c r="B29" s="30">
        <f t="shared" si="0"/>
        <v>1</v>
      </c>
      <c r="C29" s="30">
        <f t="shared" si="3"/>
        <v>28</v>
      </c>
      <c r="D29" s="26">
        <f>MATCH(WEEKDAY(A29),そのた定義!A:A,0)</f>
        <v>7</v>
      </c>
      <c r="E29" s="26" t="str">
        <f t="shared" ca="1" si="7"/>
        <v>金</v>
      </c>
      <c r="F29" s="26">
        <f t="shared" si="4"/>
        <v>0</v>
      </c>
      <c r="G29" s="26">
        <f>IF(ISNA(MATCH(A29,祝日定義!E:E,0)),0,1)</f>
        <v>0</v>
      </c>
      <c r="H29" s="26">
        <f>IF(ISNA(MATCH(B29&amp;"/"&amp;C29,そのた定義!E:E,0)), 0, 1)</f>
        <v>0</v>
      </c>
      <c r="I29" s="26" t="b">
        <f t="shared" si="8"/>
        <v>0</v>
      </c>
      <c r="J29" s="26">
        <v>0</v>
      </c>
      <c r="K29" s="26" t="b">
        <f t="shared" si="1"/>
        <v>0</v>
      </c>
      <c r="L29" s="26" t="b">
        <f t="shared" si="2"/>
        <v>0</v>
      </c>
      <c r="M29" t="b">
        <f t="shared" si="5"/>
        <v>0</v>
      </c>
      <c r="N29" t="b">
        <f t="shared" si="6"/>
        <v>0</v>
      </c>
    </row>
    <row r="30" spans="1:14">
      <c r="A30" s="29">
        <v>44590</v>
      </c>
      <c r="B30" s="30">
        <f t="shared" si="0"/>
        <v>1</v>
      </c>
      <c r="C30" s="30">
        <f t="shared" si="3"/>
        <v>29</v>
      </c>
      <c r="D30" s="26">
        <f>MATCH(WEEKDAY(A30),そのた定義!A:A,0)</f>
        <v>8</v>
      </c>
      <c r="E30" s="33" t="str">
        <f t="shared" ca="1" si="7"/>
        <v>土</v>
      </c>
      <c r="F30" s="26">
        <f t="shared" si="4"/>
        <v>1</v>
      </c>
      <c r="G30" s="26">
        <f>IF(ISNA(MATCH(A30,祝日定義!E:E,0)),0,1)</f>
        <v>0</v>
      </c>
      <c r="H30" s="26">
        <f>IF(ISNA(MATCH(B30&amp;"/"&amp;C30,そのた定義!E:E,0)), 0, 1)</f>
        <v>0</v>
      </c>
      <c r="I30" s="23" t="b">
        <f t="shared" si="8"/>
        <v>1</v>
      </c>
      <c r="J30" s="26">
        <v>0</v>
      </c>
      <c r="K30" s="26" t="b">
        <f t="shared" si="1"/>
        <v>0</v>
      </c>
      <c r="L30" s="26" t="b">
        <f t="shared" si="2"/>
        <v>0</v>
      </c>
      <c r="M30" t="b">
        <f t="shared" si="5"/>
        <v>0</v>
      </c>
      <c r="N30" t="b">
        <f t="shared" si="6"/>
        <v>0</v>
      </c>
    </row>
    <row r="31" spans="1:14">
      <c r="A31" s="29">
        <v>44591</v>
      </c>
      <c r="B31" s="30">
        <f t="shared" si="0"/>
        <v>1</v>
      </c>
      <c r="C31" s="30">
        <f t="shared" si="3"/>
        <v>30</v>
      </c>
      <c r="D31" s="26">
        <f>MATCH(WEEKDAY(A31),そのた定義!A:A,0)</f>
        <v>2</v>
      </c>
      <c r="E31" s="32" t="str">
        <f t="shared" ca="1" si="7"/>
        <v>日</v>
      </c>
      <c r="F31" s="26">
        <f t="shared" si="4"/>
        <v>1</v>
      </c>
      <c r="G31" s="26">
        <f>IF(ISNA(MATCH(A31,祝日定義!E:E,0)),0,1)</f>
        <v>0</v>
      </c>
      <c r="H31" s="26">
        <f>IF(ISNA(MATCH(B31&amp;"/"&amp;C31,そのた定義!E:E,0)), 0, 1)</f>
        <v>0</v>
      </c>
      <c r="I31" s="23" t="b">
        <f t="shared" si="8"/>
        <v>1</v>
      </c>
      <c r="J31" s="26">
        <v>0</v>
      </c>
      <c r="K31" s="26" t="b">
        <f t="shared" si="1"/>
        <v>0</v>
      </c>
      <c r="L31" s="26" t="b">
        <f t="shared" si="2"/>
        <v>0</v>
      </c>
      <c r="M31" t="b">
        <f t="shared" si="5"/>
        <v>0</v>
      </c>
      <c r="N31" t="b">
        <f t="shared" si="6"/>
        <v>0</v>
      </c>
    </row>
    <row r="32" spans="1:14">
      <c r="A32" s="29">
        <v>44592</v>
      </c>
      <c r="B32" s="30">
        <f t="shared" si="0"/>
        <v>1</v>
      </c>
      <c r="C32" s="30">
        <f t="shared" si="3"/>
        <v>31</v>
      </c>
      <c r="D32" s="26">
        <f>MATCH(WEEKDAY(A32),そのた定義!A:A,0)</f>
        <v>3</v>
      </c>
      <c r="E32" s="26" t="str">
        <f t="shared" ca="1" si="7"/>
        <v>月</v>
      </c>
      <c r="F32" s="26">
        <f t="shared" si="4"/>
        <v>0</v>
      </c>
      <c r="G32" s="26">
        <f>IF(ISNA(MATCH(A32,祝日定義!E:E,0)),0,1)</f>
        <v>0</v>
      </c>
      <c r="H32" s="26">
        <f>IF(ISNA(MATCH(B32&amp;"/"&amp;C32,そのた定義!E:E,0)), 0, 1)</f>
        <v>0</v>
      </c>
      <c r="I32" s="26" t="b">
        <f t="shared" si="8"/>
        <v>0</v>
      </c>
      <c r="J32" s="26">
        <v>2</v>
      </c>
      <c r="K32" s="26" t="b">
        <f t="shared" si="1"/>
        <v>0</v>
      </c>
      <c r="L32" s="26" t="b">
        <f t="shared" si="2"/>
        <v>0</v>
      </c>
      <c r="M32" t="b">
        <f t="shared" si="5"/>
        <v>0</v>
      </c>
      <c r="N32" t="b">
        <f t="shared" si="6"/>
        <v>1</v>
      </c>
    </row>
    <row r="33" spans="1:14">
      <c r="A33" s="29">
        <v>44593</v>
      </c>
      <c r="B33" s="30">
        <f t="shared" si="0"/>
        <v>2</v>
      </c>
      <c r="C33" s="30">
        <f t="shared" si="3"/>
        <v>1</v>
      </c>
      <c r="D33" s="26">
        <f>MATCH(WEEKDAY(A33),そのた定義!A:A,0)</f>
        <v>4</v>
      </c>
      <c r="E33" s="26" t="str">
        <f t="shared" ca="1" si="7"/>
        <v>火</v>
      </c>
      <c r="F33" s="26">
        <f t="shared" si="4"/>
        <v>0</v>
      </c>
      <c r="G33" s="26">
        <f>IF(ISNA(MATCH(A33,祝日定義!E:E,0)),0,1)</f>
        <v>0</v>
      </c>
      <c r="H33" s="26">
        <f>IF(ISNA(MATCH(B33&amp;"/"&amp;C33,そのた定義!E:E,0)), 0, 1)</f>
        <v>0</v>
      </c>
      <c r="I33" s="26" t="b">
        <f t="shared" si="8"/>
        <v>0</v>
      </c>
      <c r="J33" s="26">
        <v>0</v>
      </c>
      <c r="K33" s="26" t="b">
        <f t="shared" si="1"/>
        <v>0</v>
      </c>
      <c r="L33" s="26" t="b">
        <f t="shared" si="2"/>
        <v>0</v>
      </c>
      <c r="M33" t="b">
        <f t="shared" si="5"/>
        <v>0</v>
      </c>
      <c r="N33" t="b">
        <f t="shared" si="6"/>
        <v>0</v>
      </c>
    </row>
    <row r="34" spans="1:14">
      <c r="A34" s="29">
        <v>44594</v>
      </c>
      <c r="B34" s="30">
        <f t="shared" si="0"/>
        <v>2</v>
      </c>
      <c r="C34" s="30">
        <f t="shared" si="3"/>
        <v>2</v>
      </c>
      <c r="D34" s="26">
        <f>MATCH(WEEKDAY(A34),そのた定義!A:A,0)</f>
        <v>5</v>
      </c>
      <c r="E34" s="26" t="str">
        <f t="shared" ca="1" si="7"/>
        <v>水</v>
      </c>
      <c r="F34" s="26">
        <f t="shared" si="4"/>
        <v>0</v>
      </c>
      <c r="G34" s="26">
        <f>IF(ISNA(MATCH(A34,祝日定義!E:E,0)),0,1)</f>
        <v>0</v>
      </c>
      <c r="H34" s="26">
        <f>IF(ISNA(MATCH(B34&amp;"/"&amp;C34,そのた定義!E:E,0)), 0, 1)</f>
        <v>0</v>
      </c>
      <c r="I34" s="26" t="b">
        <f t="shared" si="8"/>
        <v>0</v>
      </c>
      <c r="J34" s="26">
        <v>0</v>
      </c>
      <c r="K34" s="26" t="b">
        <f t="shared" si="1"/>
        <v>0</v>
      </c>
      <c r="L34" s="26" t="b">
        <f t="shared" ref="L34:L65" si="9">C34=25</f>
        <v>0</v>
      </c>
      <c r="M34" t="b">
        <f t="shared" si="5"/>
        <v>0</v>
      </c>
      <c r="N34" t="b">
        <f t="shared" si="6"/>
        <v>0</v>
      </c>
    </row>
    <row r="35" spans="1:14">
      <c r="A35" s="29">
        <v>44595</v>
      </c>
      <c r="B35" s="30">
        <f t="shared" si="0"/>
        <v>2</v>
      </c>
      <c r="C35" s="30">
        <f t="shared" si="3"/>
        <v>3</v>
      </c>
      <c r="D35" s="26">
        <f>MATCH(WEEKDAY(A35),そのた定義!A:A,0)</f>
        <v>6</v>
      </c>
      <c r="E35" s="26" t="str">
        <f t="shared" ca="1" si="7"/>
        <v>木</v>
      </c>
      <c r="F35" s="26">
        <f t="shared" si="4"/>
        <v>0</v>
      </c>
      <c r="G35" s="26">
        <f>IF(ISNA(MATCH(A35,祝日定義!E:E,0)),0,1)</f>
        <v>0</v>
      </c>
      <c r="H35" s="26">
        <f>IF(ISNA(MATCH(B35&amp;"/"&amp;C35,そのた定義!E:E,0)), 0, 1)</f>
        <v>0</v>
      </c>
      <c r="I35" s="26" t="b">
        <f t="shared" si="8"/>
        <v>0</v>
      </c>
      <c r="J35" s="26">
        <v>0</v>
      </c>
      <c r="K35" s="26" t="b">
        <f t="shared" si="1"/>
        <v>0</v>
      </c>
      <c r="L35" s="26" t="b">
        <f t="shared" si="9"/>
        <v>0</v>
      </c>
      <c r="M35" t="b">
        <f t="shared" si="5"/>
        <v>0</v>
      </c>
      <c r="N35" t="b">
        <f t="shared" si="6"/>
        <v>0</v>
      </c>
    </row>
    <row r="36" spans="1:14">
      <c r="A36" s="29">
        <v>44596</v>
      </c>
      <c r="B36" s="30">
        <f t="shared" si="0"/>
        <v>2</v>
      </c>
      <c r="C36" s="30">
        <f t="shared" si="3"/>
        <v>4</v>
      </c>
      <c r="D36" s="26">
        <f>MATCH(WEEKDAY(A36),そのた定義!A:A,0)</f>
        <v>7</v>
      </c>
      <c r="E36" s="26" t="str">
        <f t="shared" ca="1" si="7"/>
        <v>金</v>
      </c>
      <c r="F36" s="26">
        <f t="shared" si="4"/>
        <v>0</v>
      </c>
      <c r="G36" s="26">
        <f>IF(ISNA(MATCH(A36,祝日定義!E:E,0)),0,1)</f>
        <v>0</v>
      </c>
      <c r="H36" s="26">
        <f>IF(ISNA(MATCH(B36&amp;"/"&amp;C36,そのた定義!E:E,0)), 0, 1)</f>
        <v>0</v>
      </c>
      <c r="I36" s="26" t="b">
        <f t="shared" si="8"/>
        <v>0</v>
      </c>
      <c r="J36" s="26">
        <v>0</v>
      </c>
      <c r="K36" s="26" t="b">
        <f t="shared" si="1"/>
        <v>0</v>
      </c>
      <c r="L36" s="26" t="b">
        <f t="shared" si="9"/>
        <v>0</v>
      </c>
      <c r="M36" t="b">
        <f t="shared" si="5"/>
        <v>0</v>
      </c>
      <c r="N36" t="b">
        <f t="shared" si="6"/>
        <v>0</v>
      </c>
    </row>
    <row r="37" spans="1:14">
      <c r="A37" s="29">
        <v>44597</v>
      </c>
      <c r="B37" s="30">
        <f t="shared" si="0"/>
        <v>2</v>
      </c>
      <c r="C37" s="30">
        <f t="shared" si="3"/>
        <v>5</v>
      </c>
      <c r="D37" s="26">
        <f>MATCH(WEEKDAY(A37),そのた定義!A:A,0)</f>
        <v>8</v>
      </c>
      <c r="E37" s="33" t="str">
        <f t="shared" ca="1" si="7"/>
        <v>土</v>
      </c>
      <c r="F37" s="26">
        <f t="shared" si="4"/>
        <v>1</v>
      </c>
      <c r="G37" s="26">
        <f>IF(ISNA(MATCH(A37,祝日定義!E:E,0)),0,1)</f>
        <v>0</v>
      </c>
      <c r="H37" s="26">
        <f>IF(ISNA(MATCH(B37&amp;"/"&amp;C37,そのた定義!E:E,0)), 0, 1)</f>
        <v>0</v>
      </c>
      <c r="I37" s="23" t="b">
        <f t="shared" si="8"/>
        <v>1</v>
      </c>
      <c r="J37" s="26">
        <v>0</v>
      </c>
      <c r="K37" s="26" t="b">
        <f t="shared" si="1"/>
        <v>0</v>
      </c>
      <c r="L37" s="26" t="b">
        <f t="shared" si="9"/>
        <v>0</v>
      </c>
      <c r="M37" t="b">
        <f t="shared" si="5"/>
        <v>0</v>
      </c>
      <c r="N37" t="b">
        <f t="shared" si="6"/>
        <v>0</v>
      </c>
    </row>
    <row r="38" spans="1:14">
      <c r="A38" s="29">
        <v>44598</v>
      </c>
      <c r="B38" s="30">
        <f t="shared" si="0"/>
        <v>2</v>
      </c>
      <c r="C38" s="30">
        <f t="shared" si="3"/>
        <v>6</v>
      </c>
      <c r="D38" s="26">
        <f>MATCH(WEEKDAY(A38),そのた定義!A:A,0)</f>
        <v>2</v>
      </c>
      <c r="E38" s="32" t="str">
        <f t="shared" ca="1" si="7"/>
        <v>日</v>
      </c>
      <c r="F38" s="26">
        <f t="shared" si="4"/>
        <v>1</v>
      </c>
      <c r="G38" s="26">
        <f>IF(ISNA(MATCH(A38,祝日定義!E:E,0)),0,1)</f>
        <v>0</v>
      </c>
      <c r="H38" s="26">
        <f>IF(ISNA(MATCH(B38&amp;"/"&amp;C38,そのた定義!E:E,0)), 0, 1)</f>
        <v>0</v>
      </c>
      <c r="I38" s="23" t="b">
        <f t="shared" si="8"/>
        <v>1</v>
      </c>
      <c r="J38" s="26">
        <v>0</v>
      </c>
      <c r="K38" s="26" t="b">
        <f t="shared" si="1"/>
        <v>0</v>
      </c>
      <c r="L38" s="26" t="b">
        <f t="shared" si="9"/>
        <v>0</v>
      </c>
      <c r="M38" t="b">
        <f t="shared" si="5"/>
        <v>0</v>
      </c>
      <c r="N38" t="b">
        <f t="shared" si="6"/>
        <v>0</v>
      </c>
    </row>
    <row r="39" spans="1:14">
      <c r="A39" s="29">
        <v>44599</v>
      </c>
      <c r="B39" s="30">
        <f t="shared" si="0"/>
        <v>2</v>
      </c>
      <c r="C39" s="30">
        <f t="shared" si="3"/>
        <v>7</v>
      </c>
      <c r="D39" s="26">
        <f>MATCH(WEEKDAY(A39),そのた定義!A:A,0)</f>
        <v>3</v>
      </c>
      <c r="E39" s="26" t="str">
        <f t="shared" ca="1" si="7"/>
        <v>月</v>
      </c>
      <c r="F39" s="26">
        <f t="shared" si="4"/>
        <v>0</v>
      </c>
      <c r="G39" s="26">
        <f>IF(ISNA(MATCH(A39,祝日定義!E:E,0)),0,1)</f>
        <v>0</v>
      </c>
      <c r="H39" s="26">
        <f>IF(ISNA(MATCH(B39&amp;"/"&amp;C39,そのた定義!E:E,0)), 0, 1)</f>
        <v>0</v>
      </c>
      <c r="I39" s="26" t="b">
        <f t="shared" si="8"/>
        <v>0</v>
      </c>
      <c r="J39" s="26">
        <v>2</v>
      </c>
      <c r="K39" s="26" t="b">
        <f t="shared" si="1"/>
        <v>0</v>
      </c>
      <c r="L39" s="26" t="b">
        <f t="shared" si="9"/>
        <v>0</v>
      </c>
      <c r="M39" t="b">
        <f t="shared" si="5"/>
        <v>0</v>
      </c>
      <c r="N39" t="b">
        <f t="shared" si="6"/>
        <v>0</v>
      </c>
    </row>
    <row r="40" spans="1:14">
      <c r="A40" s="29">
        <v>44600</v>
      </c>
      <c r="B40" s="30">
        <f t="shared" si="0"/>
        <v>2</v>
      </c>
      <c r="C40" s="30">
        <f t="shared" si="3"/>
        <v>8</v>
      </c>
      <c r="D40" s="26">
        <f>MATCH(WEEKDAY(A40),そのた定義!A:A,0)</f>
        <v>4</v>
      </c>
      <c r="E40" s="26" t="str">
        <f t="shared" ca="1" si="7"/>
        <v>火</v>
      </c>
      <c r="F40" s="26">
        <f t="shared" si="4"/>
        <v>0</v>
      </c>
      <c r="G40" s="26">
        <f>IF(ISNA(MATCH(A40,祝日定義!E:E,0)),0,1)</f>
        <v>0</v>
      </c>
      <c r="H40" s="26">
        <f>IF(ISNA(MATCH(B40&amp;"/"&amp;C40,そのた定義!E:E,0)), 0, 1)</f>
        <v>0</v>
      </c>
      <c r="I40" s="26" t="b">
        <f t="shared" si="8"/>
        <v>0</v>
      </c>
      <c r="J40" s="26">
        <v>0</v>
      </c>
      <c r="K40" s="26" t="b">
        <f t="shared" si="1"/>
        <v>0</v>
      </c>
      <c r="L40" s="26" t="b">
        <f t="shared" si="9"/>
        <v>0</v>
      </c>
      <c r="M40" t="b">
        <f t="shared" si="5"/>
        <v>0</v>
      </c>
      <c r="N40" t="b">
        <f t="shared" si="6"/>
        <v>0</v>
      </c>
    </row>
    <row r="41" spans="1:14">
      <c r="A41" s="29">
        <v>44601</v>
      </c>
      <c r="B41" s="30">
        <f t="shared" si="0"/>
        <v>2</v>
      </c>
      <c r="C41" s="30">
        <f t="shared" si="3"/>
        <v>9</v>
      </c>
      <c r="D41" s="26">
        <f>MATCH(WEEKDAY(A41),そのた定義!A:A,0)</f>
        <v>5</v>
      </c>
      <c r="E41" s="26" t="str">
        <f t="shared" ca="1" si="7"/>
        <v>水</v>
      </c>
      <c r="F41" s="26">
        <f t="shared" si="4"/>
        <v>0</v>
      </c>
      <c r="G41" s="26">
        <f>IF(ISNA(MATCH(A41,祝日定義!E:E,0)),0,1)</f>
        <v>0</v>
      </c>
      <c r="H41" s="26">
        <f>IF(ISNA(MATCH(B41&amp;"/"&amp;C41,そのた定義!E:E,0)), 0, 1)</f>
        <v>0</v>
      </c>
      <c r="I41" s="26" t="b">
        <f t="shared" si="8"/>
        <v>0</v>
      </c>
      <c r="J41" s="26">
        <v>0</v>
      </c>
      <c r="K41" s="26" t="b">
        <f t="shared" si="1"/>
        <v>0</v>
      </c>
      <c r="L41" s="26" t="b">
        <f t="shared" si="9"/>
        <v>0</v>
      </c>
      <c r="M41" t="b">
        <f t="shared" si="5"/>
        <v>0</v>
      </c>
      <c r="N41" t="b">
        <f t="shared" si="6"/>
        <v>0</v>
      </c>
    </row>
    <row r="42" spans="1:14">
      <c r="A42" s="29">
        <v>44602</v>
      </c>
      <c r="B42" s="30">
        <f t="shared" si="0"/>
        <v>2</v>
      </c>
      <c r="C42" s="30">
        <f t="shared" si="3"/>
        <v>10</v>
      </c>
      <c r="D42" s="26">
        <f>MATCH(WEEKDAY(A42),そのた定義!A:A,0)</f>
        <v>6</v>
      </c>
      <c r="E42" s="26" t="str">
        <f t="shared" ca="1" si="7"/>
        <v>木</v>
      </c>
      <c r="F42" s="26">
        <f t="shared" si="4"/>
        <v>0</v>
      </c>
      <c r="G42" s="26">
        <f>IF(ISNA(MATCH(A42,祝日定義!E:E,0)),0,1)</f>
        <v>0</v>
      </c>
      <c r="H42" s="26">
        <f>IF(ISNA(MATCH(B42&amp;"/"&amp;C42,そのた定義!E:E,0)), 0, 1)</f>
        <v>0</v>
      </c>
      <c r="I42" s="26" t="b">
        <f t="shared" si="8"/>
        <v>0</v>
      </c>
      <c r="J42" s="26">
        <v>0</v>
      </c>
      <c r="K42" s="26" t="b">
        <f t="shared" si="1"/>
        <v>0</v>
      </c>
      <c r="L42" s="26" t="b">
        <f t="shared" si="9"/>
        <v>0</v>
      </c>
      <c r="M42" t="b">
        <f t="shared" si="5"/>
        <v>0</v>
      </c>
      <c r="N42" t="b">
        <f t="shared" si="6"/>
        <v>0</v>
      </c>
    </row>
    <row r="43" spans="1:14">
      <c r="A43" s="29">
        <v>44603</v>
      </c>
      <c r="B43" s="30">
        <f t="shared" si="0"/>
        <v>2</v>
      </c>
      <c r="C43" s="30">
        <f t="shared" si="3"/>
        <v>11</v>
      </c>
      <c r="D43" s="26">
        <f>MATCH(WEEKDAY(A43),そのた定義!A:A,0)</f>
        <v>7</v>
      </c>
      <c r="E43" s="31" t="str">
        <f t="shared" ca="1" si="7"/>
        <v>金</v>
      </c>
      <c r="F43" s="26">
        <f t="shared" si="4"/>
        <v>0</v>
      </c>
      <c r="G43" s="26">
        <f>IF(ISNA(MATCH(A43,祝日定義!E:E,0)),0,1)</f>
        <v>1</v>
      </c>
      <c r="H43" s="26">
        <f>IF(ISNA(MATCH(B43&amp;"/"&amp;C43,そのた定義!E:E,0)), 0, 1)</f>
        <v>0</v>
      </c>
      <c r="I43" s="23" t="b">
        <f t="shared" si="8"/>
        <v>1</v>
      </c>
      <c r="J43" s="26">
        <v>0</v>
      </c>
      <c r="K43" s="26" t="b">
        <f t="shared" si="1"/>
        <v>0</v>
      </c>
      <c r="L43" s="26" t="b">
        <f t="shared" si="9"/>
        <v>0</v>
      </c>
      <c r="M43" t="b">
        <f t="shared" si="5"/>
        <v>0</v>
      </c>
      <c r="N43" t="b">
        <f t="shared" si="6"/>
        <v>0</v>
      </c>
    </row>
    <row r="44" spans="1:14">
      <c r="A44" s="29">
        <v>44604</v>
      </c>
      <c r="B44" s="30">
        <f t="shared" si="0"/>
        <v>2</v>
      </c>
      <c r="C44" s="30">
        <f t="shared" si="3"/>
        <v>12</v>
      </c>
      <c r="D44" s="26">
        <f>MATCH(WEEKDAY(A44),そのた定義!A:A,0)</f>
        <v>8</v>
      </c>
      <c r="E44" s="33" t="str">
        <f t="shared" ca="1" si="7"/>
        <v>土</v>
      </c>
      <c r="F44" s="26">
        <f t="shared" si="4"/>
        <v>1</v>
      </c>
      <c r="G44" s="26">
        <f>IF(ISNA(MATCH(A44,祝日定義!E:E,0)),0,1)</f>
        <v>0</v>
      </c>
      <c r="H44" s="26">
        <f>IF(ISNA(MATCH(B44&amp;"/"&amp;C44,そのた定義!E:E,0)), 0, 1)</f>
        <v>0</v>
      </c>
      <c r="I44" s="23" t="b">
        <f t="shared" si="8"/>
        <v>1</v>
      </c>
      <c r="J44" s="26">
        <v>0</v>
      </c>
      <c r="K44" s="26" t="b">
        <f t="shared" si="1"/>
        <v>0</v>
      </c>
      <c r="L44" s="26" t="b">
        <f t="shared" si="9"/>
        <v>0</v>
      </c>
      <c r="M44" t="b">
        <f t="shared" si="5"/>
        <v>0</v>
      </c>
      <c r="N44" t="b">
        <f t="shared" si="6"/>
        <v>0</v>
      </c>
    </row>
    <row r="45" spans="1:14">
      <c r="A45" s="29">
        <v>44605</v>
      </c>
      <c r="B45" s="30">
        <f t="shared" si="0"/>
        <v>2</v>
      </c>
      <c r="C45" s="30">
        <f t="shared" si="3"/>
        <v>13</v>
      </c>
      <c r="D45" s="26">
        <f>MATCH(WEEKDAY(A45),そのた定義!A:A,0)</f>
        <v>2</v>
      </c>
      <c r="E45" s="32" t="str">
        <f t="shared" ca="1" si="7"/>
        <v>日</v>
      </c>
      <c r="F45" s="26">
        <f t="shared" si="4"/>
        <v>1</v>
      </c>
      <c r="G45" s="26">
        <f>IF(ISNA(MATCH(A45,祝日定義!E:E,0)),0,1)</f>
        <v>0</v>
      </c>
      <c r="H45" s="26">
        <f>IF(ISNA(MATCH(B45&amp;"/"&amp;C45,そのた定義!E:E,0)), 0, 1)</f>
        <v>0</v>
      </c>
      <c r="I45" s="23" t="b">
        <f t="shared" si="8"/>
        <v>1</v>
      </c>
      <c r="J45" s="26">
        <v>0</v>
      </c>
      <c r="K45" s="26" t="b">
        <f t="shared" si="1"/>
        <v>0</v>
      </c>
      <c r="L45" s="26" t="b">
        <f t="shared" si="9"/>
        <v>0</v>
      </c>
      <c r="M45" t="b">
        <f t="shared" si="5"/>
        <v>0</v>
      </c>
      <c r="N45" t="b">
        <f t="shared" si="6"/>
        <v>0</v>
      </c>
    </row>
    <row r="46" spans="1:14">
      <c r="A46" s="29">
        <v>44606</v>
      </c>
      <c r="B46" s="30">
        <f t="shared" si="0"/>
        <v>2</v>
      </c>
      <c r="C46" s="30">
        <f t="shared" si="3"/>
        <v>14</v>
      </c>
      <c r="D46" s="26">
        <f>MATCH(WEEKDAY(A46),そのた定義!A:A,0)</f>
        <v>3</v>
      </c>
      <c r="E46" s="26" t="str">
        <f t="shared" ca="1" si="7"/>
        <v>月</v>
      </c>
      <c r="F46" s="26">
        <f t="shared" si="4"/>
        <v>0</v>
      </c>
      <c r="G46" s="26">
        <f>IF(ISNA(MATCH(A46,祝日定義!E:E,0)),0,1)</f>
        <v>0</v>
      </c>
      <c r="H46" s="26">
        <f>IF(ISNA(MATCH(B46&amp;"/"&amp;C46,そのた定義!E:E,0)), 0, 1)</f>
        <v>0</v>
      </c>
      <c r="I46" s="26" t="b">
        <f t="shared" si="8"/>
        <v>0</v>
      </c>
      <c r="J46" s="26">
        <v>3</v>
      </c>
      <c r="K46" s="26" t="b">
        <f t="shared" si="1"/>
        <v>0</v>
      </c>
      <c r="L46" s="26" t="b">
        <f t="shared" si="9"/>
        <v>0</v>
      </c>
      <c r="M46" t="b">
        <f t="shared" si="5"/>
        <v>0</v>
      </c>
      <c r="N46" t="b">
        <f t="shared" si="6"/>
        <v>0</v>
      </c>
    </row>
    <row r="47" spans="1:14">
      <c r="A47" s="29">
        <v>44607</v>
      </c>
      <c r="B47" s="30">
        <f t="shared" si="0"/>
        <v>2</v>
      </c>
      <c r="C47" s="30">
        <f t="shared" si="3"/>
        <v>15</v>
      </c>
      <c r="D47" s="26">
        <f>MATCH(WEEKDAY(A47),そのた定義!A:A,0)</f>
        <v>4</v>
      </c>
      <c r="E47" s="26" t="str">
        <f t="shared" ca="1" si="7"/>
        <v>火</v>
      </c>
      <c r="F47" s="26">
        <f t="shared" si="4"/>
        <v>0</v>
      </c>
      <c r="G47" s="26">
        <f>IF(ISNA(MATCH(A47,祝日定義!E:E,0)),0,1)</f>
        <v>0</v>
      </c>
      <c r="H47" s="26">
        <f>IF(ISNA(MATCH(B47&amp;"/"&amp;C47,そのた定義!E:E,0)), 0, 1)</f>
        <v>0</v>
      </c>
      <c r="I47" s="26" t="b">
        <f t="shared" si="8"/>
        <v>0</v>
      </c>
      <c r="J47" s="26">
        <v>0</v>
      </c>
      <c r="K47" s="26" t="b">
        <f t="shared" si="1"/>
        <v>0</v>
      </c>
      <c r="L47" s="26" t="b">
        <f t="shared" si="9"/>
        <v>0</v>
      </c>
      <c r="M47" t="b">
        <f t="shared" si="5"/>
        <v>0</v>
      </c>
      <c r="N47" t="b">
        <f t="shared" si="6"/>
        <v>0</v>
      </c>
    </row>
    <row r="48" spans="1:14">
      <c r="A48" s="29">
        <v>44608</v>
      </c>
      <c r="B48" s="30">
        <f t="shared" si="0"/>
        <v>2</v>
      </c>
      <c r="C48" s="30">
        <f t="shared" si="3"/>
        <v>16</v>
      </c>
      <c r="D48" s="26">
        <f>MATCH(WEEKDAY(A48),そのた定義!A:A,0)</f>
        <v>5</v>
      </c>
      <c r="E48" s="26" t="str">
        <f t="shared" ca="1" si="7"/>
        <v>水</v>
      </c>
      <c r="F48" s="26">
        <f t="shared" si="4"/>
        <v>0</v>
      </c>
      <c r="G48" s="26">
        <f>IF(ISNA(MATCH(A48,祝日定義!E:E,0)),0,1)</f>
        <v>0</v>
      </c>
      <c r="H48" s="26">
        <f>IF(ISNA(MATCH(B48&amp;"/"&amp;C48,そのた定義!E:E,0)), 0, 1)</f>
        <v>0</v>
      </c>
      <c r="I48" s="26" t="b">
        <f t="shared" si="8"/>
        <v>0</v>
      </c>
      <c r="J48" s="26">
        <v>0</v>
      </c>
      <c r="K48" s="26" t="b">
        <f t="shared" si="1"/>
        <v>0</v>
      </c>
      <c r="L48" s="26" t="b">
        <f t="shared" si="9"/>
        <v>0</v>
      </c>
      <c r="M48" t="b">
        <f t="shared" si="5"/>
        <v>0</v>
      </c>
      <c r="N48" t="b">
        <f t="shared" si="6"/>
        <v>0</v>
      </c>
    </row>
    <row r="49" spans="1:14">
      <c r="A49" s="29">
        <v>44609</v>
      </c>
      <c r="B49" s="30">
        <f t="shared" si="0"/>
        <v>2</v>
      </c>
      <c r="C49" s="30">
        <f t="shared" si="3"/>
        <v>17</v>
      </c>
      <c r="D49" s="26">
        <f>MATCH(WEEKDAY(A49),そのた定義!A:A,0)</f>
        <v>6</v>
      </c>
      <c r="E49" s="26" t="str">
        <f t="shared" ca="1" si="7"/>
        <v>木</v>
      </c>
      <c r="F49" s="26">
        <f t="shared" si="4"/>
        <v>0</v>
      </c>
      <c r="G49" s="26">
        <f>IF(ISNA(MATCH(A49,祝日定義!E:E,0)),0,1)</f>
        <v>0</v>
      </c>
      <c r="H49" s="26">
        <f>IF(ISNA(MATCH(B49&amp;"/"&amp;C49,そのた定義!E:E,0)), 0, 1)</f>
        <v>0</v>
      </c>
      <c r="I49" s="26" t="b">
        <f t="shared" si="8"/>
        <v>0</v>
      </c>
      <c r="J49" s="26">
        <v>0</v>
      </c>
      <c r="K49" s="26" t="b">
        <f t="shared" si="1"/>
        <v>0</v>
      </c>
      <c r="L49" s="26" t="b">
        <f t="shared" si="9"/>
        <v>0</v>
      </c>
      <c r="M49" t="b">
        <f t="shared" si="5"/>
        <v>0</v>
      </c>
      <c r="N49" t="b">
        <f t="shared" si="6"/>
        <v>0</v>
      </c>
    </row>
    <row r="50" spans="1:14">
      <c r="A50" s="29">
        <v>44610</v>
      </c>
      <c r="B50" s="30">
        <f t="shared" si="0"/>
        <v>2</v>
      </c>
      <c r="C50" s="30">
        <f t="shared" si="3"/>
        <v>18</v>
      </c>
      <c r="D50" s="26">
        <f>MATCH(WEEKDAY(A50),そのた定義!A:A,0)</f>
        <v>7</v>
      </c>
      <c r="E50" s="26" t="str">
        <f t="shared" ca="1" si="7"/>
        <v>金</v>
      </c>
      <c r="F50" s="26">
        <f t="shared" si="4"/>
        <v>0</v>
      </c>
      <c r="G50" s="26">
        <f>IF(ISNA(MATCH(A50,祝日定義!E:E,0)),0,1)</f>
        <v>0</v>
      </c>
      <c r="H50" s="26">
        <f>IF(ISNA(MATCH(B50&amp;"/"&amp;C50,そのた定義!E:E,0)), 0, 1)</f>
        <v>0</v>
      </c>
      <c r="I50" s="26" t="b">
        <f t="shared" si="8"/>
        <v>0</v>
      </c>
      <c r="J50" s="26">
        <v>0</v>
      </c>
      <c r="K50" s="26" t="b">
        <f t="shared" si="1"/>
        <v>0</v>
      </c>
      <c r="L50" s="26" t="b">
        <f t="shared" si="9"/>
        <v>0</v>
      </c>
      <c r="M50" t="b">
        <f t="shared" si="5"/>
        <v>0</v>
      </c>
      <c r="N50" t="b">
        <f t="shared" si="6"/>
        <v>0</v>
      </c>
    </row>
    <row r="51" spans="1:14">
      <c r="A51" s="29">
        <v>44611</v>
      </c>
      <c r="B51" s="30">
        <f t="shared" si="0"/>
        <v>2</v>
      </c>
      <c r="C51" s="30">
        <f t="shared" si="3"/>
        <v>19</v>
      </c>
      <c r="D51" s="26">
        <f>MATCH(WEEKDAY(A51),そのた定義!A:A,0)</f>
        <v>8</v>
      </c>
      <c r="E51" s="33" t="str">
        <f t="shared" ca="1" si="7"/>
        <v>土</v>
      </c>
      <c r="F51" s="26">
        <f t="shared" si="4"/>
        <v>1</v>
      </c>
      <c r="G51" s="26">
        <f>IF(ISNA(MATCH(A51,祝日定義!E:E,0)),0,1)</f>
        <v>0</v>
      </c>
      <c r="H51" s="26">
        <f>IF(ISNA(MATCH(B51&amp;"/"&amp;C51,そのた定義!E:E,0)), 0, 1)</f>
        <v>0</v>
      </c>
      <c r="I51" s="23" t="b">
        <f t="shared" si="8"/>
        <v>1</v>
      </c>
      <c r="J51" s="26">
        <v>0</v>
      </c>
      <c r="K51" s="26" t="b">
        <f t="shared" si="1"/>
        <v>0</v>
      </c>
      <c r="L51" s="26" t="b">
        <f t="shared" si="9"/>
        <v>0</v>
      </c>
      <c r="M51" t="b">
        <f t="shared" si="5"/>
        <v>0</v>
      </c>
      <c r="N51" t="b">
        <f t="shared" si="6"/>
        <v>0</v>
      </c>
    </row>
    <row r="52" spans="1:14">
      <c r="A52" s="29">
        <v>44612</v>
      </c>
      <c r="B52" s="30">
        <f t="shared" si="0"/>
        <v>2</v>
      </c>
      <c r="C52" s="30">
        <f t="shared" si="3"/>
        <v>20</v>
      </c>
      <c r="D52" s="26">
        <f>MATCH(WEEKDAY(A52),そのた定義!A:A,0)</f>
        <v>2</v>
      </c>
      <c r="E52" s="32" t="str">
        <f t="shared" ca="1" si="7"/>
        <v>日</v>
      </c>
      <c r="F52" s="26">
        <f t="shared" si="4"/>
        <v>1</v>
      </c>
      <c r="G52" s="26">
        <f>IF(ISNA(MATCH(A52,祝日定義!E:E,0)),0,1)</f>
        <v>0</v>
      </c>
      <c r="H52" s="26">
        <f>IF(ISNA(MATCH(B52&amp;"/"&amp;C52,そのた定義!E:E,0)), 0, 1)</f>
        <v>0</v>
      </c>
      <c r="I52" s="23" t="b">
        <f t="shared" si="8"/>
        <v>1</v>
      </c>
      <c r="J52" s="26">
        <v>0</v>
      </c>
      <c r="K52" s="26" t="b">
        <f t="shared" si="1"/>
        <v>0</v>
      </c>
      <c r="L52" s="26" t="b">
        <f t="shared" si="9"/>
        <v>0</v>
      </c>
      <c r="M52" t="b">
        <f t="shared" si="5"/>
        <v>0</v>
      </c>
      <c r="N52" t="b">
        <f t="shared" si="6"/>
        <v>0</v>
      </c>
    </row>
    <row r="53" spans="1:14">
      <c r="A53" s="29">
        <v>44613</v>
      </c>
      <c r="B53" s="30">
        <f t="shared" si="0"/>
        <v>2</v>
      </c>
      <c r="C53" s="30">
        <f t="shared" si="3"/>
        <v>21</v>
      </c>
      <c r="D53" s="26">
        <f>MATCH(WEEKDAY(A53),そのた定義!A:A,0)</f>
        <v>3</v>
      </c>
      <c r="E53" s="26" t="str">
        <f t="shared" ca="1" si="7"/>
        <v>月</v>
      </c>
      <c r="F53" s="26">
        <f t="shared" si="4"/>
        <v>0</v>
      </c>
      <c r="G53" s="26">
        <f>IF(ISNA(MATCH(A53,祝日定義!E:E,0)),0,1)</f>
        <v>0</v>
      </c>
      <c r="H53" s="26">
        <f>IF(ISNA(MATCH(B53&amp;"/"&amp;C53,そのた定義!E:E,0)), 0, 1)</f>
        <v>0</v>
      </c>
      <c r="I53" s="26" t="b">
        <f t="shared" si="8"/>
        <v>0</v>
      </c>
      <c r="J53" s="26">
        <v>2</v>
      </c>
      <c r="K53" s="26" t="b">
        <f t="shared" si="1"/>
        <v>0</v>
      </c>
      <c r="L53" s="26" t="b">
        <f t="shared" si="9"/>
        <v>0</v>
      </c>
      <c r="M53" t="b">
        <f t="shared" si="5"/>
        <v>0</v>
      </c>
      <c r="N53" t="b">
        <f t="shared" si="6"/>
        <v>0</v>
      </c>
    </row>
    <row r="54" spans="1:14">
      <c r="A54" s="29">
        <v>44614</v>
      </c>
      <c r="B54" s="30">
        <f t="shared" si="0"/>
        <v>2</v>
      </c>
      <c r="C54" s="30">
        <f t="shared" si="3"/>
        <v>22</v>
      </c>
      <c r="D54" s="26">
        <f>MATCH(WEEKDAY(A54),そのた定義!A:A,0)</f>
        <v>4</v>
      </c>
      <c r="E54" s="26" t="str">
        <f t="shared" ca="1" si="7"/>
        <v>火</v>
      </c>
      <c r="F54" s="26">
        <f t="shared" si="4"/>
        <v>0</v>
      </c>
      <c r="G54" s="26">
        <f>IF(ISNA(MATCH(A54,祝日定義!E:E,0)),0,1)</f>
        <v>0</v>
      </c>
      <c r="H54" s="26">
        <f>IF(ISNA(MATCH(B54&amp;"/"&amp;C54,そのた定義!E:E,0)), 0, 1)</f>
        <v>0</v>
      </c>
      <c r="I54" s="26" t="b">
        <f t="shared" si="8"/>
        <v>0</v>
      </c>
      <c r="J54" s="26">
        <v>0</v>
      </c>
      <c r="K54" s="26" t="b">
        <f t="shared" si="1"/>
        <v>0</v>
      </c>
      <c r="L54" s="26" t="b">
        <f t="shared" si="9"/>
        <v>0</v>
      </c>
      <c r="M54" t="b">
        <f t="shared" si="5"/>
        <v>0</v>
      </c>
      <c r="N54" t="b">
        <f t="shared" si="6"/>
        <v>0</v>
      </c>
    </row>
    <row r="55" spans="1:14">
      <c r="A55" s="29">
        <v>44615</v>
      </c>
      <c r="B55" s="30">
        <f t="shared" si="0"/>
        <v>2</v>
      </c>
      <c r="C55" s="30">
        <f t="shared" si="3"/>
        <v>23</v>
      </c>
      <c r="D55" s="26">
        <f>MATCH(WEEKDAY(A55),そのた定義!A:A,0)</f>
        <v>5</v>
      </c>
      <c r="E55" s="31" t="str">
        <f t="shared" ca="1" si="7"/>
        <v>水</v>
      </c>
      <c r="F55" s="26">
        <f t="shared" si="4"/>
        <v>0</v>
      </c>
      <c r="G55" s="26">
        <f>IF(ISNA(MATCH(A55,祝日定義!E:E,0)),0,1)</f>
        <v>1</v>
      </c>
      <c r="H55" s="26">
        <f>IF(ISNA(MATCH(B55&amp;"/"&amp;C55,そのた定義!E:E,0)), 0, 1)</f>
        <v>0</v>
      </c>
      <c r="I55" s="23" t="b">
        <f t="shared" si="8"/>
        <v>1</v>
      </c>
      <c r="J55" s="26">
        <v>0</v>
      </c>
      <c r="K55" s="26" t="b">
        <f t="shared" si="1"/>
        <v>0</v>
      </c>
      <c r="L55" s="26" t="b">
        <f t="shared" si="9"/>
        <v>0</v>
      </c>
      <c r="M55" t="b">
        <f t="shared" si="5"/>
        <v>0</v>
      </c>
      <c r="N55" t="b">
        <f t="shared" si="6"/>
        <v>0</v>
      </c>
    </row>
    <row r="56" spans="1:14">
      <c r="A56" s="29">
        <v>44616</v>
      </c>
      <c r="B56" s="30">
        <f t="shared" si="0"/>
        <v>2</v>
      </c>
      <c r="C56" s="30">
        <f t="shared" si="3"/>
        <v>24</v>
      </c>
      <c r="D56" s="26">
        <f>MATCH(WEEKDAY(A56),そのた定義!A:A,0)</f>
        <v>6</v>
      </c>
      <c r="E56" s="26" t="str">
        <f t="shared" ca="1" si="7"/>
        <v>木</v>
      </c>
      <c r="F56" s="26">
        <f t="shared" si="4"/>
        <v>0</v>
      </c>
      <c r="G56" s="26">
        <f>IF(ISNA(MATCH(A56,祝日定義!E:E,0)),0,1)</f>
        <v>0</v>
      </c>
      <c r="H56" s="26">
        <f>IF(ISNA(MATCH(B56&amp;"/"&amp;C56,そのた定義!E:E,0)), 0, 1)</f>
        <v>0</v>
      </c>
      <c r="I56" s="26" t="b">
        <f t="shared" si="8"/>
        <v>0</v>
      </c>
      <c r="J56" s="26">
        <v>1</v>
      </c>
      <c r="K56" s="26" t="b">
        <f t="shared" si="1"/>
        <v>0</v>
      </c>
      <c r="L56" s="26" t="b">
        <f t="shared" si="9"/>
        <v>0</v>
      </c>
      <c r="M56" t="b">
        <f t="shared" si="5"/>
        <v>0</v>
      </c>
      <c r="N56" t="b">
        <f t="shared" si="6"/>
        <v>0</v>
      </c>
    </row>
    <row r="57" spans="1:14">
      <c r="A57" s="29">
        <v>44617</v>
      </c>
      <c r="B57" s="30">
        <f t="shared" si="0"/>
        <v>2</v>
      </c>
      <c r="C57" s="30">
        <f t="shared" si="3"/>
        <v>25</v>
      </c>
      <c r="D57" s="26">
        <f>MATCH(WEEKDAY(A57),そのた定義!A:A,0)</f>
        <v>7</v>
      </c>
      <c r="E57" s="26" t="str">
        <f t="shared" ca="1" si="7"/>
        <v>金</v>
      </c>
      <c r="F57" s="26">
        <f t="shared" si="4"/>
        <v>0</v>
      </c>
      <c r="G57" s="26">
        <f>IF(ISNA(MATCH(A57,祝日定義!E:E,0)),0,1)</f>
        <v>0</v>
      </c>
      <c r="H57" s="26">
        <f>IF(ISNA(MATCH(B57&amp;"/"&amp;C57,そのた定義!E:E,0)), 0, 1)</f>
        <v>0</v>
      </c>
      <c r="I57" s="26" t="b">
        <f t="shared" si="8"/>
        <v>0</v>
      </c>
      <c r="J57" s="26">
        <v>0</v>
      </c>
      <c r="K57" s="26" t="b">
        <f t="shared" si="1"/>
        <v>0</v>
      </c>
      <c r="L57" s="23" t="b">
        <f t="shared" si="9"/>
        <v>1</v>
      </c>
      <c r="M57" t="b">
        <f t="shared" si="5"/>
        <v>0</v>
      </c>
      <c r="N57" t="b">
        <f t="shared" si="6"/>
        <v>0</v>
      </c>
    </row>
    <row r="58" spans="1:14">
      <c r="A58" s="29">
        <v>44618</v>
      </c>
      <c r="B58" s="30">
        <f t="shared" si="0"/>
        <v>2</v>
      </c>
      <c r="C58" s="30">
        <f t="shared" si="3"/>
        <v>26</v>
      </c>
      <c r="D58" s="26">
        <f>MATCH(WEEKDAY(A58),そのた定義!A:A,0)</f>
        <v>8</v>
      </c>
      <c r="E58" s="33" t="str">
        <f t="shared" ca="1" si="7"/>
        <v>土</v>
      </c>
      <c r="F58" s="26">
        <f t="shared" si="4"/>
        <v>1</v>
      </c>
      <c r="G58" s="26">
        <f>IF(ISNA(MATCH(A58,祝日定義!E:E,0)),0,1)</f>
        <v>0</v>
      </c>
      <c r="H58" s="26">
        <f>IF(ISNA(MATCH(B58&amp;"/"&amp;C58,そのた定義!E:E,0)), 0, 1)</f>
        <v>0</v>
      </c>
      <c r="I58" s="23" t="b">
        <f t="shared" si="8"/>
        <v>1</v>
      </c>
      <c r="J58" s="26">
        <v>0</v>
      </c>
      <c r="K58" s="26" t="b">
        <f t="shared" si="1"/>
        <v>0</v>
      </c>
      <c r="L58" s="26" t="b">
        <f t="shared" si="9"/>
        <v>0</v>
      </c>
      <c r="M58" t="b">
        <f t="shared" si="5"/>
        <v>0</v>
      </c>
      <c r="N58" t="b">
        <f t="shared" si="6"/>
        <v>0</v>
      </c>
    </row>
    <row r="59" spans="1:14">
      <c r="A59" s="29">
        <v>44619</v>
      </c>
      <c r="B59" s="30">
        <f t="shared" si="0"/>
        <v>2</v>
      </c>
      <c r="C59" s="30">
        <f t="shared" si="3"/>
        <v>27</v>
      </c>
      <c r="D59" s="26">
        <f>MATCH(WEEKDAY(A59),そのた定義!A:A,0)</f>
        <v>2</v>
      </c>
      <c r="E59" s="32" t="str">
        <f t="shared" ca="1" si="7"/>
        <v>日</v>
      </c>
      <c r="F59" s="26">
        <f t="shared" si="4"/>
        <v>1</v>
      </c>
      <c r="G59" s="26">
        <f>IF(ISNA(MATCH(A59,祝日定義!E:E,0)),0,1)</f>
        <v>0</v>
      </c>
      <c r="H59" s="26">
        <f>IF(ISNA(MATCH(B59&amp;"/"&amp;C59,そのた定義!E:E,0)), 0, 1)</f>
        <v>0</v>
      </c>
      <c r="I59" s="23" t="b">
        <f t="shared" si="8"/>
        <v>1</v>
      </c>
      <c r="J59" s="26">
        <v>0</v>
      </c>
      <c r="K59" s="26" t="b">
        <f t="shared" si="1"/>
        <v>0</v>
      </c>
      <c r="L59" s="26" t="b">
        <f t="shared" si="9"/>
        <v>0</v>
      </c>
      <c r="M59" t="b">
        <f t="shared" si="5"/>
        <v>0</v>
      </c>
      <c r="N59" t="b">
        <f t="shared" si="6"/>
        <v>0</v>
      </c>
    </row>
    <row r="60" spans="1:14">
      <c r="A60" s="29">
        <v>44620</v>
      </c>
      <c r="B60" s="30">
        <f t="shared" si="0"/>
        <v>2</v>
      </c>
      <c r="C60" s="30">
        <f t="shared" si="3"/>
        <v>28</v>
      </c>
      <c r="D60" s="26">
        <f>MATCH(WEEKDAY(A60),そのた定義!A:A,0)</f>
        <v>3</v>
      </c>
      <c r="E60" s="26" t="str">
        <f t="shared" ca="1" si="7"/>
        <v>月</v>
      </c>
      <c r="F60" s="26">
        <f t="shared" si="4"/>
        <v>0</v>
      </c>
      <c r="G60" s="26">
        <f>IF(ISNA(MATCH(A60,祝日定義!E:E,0)),0,1)</f>
        <v>0</v>
      </c>
      <c r="H60" s="26">
        <f>IF(ISNA(MATCH(B60&amp;"/"&amp;C60,そのた定義!E:E,0)), 0, 1)</f>
        <v>0</v>
      </c>
      <c r="I60" s="26" t="b">
        <f t="shared" si="8"/>
        <v>0</v>
      </c>
      <c r="J60" s="26">
        <v>2</v>
      </c>
      <c r="K60" s="26" t="b">
        <f t="shared" si="1"/>
        <v>0</v>
      </c>
      <c r="L60" s="26" t="b">
        <f t="shared" si="9"/>
        <v>0</v>
      </c>
      <c r="M60" t="b">
        <f t="shared" si="5"/>
        <v>0</v>
      </c>
      <c r="N60" t="b">
        <f t="shared" si="6"/>
        <v>1</v>
      </c>
    </row>
    <row r="61" spans="1:14">
      <c r="A61" s="29">
        <v>44621</v>
      </c>
      <c r="B61" s="30">
        <f t="shared" si="0"/>
        <v>3</v>
      </c>
      <c r="C61" s="30">
        <f t="shared" si="3"/>
        <v>1</v>
      </c>
      <c r="D61" s="26">
        <f>MATCH(WEEKDAY(A61),そのた定義!A:A,0)</f>
        <v>4</v>
      </c>
      <c r="E61" s="26" t="str">
        <f t="shared" ca="1" si="7"/>
        <v>火</v>
      </c>
      <c r="F61" s="26">
        <f t="shared" si="4"/>
        <v>0</v>
      </c>
      <c r="G61" s="26">
        <f>IF(ISNA(MATCH(A61,祝日定義!E:E,0)),0,1)</f>
        <v>0</v>
      </c>
      <c r="H61" s="26">
        <f>IF(ISNA(MATCH(B61&amp;"/"&amp;C61,そのた定義!E:E,0)), 0, 1)</f>
        <v>0</v>
      </c>
      <c r="I61" s="26" t="b">
        <f t="shared" si="8"/>
        <v>0</v>
      </c>
      <c r="J61" s="26">
        <v>0</v>
      </c>
      <c r="K61" s="26" t="b">
        <f t="shared" si="1"/>
        <v>0</v>
      </c>
      <c r="L61" s="26" t="b">
        <f t="shared" si="9"/>
        <v>0</v>
      </c>
      <c r="M61" t="b">
        <f t="shared" si="5"/>
        <v>0</v>
      </c>
      <c r="N61" t="b">
        <f t="shared" si="6"/>
        <v>0</v>
      </c>
    </row>
    <row r="62" spans="1:14">
      <c r="A62" s="29">
        <v>44622</v>
      </c>
      <c r="B62" s="30">
        <f t="shared" si="0"/>
        <v>3</v>
      </c>
      <c r="C62" s="30">
        <f t="shared" si="3"/>
        <v>2</v>
      </c>
      <c r="D62" s="26">
        <f>MATCH(WEEKDAY(A62),そのた定義!A:A,0)</f>
        <v>5</v>
      </c>
      <c r="E62" s="26" t="str">
        <f t="shared" ca="1" si="7"/>
        <v>水</v>
      </c>
      <c r="F62" s="26">
        <f t="shared" si="4"/>
        <v>0</v>
      </c>
      <c r="G62" s="26">
        <f>IF(ISNA(MATCH(A62,祝日定義!E:E,0)),0,1)</f>
        <v>0</v>
      </c>
      <c r="H62" s="26">
        <f>IF(ISNA(MATCH(B62&amp;"/"&amp;C62,そのた定義!E:E,0)), 0, 1)</f>
        <v>0</v>
      </c>
      <c r="I62" s="26" t="b">
        <f t="shared" si="8"/>
        <v>0</v>
      </c>
      <c r="J62" s="26">
        <v>0</v>
      </c>
      <c r="K62" s="26" t="b">
        <f t="shared" si="1"/>
        <v>0</v>
      </c>
      <c r="L62" s="26" t="b">
        <f t="shared" si="9"/>
        <v>0</v>
      </c>
      <c r="M62" t="b">
        <f t="shared" si="5"/>
        <v>0</v>
      </c>
      <c r="N62" t="b">
        <f t="shared" si="6"/>
        <v>0</v>
      </c>
    </row>
    <row r="63" spans="1:14">
      <c r="A63" s="29">
        <v>44623</v>
      </c>
      <c r="B63" s="30">
        <f t="shared" si="0"/>
        <v>3</v>
      </c>
      <c r="C63" s="30">
        <f t="shared" si="3"/>
        <v>3</v>
      </c>
      <c r="D63" s="26">
        <f>MATCH(WEEKDAY(A63),そのた定義!A:A,0)</f>
        <v>6</v>
      </c>
      <c r="E63" s="26" t="str">
        <f t="shared" ca="1" si="7"/>
        <v>木</v>
      </c>
      <c r="F63" s="26">
        <f t="shared" si="4"/>
        <v>0</v>
      </c>
      <c r="G63" s="26">
        <f>IF(ISNA(MATCH(A63,祝日定義!E:E,0)),0,1)</f>
        <v>0</v>
      </c>
      <c r="H63" s="26">
        <f>IF(ISNA(MATCH(B63&amp;"/"&amp;C63,そのた定義!E:E,0)), 0, 1)</f>
        <v>0</v>
      </c>
      <c r="I63" s="26" t="b">
        <f t="shared" si="8"/>
        <v>0</v>
      </c>
      <c r="J63" s="26">
        <v>0</v>
      </c>
      <c r="K63" s="26" t="b">
        <f t="shared" si="1"/>
        <v>0</v>
      </c>
      <c r="L63" s="26" t="b">
        <f t="shared" si="9"/>
        <v>0</v>
      </c>
      <c r="M63" t="b">
        <f t="shared" si="5"/>
        <v>0</v>
      </c>
      <c r="N63" t="b">
        <f t="shared" si="6"/>
        <v>0</v>
      </c>
    </row>
    <row r="64" spans="1:14">
      <c r="A64" s="29">
        <v>44624</v>
      </c>
      <c r="B64" s="30">
        <f t="shared" si="0"/>
        <v>3</v>
      </c>
      <c r="C64" s="30">
        <f t="shared" si="3"/>
        <v>4</v>
      </c>
      <c r="D64" s="26">
        <f>MATCH(WEEKDAY(A64),そのた定義!A:A,0)</f>
        <v>7</v>
      </c>
      <c r="E64" s="26" t="str">
        <f t="shared" ca="1" si="7"/>
        <v>金</v>
      </c>
      <c r="F64" s="26">
        <f t="shared" si="4"/>
        <v>0</v>
      </c>
      <c r="G64" s="26">
        <f>IF(ISNA(MATCH(A64,祝日定義!E:E,0)),0,1)</f>
        <v>0</v>
      </c>
      <c r="H64" s="26">
        <f>IF(ISNA(MATCH(B64&amp;"/"&amp;C64,そのた定義!E:E,0)), 0, 1)</f>
        <v>0</v>
      </c>
      <c r="I64" s="26" t="b">
        <f t="shared" si="8"/>
        <v>0</v>
      </c>
      <c r="J64" s="26">
        <v>0</v>
      </c>
      <c r="K64" s="26" t="b">
        <f t="shared" si="1"/>
        <v>0</v>
      </c>
      <c r="L64" s="26" t="b">
        <f t="shared" si="9"/>
        <v>0</v>
      </c>
      <c r="M64" t="b">
        <f t="shared" si="5"/>
        <v>0</v>
      </c>
      <c r="N64" t="b">
        <f t="shared" si="6"/>
        <v>0</v>
      </c>
    </row>
    <row r="65" spans="1:14">
      <c r="A65" s="29">
        <v>44625</v>
      </c>
      <c r="B65" s="30">
        <f t="shared" si="0"/>
        <v>3</v>
      </c>
      <c r="C65" s="30">
        <f t="shared" si="3"/>
        <v>5</v>
      </c>
      <c r="D65" s="26">
        <f>MATCH(WEEKDAY(A65),そのた定義!A:A,0)</f>
        <v>8</v>
      </c>
      <c r="E65" s="33" t="str">
        <f t="shared" ca="1" si="7"/>
        <v>土</v>
      </c>
      <c r="F65" s="26">
        <f t="shared" si="4"/>
        <v>1</v>
      </c>
      <c r="G65" s="26">
        <f>IF(ISNA(MATCH(A65,祝日定義!E:E,0)),0,1)</f>
        <v>0</v>
      </c>
      <c r="H65" s="26">
        <f>IF(ISNA(MATCH(B65&amp;"/"&amp;C65,そのた定義!E:E,0)), 0, 1)</f>
        <v>0</v>
      </c>
      <c r="I65" s="23" t="b">
        <f t="shared" si="8"/>
        <v>1</v>
      </c>
      <c r="J65" s="26">
        <v>0</v>
      </c>
      <c r="K65" s="26" t="b">
        <f t="shared" si="1"/>
        <v>0</v>
      </c>
      <c r="L65" s="26" t="b">
        <f t="shared" si="9"/>
        <v>0</v>
      </c>
      <c r="M65" t="b">
        <f t="shared" si="5"/>
        <v>0</v>
      </c>
      <c r="N65" t="b">
        <f t="shared" si="6"/>
        <v>0</v>
      </c>
    </row>
    <row r="66" spans="1:14">
      <c r="A66" s="29">
        <v>44626</v>
      </c>
      <c r="B66" s="30">
        <f t="shared" ref="B66:B129" si="10">MONTH(A66)</f>
        <v>3</v>
      </c>
      <c r="C66" s="30">
        <f t="shared" si="3"/>
        <v>6</v>
      </c>
      <c r="D66" s="26">
        <f>MATCH(WEEKDAY(A66),そのた定義!A:A,0)</f>
        <v>2</v>
      </c>
      <c r="E66" s="32" t="str">
        <f t="shared" ca="1" si="7"/>
        <v>日</v>
      </c>
      <c r="F66" s="26">
        <f t="shared" si="4"/>
        <v>1</v>
      </c>
      <c r="G66" s="26">
        <f>IF(ISNA(MATCH(A66,祝日定義!E:E,0)),0,1)</f>
        <v>0</v>
      </c>
      <c r="H66" s="26">
        <f>IF(ISNA(MATCH(B66&amp;"/"&amp;C66,そのた定義!E:E,0)), 0, 1)</f>
        <v>0</v>
      </c>
      <c r="I66" s="23" t="b">
        <f t="shared" si="8"/>
        <v>1</v>
      </c>
      <c r="J66" s="26">
        <v>0</v>
      </c>
      <c r="K66" s="26" t="b">
        <f t="shared" ref="K66:K129" si="11">AND(C66&gt;25,DAY(A66-J66)&lt;=25)</f>
        <v>0</v>
      </c>
      <c r="L66" s="26" t="b">
        <f t="shared" ref="L66:L129" si="12">C66=25</f>
        <v>0</v>
      </c>
      <c r="M66" t="b">
        <f t="shared" si="5"/>
        <v>0</v>
      </c>
      <c r="N66" t="b">
        <f t="shared" si="6"/>
        <v>0</v>
      </c>
    </row>
    <row r="67" spans="1:14">
      <c r="A67" s="29">
        <v>44627</v>
      </c>
      <c r="B67" s="30">
        <f t="shared" si="10"/>
        <v>3</v>
      </c>
      <c r="C67" s="30">
        <f t="shared" ref="C67:C130" si="13">DAY(A67)</f>
        <v>7</v>
      </c>
      <c r="D67" s="26">
        <f>MATCH(WEEKDAY(A67),そのた定義!A:A,0)</f>
        <v>3</v>
      </c>
      <c r="E67" s="26" t="str">
        <f t="shared" ref="E67:E130" ca="1" si="14">INDIRECT("そのた定義!"&amp;"B"&amp;D67)</f>
        <v>月</v>
      </c>
      <c r="F67" s="26">
        <f t="shared" ref="F67:F130" si="15">IF(OR(D67=8,D67=2),1,0)</f>
        <v>0</v>
      </c>
      <c r="G67" s="26">
        <f>IF(ISNA(MATCH(A67,祝日定義!E:E,0)),0,1)</f>
        <v>0</v>
      </c>
      <c r="H67" s="26">
        <f>IF(ISNA(MATCH(B67&amp;"/"&amp;C67,そのた定義!E:E,0)), 0, 1)</f>
        <v>0</v>
      </c>
      <c r="I67" s="26" t="b">
        <f t="shared" ref="I67:I130" si="16">SUM(F67:H67)&gt;0</f>
        <v>0</v>
      </c>
      <c r="J67" s="26">
        <v>2</v>
      </c>
      <c r="K67" s="26" t="b">
        <f t="shared" si="11"/>
        <v>0</v>
      </c>
      <c r="L67" s="26" t="b">
        <f t="shared" si="12"/>
        <v>0</v>
      </c>
      <c r="M67" t="b">
        <f t="shared" ref="M67:M130" si="17">B67&lt;&gt;MONTH(A67-J67)</f>
        <v>0</v>
      </c>
      <c r="N67" t="b">
        <f t="shared" ref="N67:N130" si="18">B67&lt;&gt;MONTH(A67+1)</f>
        <v>0</v>
      </c>
    </row>
    <row r="68" spans="1:14">
      <c r="A68" s="29">
        <v>44628</v>
      </c>
      <c r="B68" s="30">
        <f t="shared" si="10"/>
        <v>3</v>
      </c>
      <c r="C68" s="30">
        <f t="shared" si="13"/>
        <v>8</v>
      </c>
      <c r="D68" s="26">
        <f>MATCH(WEEKDAY(A68),そのた定義!A:A,0)</f>
        <v>4</v>
      </c>
      <c r="E68" s="26" t="str">
        <f t="shared" ca="1" si="14"/>
        <v>火</v>
      </c>
      <c r="F68" s="26">
        <f t="shared" si="15"/>
        <v>0</v>
      </c>
      <c r="G68" s="26">
        <f>IF(ISNA(MATCH(A68,祝日定義!E:E,0)),0,1)</f>
        <v>0</v>
      </c>
      <c r="H68" s="26">
        <f>IF(ISNA(MATCH(B68&amp;"/"&amp;C68,そのた定義!E:E,0)), 0, 1)</f>
        <v>0</v>
      </c>
      <c r="I68" s="26" t="b">
        <f t="shared" si="16"/>
        <v>0</v>
      </c>
      <c r="J68" s="26">
        <v>0</v>
      </c>
      <c r="K68" s="26" t="b">
        <f t="shared" si="11"/>
        <v>0</v>
      </c>
      <c r="L68" s="26" t="b">
        <f t="shared" si="12"/>
        <v>0</v>
      </c>
      <c r="M68" t="b">
        <f t="shared" si="17"/>
        <v>0</v>
      </c>
      <c r="N68" t="b">
        <f t="shared" si="18"/>
        <v>0</v>
      </c>
    </row>
    <row r="69" spans="1:14">
      <c r="A69" s="29">
        <v>44629</v>
      </c>
      <c r="B69" s="30">
        <f t="shared" si="10"/>
        <v>3</v>
      </c>
      <c r="C69" s="30">
        <f t="shared" si="13"/>
        <v>9</v>
      </c>
      <c r="D69" s="26">
        <f>MATCH(WEEKDAY(A69),そのた定義!A:A,0)</f>
        <v>5</v>
      </c>
      <c r="E69" s="26" t="str">
        <f t="shared" ca="1" si="14"/>
        <v>水</v>
      </c>
      <c r="F69" s="26">
        <f t="shared" si="15"/>
        <v>0</v>
      </c>
      <c r="G69" s="26">
        <f>IF(ISNA(MATCH(A69,祝日定義!E:E,0)),0,1)</f>
        <v>0</v>
      </c>
      <c r="H69" s="26">
        <f>IF(ISNA(MATCH(B69&amp;"/"&amp;C69,そのた定義!E:E,0)), 0, 1)</f>
        <v>0</v>
      </c>
      <c r="I69" s="26" t="b">
        <f t="shared" si="16"/>
        <v>0</v>
      </c>
      <c r="J69" s="26">
        <v>0</v>
      </c>
      <c r="K69" s="26" t="b">
        <f t="shared" si="11"/>
        <v>0</v>
      </c>
      <c r="L69" s="26" t="b">
        <f t="shared" si="12"/>
        <v>0</v>
      </c>
      <c r="M69" t="b">
        <f t="shared" si="17"/>
        <v>0</v>
      </c>
      <c r="N69" t="b">
        <f t="shared" si="18"/>
        <v>0</v>
      </c>
    </row>
    <row r="70" spans="1:14">
      <c r="A70" s="29">
        <v>44630</v>
      </c>
      <c r="B70" s="30">
        <f t="shared" si="10"/>
        <v>3</v>
      </c>
      <c r="C70" s="30">
        <f t="shared" si="13"/>
        <v>10</v>
      </c>
      <c r="D70" s="26">
        <f>MATCH(WEEKDAY(A70),そのた定義!A:A,0)</f>
        <v>6</v>
      </c>
      <c r="E70" s="26" t="str">
        <f t="shared" ca="1" si="14"/>
        <v>木</v>
      </c>
      <c r="F70" s="26">
        <f t="shared" si="15"/>
        <v>0</v>
      </c>
      <c r="G70" s="26">
        <f>IF(ISNA(MATCH(A70,祝日定義!E:E,0)),0,1)</f>
        <v>0</v>
      </c>
      <c r="H70" s="26">
        <f>IF(ISNA(MATCH(B70&amp;"/"&amp;C70,そのた定義!E:E,0)), 0, 1)</f>
        <v>0</v>
      </c>
      <c r="I70" s="26" t="b">
        <f t="shared" si="16"/>
        <v>0</v>
      </c>
      <c r="J70" s="26">
        <v>0</v>
      </c>
      <c r="K70" s="26" t="b">
        <f t="shared" si="11"/>
        <v>0</v>
      </c>
      <c r="L70" s="26" t="b">
        <f t="shared" si="12"/>
        <v>0</v>
      </c>
      <c r="M70" t="b">
        <f t="shared" si="17"/>
        <v>0</v>
      </c>
      <c r="N70" t="b">
        <f t="shared" si="18"/>
        <v>0</v>
      </c>
    </row>
    <row r="71" spans="1:14">
      <c r="A71" s="29">
        <v>44631</v>
      </c>
      <c r="B71" s="30">
        <f t="shared" si="10"/>
        <v>3</v>
      </c>
      <c r="C71" s="30">
        <f t="shared" si="13"/>
        <v>11</v>
      </c>
      <c r="D71" s="26">
        <f>MATCH(WEEKDAY(A71),そのた定義!A:A,0)</f>
        <v>7</v>
      </c>
      <c r="E71" s="26" t="str">
        <f t="shared" ca="1" si="14"/>
        <v>金</v>
      </c>
      <c r="F71" s="26">
        <f t="shared" si="15"/>
        <v>0</v>
      </c>
      <c r="G71" s="26">
        <f>IF(ISNA(MATCH(A71,祝日定義!E:E,0)),0,1)</f>
        <v>0</v>
      </c>
      <c r="H71" s="26">
        <f>IF(ISNA(MATCH(B71&amp;"/"&amp;C71,そのた定義!E:E,0)), 0, 1)</f>
        <v>0</v>
      </c>
      <c r="I71" s="26" t="b">
        <f t="shared" si="16"/>
        <v>0</v>
      </c>
      <c r="J71" s="26">
        <v>0</v>
      </c>
      <c r="K71" s="26" t="b">
        <f t="shared" si="11"/>
        <v>0</v>
      </c>
      <c r="L71" s="26" t="b">
        <f t="shared" si="12"/>
        <v>0</v>
      </c>
      <c r="M71" t="b">
        <f t="shared" si="17"/>
        <v>0</v>
      </c>
      <c r="N71" t="b">
        <f t="shared" si="18"/>
        <v>0</v>
      </c>
    </row>
    <row r="72" spans="1:14">
      <c r="A72" s="29">
        <v>44632</v>
      </c>
      <c r="B72" s="30">
        <f t="shared" si="10"/>
        <v>3</v>
      </c>
      <c r="C72" s="30">
        <f t="shared" si="13"/>
        <v>12</v>
      </c>
      <c r="D72" s="26">
        <f>MATCH(WEEKDAY(A72),そのた定義!A:A,0)</f>
        <v>8</v>
      </c>
      <c r="E72" s="33" t="str">
        <f t="shared" ca="1" si="14"/>
        <v>土</v>
      </c>
      <c r="F72" s="26">
        <f t="shared" si="15"/>
        <v>1</v>
      </c>
      <c r="G72" s="26">
        <f>IF(ISNA(MATCH(A72,祝日定義!E:E,0)),0,1)</f>
        <v>0</v>
      </c>
      <c r="H72" s="26">
        <f>IF(ISNA(MATCH(B72&amp;"/"&amp;C72,そのた定義!E:E,0)), 0, 1)</f>
        <v>0</v>
      </c>
      <c r="I72" s="23" t="b">
        <f t="shared" si="16"/>
        <v>1</v>
      </c>
      <c r="J72" s="26">
        <v>0</v>
      </c>
      <c r="K72" s="26" t="b">
        <f t="shared" si="11"/>
        <v>0</v>
      </c>
      <c r="L72" s="26" t="b">
        <f t="shared" si="12"/>
        <v>0</v>
      </c>
      <c r="M72" t="b">
        <f t="shared" si="17"/>
        <v>0</v>
      </c>
      <c r="N72" t="b">
        <f t="shared" si="18"/>
        <v>0</v>
      </c>
    </row>
    <row r="73" spans="1:14">
      <c r="A73" s="29">
        <v>44633</v>
      </c>
      <c r="B73" s="30">
        <f t="shared" si="10"/>
        <v>3</v>
      </c>
      <c r="C73" s="30">
        <f t="shared" si="13"/>
        <v>13</v>
      </c>
      <c r="D73" s="26">
        <f>MATCH(WEEKDAY(A73),そのた定義!A:A,0)</f>
        <v>2</v>
      </c>
      <c r="E73" s="32" t="str">
        <f t="shared" ca="1" si="14"/>
        <v>日</v>
      </c>
      <c r="F73" s="26">
        <f t="shared" si="15"/>
        <v>1</v>
      </c>
      <c r="G73" s="26">
        <f>IF(ISNA(MATCH(A73,祝日定義!E:E,0)),0,1)</f>
        <v>0</v>
      </c>
      <c r="H73" s="26">
        <f>IF(ISNA(MATCH(B73&amp;"/"&amp;C73,そのた定義!E:E,0)), 0, 1)</f>
        <v>0</v>
      </c>
      <c r="I73" s="23" t="b">
        <f t="shared" si="16"/>
        <v>1</v>
      </c>
      <c r="J73" s="26">
        <v>0</v>
      </c>
      <c r="K73" s="26" t="b">
        <f t="shared" si="11"/>
        <v>0</v>
      </c>
      <c r="L73" s="26" t="b">
        <f t="shared" si="12"/>
        <v>0</v>
      </c>
      <c r="M73" t="b">
        <f t="shared" si="17"/>
        <v>0</v>
      </c>
      <c r="N73" t="b">
        <f t="shared" si="18"/>
        <v>0</v>
      </c>
    </row>
    <row r="74" spans="1:14">
      <c r="A74" s="29">
        <v>44634</v>
      </c>
      <c r="B74" s="30">
        <f t="shared" si="10"/>
        <v>3</v>
      </c>
      <c r="C74" s="30">
        <f t="shared" si="13"/>
        <v>14</v>
      </c>
      <c r="D74" s="26">
        <f>MATCH(WEEKDAY(A74),そのた定義!A:A,0)</f>
        <v>3</v>
      </c>
      <c r="E74" s="26" t="str">
        <f t="shared" ca="1" si="14"/>
        <v>月</v>
      </c>
      <c r="F74" s="26">
        <f t="shared" si="15"/>
        <v>0</v>
      </c>
      <c r="G74" s="26">
        <f>IF(ISNA(MATCH(A74,祝日定義!E:E,0)),0,1)</f>
        <v>0</v>
      </c>
      <c r="H74" s="26">
        <f>IF(ISNA(MATCH(B74&amp;"/"&amp;C74,そのた定義!E:E,0)), 0, 1)</f>
        <v>0</v>
      </c>
      <c r="I74" s="26" t="b">
        <f t="shared" si="16"/>
        <v>0</v>
      </c>
      <c r="J74" s="26">
        <v>2</v>
      </c>
      <c r="K74" s="26" t="b">
        <f t="shared" si="11"/>
        <v>0</v>
      </c>
      <c r="L74" s="26" t="b">
        <f t="shared" si="12"/>
        <v>0</v>
      </c>
      <c r="M74" t="b">
        <f t="shared" si="17"/>
        <v>0</v>
      </c>
      <c r="N74" t="b">
        <f t="shared" si="18"/>
        <v>0</v>
      </c>
    </row>
    <row r="75" spans="1:14">
      <c r="A75" s="29">
        <v>44635</v>
      </c>
      <c r="B75" s="30">
        <f t="shared" si="10"/>
        <v>3</v>
      </c>
      <c r="C75" s="30">
        <f t="shared" si="13"/>
        <v>15</v>
      </c>
      <c r="D75" s="26">
        <f>MATCH(WEEKDAY(A75),そのた定義!A:A,0)</f>
        <v>4</v>
      </c>
      <c r="E75" s="26" t="str">
        <f t="shared" ca="1" si="14"/>
        <v>火</v>
      </c>
      <c r="F75" s="26">
        <f t="shared" si="15"/>
        <v>0</v>
      </c>
      <c r="G75" s="26">
        <f>IF(ISNA(MATCH(A75,祝日定義!E:E,0)),0,1)</f>
        <v>0</v>
      </c>
      <c r="H75" s="26">
        <f>IF(ISNA(MATCH(B75&amp;"/"&amp;C75,そのた定義!E:E,0)), 0, 1)</f>
        <v>0</v>
      </c>
      <c r="I75" s="26" t="b">
        <f t="shared" si="16"/>
        <v>0</v>
      </c>
      <c r="J75" s="26">
        <v>0</v>
      </c>
      <c r="K75" s="26" t="b">
        <f t="shared" si="11"/>
        <v>0</v>
      </c>
      <c r="L75" s="26" t="b">
        <f t="shared" si="12"/>
        <v>0</v>
      </c>
      <c r="M75" t="b">
        <f t="shared" si="17"/>
        <v>0</v>
      </c>
      <c r="N75" t="b">
        <f t="shared" si="18"/>
        <v>0</v>
      </c>
    </row>
    <row r="76" spans="1:14">
      <c r="A76" s="29">
        <v>44636</v>
      </c>
      <c r="B76" s="30">
        <f t="shared" si="10"/>
        <v>3</v>
      </c>
      <c r="C76" s="30">
        <f t="shared" si="13"/>
        <v>16</v>
      </c>
      <c r="D76" s="26">
        <f>MATCH(WEEKDAY(A76),そのた定義!A:A,0)</f>
        <v>5</v>
      </c>
      <c r="E76" s="26" t="str">
        <f t="shared" ca="1" si="14"/>
        <v>水</v>
      </c>
      <c r="F76" s="26">
        <f t="shared" si="15"/>
        <v>0</v>
      </c>
      <c r="G76" s="26">
        <f>IF(ISNA(MATCH(A76,祝日定義!E:E,0)),0,1)</f>
        <v>0</v>
      </c>
      <c r="H76" s="26">
        <f>IF(ISNA(MATCH(B76&amp;"/"&amp;C76,そのた定義!E:E,0)), 0, 1)</f>
        <v>0</v>
      </c>
      <c r="I76" s="26" t="b">
        <f t="shared" si="16"/>
        <v>0</v>
      </c>
      <c r="J76" s="26">
        <v>0</v>
      </c>
      <c r="K76" s="26" t="b">
        <f t="shared" si="11"/>
        <v>0</v>
      </c>
      <c r="L76" s="26" t="b">
        <f t="shared" si="12"/>
        <v>0</v>
      </c>
      <c r="M76" t="b">
        <f t="shared" si="17"/>
        <v>0</v>
      </c>
      <c r="N76" t="b">
        <f t="shared" si="18"/>
        <v>0</v>
      </c>
    </row>
    <row r="77" spans="1:14">
      <c r="A77" s="29">
        <v>44637</v>
      </c>
      <c r="B77" s="30">
        <f t="shared" si="10"/>
        <v>3</v>
      </c>
      <c r="C77" s="30">
        <f t="shared" si="13"/>
        <v>17</v>
      </c>
      <c r="D77" s="26">
        <f>MATCH(WEEKDAY(A77),そのた定義!A:A,0)</f>
        <v>6</v>
      </c>
      <c r="E77" s="26" t="str">
        <f t="shared" ca="1" si="14"/>
        <v>木</v>
      </c>
      <c r="F77" s="26">
        <f t="shared" si="15"/>
        <v>0</v>
      </c>
      <c r="G77" s="26">
        <f>IF(ISNA(MATCH(A77,祝日定義!E:E,0)),0,1)</f>
        <v>0</v>
      </c>
      <c r="H77" s="26">
        <f>IF(ISNA(MATCH(B77&amp;"/"&amp;C77,そのた定義!E:E,0)), 0, 1)</f>
        <v>0</v>
      </c>
      <c r="I77" s="26" t="b">
        <f t="shared" si="16"/>
        <v>0</v>
      </c>
      <c r="J77" s="26">
        <v>0</v>
      </c>
      <c r="K77" s="26" t="b">
        <f t="shared" si="11"/>
        <v>0</v>
      </c>
      <c r="L77" s="26" t="b">
        <f t="shared" si="12"/>
        <v>0</v>
      </c>
      <c r="M77" t="b">
        <f t="shared" si="17"/>
        <v>0</v>
      </c>
      <c r="N77" t="b">
        <f t="shared" si="18"/>
        <v>0</v>
      </c>
    </row>
    <row r="78" spans="1:14">
      <c r="A78" s="29">
        <v>44638</v>
      </c>
      <c r="B78" s="30">
        <f t="shared" si="10"/>
        <v>3</v>
      </c>
      <c r="C78" s="30">
        <f t="shared" si="13"/>
        <v>18</v>
      </c>
      <c r="D78" s="26">
        <f>MATCH(WEEKDAY(A78),そのた定義!A:A,0)</f>
        <v>7</v>
      </c>
      <c r="E78" s="26" t="str">
        <f t="shared" ca="1" si="14"/>
        <v>金</v>
      </c>
      <c r="F78" s="26">
        <f t="shared" si="15"/>
        <v>0</v>
      </c>
      <c r="G78" s="26">
        <f>IF(ISNA(MATCH(A78,祝日定義!E:E,0)),0,1)</f>
        <v>0</v>
      </c>
      <c r="H78" s="26">
        <f>IF(ISNA(MATCH(B78&amp;"/"&amp;C78,そのた定義!E:E,0)), 0, 1)</f>
        <v>0</v>
      </c>
      <c r="I78" s="26" t="b">
        <f t="shared" si="16"/>
        <v>0</v>
      </c>
      <c r="J78" s="26">
        <v>0</v>
      </c>
      <c r="K78" s="26" t="b">
        <f t="shared" si="11"/>
        <v>0</v>
      </c>
      <c r="L78" s="26" t="b">
        <f t="shared" si="12"/>
        <v>0</v>
      </c>
      <c r="M78" t="b">
        <f t="shared" si="17"/>
        <v>0</v>
      </c>
      <c r="N78" t="b">
        <f t="shared" si="18"/>
        <v>0</v>
      </c>
    </row>
    <row r="79" spans="1:14">
      <c r="A79" s="29">
        <v>44639</v>
      </c>
      <c r="B79" s="30">
        <f t="shared" si="10"/>
        <v>3</v>
      </c>
      <c r="C79" s="30">
        <f t="shared" si="13"/>
        <v>19</v>
      </c>
      <c r="D79" s="26">
        <f>MATCH(WEEKDAY(A79),そのた定義!A:A,0)</f>
        <v>8</v>
      </c>
      <c r="E79" s="33" t="str">
        <f t="shared" ca="1" si="14"/>
        <v>土</v>
      </c>
      <c r="F79" s="26">
        <f t="shared" si="15"/>
        <v>1</v>
      </c>
      <c r="G79" s="26">
        <f>IF(ISNA(MATCH(A79,祝日定義!E:E,0)),0,1)</f>
        <v>0</v>
      </c>
      <c r="H79" s="26">
        <f>IF(ISNA(MATCH(B79&amp;"/"&amp;C79,そのた定義!E:E,0)), 0, 1)</f>
        <v>0</v>
      </c>
      <c r="I79" s="23" t="b">
        <f t="shared" si="16"/>
        <v>1</v>
      </c>
      <c r="J79" s="26">
        <v>0</v>
      </c>
      <c r="K79" s="26" t="b">
        <f t="shared" si="11"/>
        <v>0</v>
      </c>
      <c r="L79" s="26" t="b">
        <f t="shared" si="12"/>
        <v>0</v>
      </c>
      <c r="M79" t="b">
        <f t="shared" si="17"/>
        <v>0</v>
      </c>
      <c r="N79" t="b">
        <f t="shared" si="18"/>
        <v>0</v>
      </c>
    </row>
    <row r="80" spans="1:14">
      <c r="A80" s="29">
        <v>44640</v>
      </c>
      <c r="B80" s="30">
        <f t="shared" si="10"/>
        <v>3</v>
      </c>
      <c r="C80" s="30">
        <f t="shared" si="13"/>
        <v>20</v>
      </c>
      <c r="D80" s="26">
        <f>MATCH(WEEKDAY(A80),そのた定義!A:A,0)</f>
        <v>2</v>
      </c>
      <c r="E80" s="32" t="str">
        <f t="shared" ca="1" si="14"/>
        <v>日</v>
      </c>
      <c r="F80" s="26">
        <f t="shared" si="15"/>
        <v>1</v>
      </c>
      <c r="G80" s="26">
        <f>IF(ISNA(MATCH(A80,祝日定義!E:E,0)),0,1)</f>
        <v>0</v>
      </c>
      <c r="H80" s="26">
        <f>IF(ISNA(MATCH(B80&amp;"/"&amp;C80,そのた定義!E:E,0)), 0, 1)</f>
        <v>0</v>
      </c>
      <c r="I80" s="23" t="b">
        <f t="shared" si="16"/>
        <v>1</v>
      </c>
      <c r="J80" s="26">
        <v>0</v>
      </c>
      <c r="K80" s="26" t="b">
        <f t="shared" si="11"/>
        <v>0</v>
      </c>
      <c r="L80" s="26" t="b">
        <f t="shared" si="12"/>
        <v>0</v>
      </c>
      <c r="M80" t="b">
        <f t="shared" si="17"/>
        <v>0</v>
      </c>
      <c r="N80" t="b">
        <f t="shared" si="18"/>
        <v>0</v>
      </c>
    </row>
    <row r="81" spans="1:14">
      <c r="A81" s="29">
        <v>44641</v>
      </c>
      <c r="B81" s="30">
        <f t="shared" si="10"/>
        <v>3</v>
      </c>
      <c r="C81" s="30">
        <f t="shared" si="13"/>
        <v>21</v>
      </c>
      <c r="D81" s="26">
        <f>MATCH(WEEKDAY(A81),そのた定義!A:A,0)</f>
        <v>3</v>
      </c>
      <c r="E81" s="31" t="str">
        <f t="shared" ca="1" si="14"/>
        <v>月</v>
      </c>
      <c r="F81" s="26">
        <f t="shared" si="15"/>
        <v>0</v>
      </c>
      <c r="G81" s="26">
        <f>IF(ISNA(MATCH(A81,祝日定義!E:E,0)),0,1)</f>
        <v>1</v>
      </c>
      <c r="H81" s="26">
        <f>IF(ISNA(MATCH(B81&amp;"/"&amp;C81,そのた定義!E:E,0)), 0, 1)</f>
        <v>0</v>
      </c>
      <c r="I81" s="23" t="b">
        <f t="shared" si="16"/>
        <v>1</v>
      </c>
      <c r="J81" s="26">
        <v>0</v>
      </c>
      <c r="K81" s="26" t="b">
        <f t="shared" si="11"/>
        <v>0</v>
      </c>
      <c r="L81" s="26" t="b">
        <f t="shared" si="12"/>
        <v>0</v>
      </c>
      <c r="M81" t="b">
        <f t="shared" si="17"/>
        <v>0</v>
      </c>
      <c r="N81" t="b">
        <f t="shared" si="18"/>
        <v>0</v>
      </c>
    </row>
    <row r="82" spans="1:14">
      <c r="A82" s="29">
        <v>44642</v>
      </c>
      <c r="B82" s="30">
        <f t="shared" si="10"/>
        <v>3</v>
      </c>
      <c r="C82" s="30">
        <f t="shared" si="13"/>
        <v>22</v>
      </c>
      <c r="D82" s="26">
        <f>MATCH(WEEKDAY(A82),そのた定義!A:A,0)</f>
        <v>4</v>
      </c>
      <c r="E82" s="26" t="str">
        <f t="shared" ca="1" si="14"/>
        <v>火</v>
      </c>
      <c r="F82" s="26">
        <f t="shared" si="15"/>
        <v>0</v>
      </c>
      <c r="G82" s="26">
        <f>IF(ISNA(MATCH(A82,祝日定義!E:E,0)),0,1)</f>
        <v>0</v>
      </c>
      <c r="H82" s="26">
        <f>IF(ISNA(MATCH(B82&amp;"/"&amp;C82,そのた定義!E:E,0)), 0, 1)</f>
        <v>0</v>
      </c>
      <c r="I82" s="26" t="b">
        <f t="shared" si="16"/>
        <v>0</v>
      </c>
      <c r="J82" s="26">
        <v>3</v>
      </c>
      <c r="K82" s="26" t="b">
        <f t="shared" si="11"/>
        <v>0</v>
      </c>
      <c r="L82" s="26" t="b">
        <f t="shared" si="12"/>
        <v>0</v>
      </c>
      <c r="M82" t="b">
        <f t="shared" si="17"/>
        <v>0</v>
      </c>
      <c r="N82" t="b">
        <f t="shared" si="18"/>
        <v>0</v>
      </c>
    </row>
    <row r="83" spans="1:14">
      <c r="A83" s="29">
        <v>44643</v>
      </c>
      <c r="B83" s="30">
        <f t="shared" si="10"/>
        <v>3</v>
      </c>
      <c r="C83" s="30">
        <f t="shared" si="13"/>
        <v>23</v>
      </c>
      <c r="D83" s="26">
        <f>MATCH(WEEKDAY(A83),そのた定義!A:A,0)</f>
        <v>5</v>
      </c>
      <c r="E83" s="26" t="str">
        <f t="shared" ca="1" si="14"/>
        <v>水</v>
      </c>
      <c r="F83" s="26">
        <f t="shared" si="15"/>
        <v>0</v>
      </c>
      <c r="G83" s="26">
        <f>IF(ISNA(MATCH(A83,祝日定義!E:E,0)),0,1)</f>
        <v>0</v>
      </c>
      <c r="H83" s="26">
        <f>IF(ISNA(MATCH(B83&amp;"/"&amp;C83,そのた定義!E:E,0)), 0, 1)</f>
        <v>0</v>
      </c>
      <c r="I83" s="26" t="b">
        <f t="shared" si="16"/>
        <v>0</v>
      </c>
      <c r="J83" s="26">
        <v>0</v>
      </c>
      <c r="K83" s="26" t="b">
        <f t="shared" si="11"/>
        <v>0</v>
      </c>
      <c r="L83" s="26" t="b">
        <f t="shared" si="12"/>
        <v>0</v>
      </c>
      <c r="M83" t="b">
        <f t="shared" si="17"/>
        <v>0</v>
      </c>
      <c r="N83" t="b">
        <f t="shared" si="18"/>
        <v>0</v>
      </c>
    </row>
    <row r="84" spans="1:14">
      <c r="A84" s="29">
        <v>44644</v>
      </c>
      <c r="B84" s="30">
        <f t="shared" si="10"/>
        <v>3</v>
      </c>
      <c r="C84" s="30">
        <f t="shared" si="13"/>
        <v>24</v>
      </c>
      <c r="D84" s="26">
        <f>MATCH(WEEKDAY(A84),そのた定義!A:A,0)</f>
        <v>6</v>
      </c>
      <c r="E84" s="26" t="str">
        <f t="shared" ca="1" si="14"/>
        <v>木</v>
      </c>
      <c r="F84" s="26">
        <f t="shared" si="15"/>
        <v>0</v>
      </c>
      <c r="G84" s="26">
        <f>IF(ISNA(MATCH(A84,祝日定義!E:E,0)),0,1)</f>
        <v>0</v>
      </c>
      <c r="H84" s="26">
        <f>IF(ISNA(MATCH(B84&amp;"/"&amp;C84,そのた定義!E:E,0)), 0, 1)</f>
        <v>0</v>
      </c>
      <c r="I84" s="26" t="b">
        <f t="shared" si="16"/>
        <v>0</v>
      </c>
      <c r="J84" s="26">
        <v>0</v>
      </c>
      <c r="K84" s="26" t="b">
        <f t="shared" si="11"/>
        <v>0</v>
      </c>
      <c r="L84" s="26" t="b">
        <f t="shared" si="12"/>
        <v>0</v>
      </c>
      <c r="M84" t="b">
        <f t="shared" si="17"/>
        <v>0</v>
      </c>
      <c r="N84" t="b">
        <f t="shared" si="18"/>
        <v>0</v>
      </c>
    </row>
    <row r="85" spans="1:14">
      <c r="A85" s="29">
        <v>44645</v>
      </c>
      <c r="B85" s="30">
        <f t="shared" si="10"/>
        <v>3</v>
      </c>
      <c r="C85" s="30">
        <f t="shared" si="13"/>
        <v>25</v>
      </c>
      <c r="D85" s="26">
        <f>MATCH(WEEKDAY(A85),そのた定義!A:A,0)</f>
        <v>7</v>
      </c>
      <c r="E85" s="26" t="str">
        <f t="shared" ca="1" si="14"/>
        <v>金</v>
      </c>
      <c r="F85" s="26">
        <f t="shared" si="15"/>
        <v>0</v>
      </c>
      <c r="G85" s="26">
        <f>IF(ISNA(MATCH(A85,祝日定義!E:E,0)),0,1)</f>
        <v>0</v>
      </c>
      <c r="H85" s="26">
        <f>IF(ISNA(MATCH(B85&amp;"/"&amp;C85,そのた定義!E:E,0)), 0, 1)</f>
        <v>0</v>
      </c>
      <c r="I85" s="26" t="b">
        <f t="shared" si="16"/>
        <v>0</v>
      </c>
      <c r="J85" s="26">
        <v>0</v>
      </c>
      <c r="K85" s="26" t="b">
        <f t="shared" si="11"/>
        <v>0</v>
      </c>
      <c r="L85" s="23" t="b">
        <f t="shared" si="12"/>
        <v>1</v>
      </c>
      <c r="M85" t="b">
        <f t="shared" si="17"/>
        <v>0</v>
      </c>
      <c r="N85" t="b">
        <f t="shared" si="18"/>
        <v>0</v>
      </c>
    </row>
    <row r="86" spans="1:14">
      <c r="A86" s="29">
        <v>44646</v>
      </c>
      <c r="B86" s="30">
        <f t="shared" si="10"/>
        <v>3</v>
      </c>
      <c r="C86" s="30">
        <f t="shared" si="13"/>
        <v>26</v>
      </c>
      <c r="D86" s="26">
        <f>MATCH(WEEKDAY(A86),そのた定義!A:A,0)</f>
        <v>8</v>
      </c>
      <c r="E86" s="33" t="str">
        <f t="shared" ca="1" si="14"/>
        <v>土</v>
      </c>
      <c r="F86" s="26">
        <f t="shared" si="15"/>
        <v>1</v>
      </c>
      <c r="G86" s="26">
        <f>IF(ISNA(MATCH(A86,祝日定義!E:E,0)),0,1)</f>
        <v>0</v>
      </c>
      <c r="H86" s="26">
        <f>IF(ISNA(MATCH(B86&amp;"/"&amp;C86,そのた定義!E:E,0)), 0, 1)</f>
        <v>0</v>
      </c>
      <c r="I86" s="23" t="b">
        <f t="shared" si="16"/>
        <v>1</v>
      </c>
      <c r="J86" s="26">
        <v>0</v>
      </c>
      <c r="K86" s="26" t="b">
        <f t="shared" si="11"/>
        <v>0</v>
      </c>
      <c r="L86" s="26" t="b">
        <f t="shared" si="12"/>
        <v>0</v>
      </c>
      <c r="M86" t="b">
        <f t="shared" si="17"/>
        <v>0</v>
      </c>
      <c r="N86" t="b">
        <f t="shared" si="18"/>
        <v>0</v>
      </c>
    </row>
    <row r="87" spans="1:14">
      <c r="A87" s="29">
        <v>44647</v>
      </c>
      <c r="B87" s="30">
        <f t="shared" si="10"/>
        <v>3</v>
      </c>
      <c r="C87" s="30">
        <f t="shared" si="13"/>
        <v>27</v>
      </c>
      <c r="D87" s="26">
        <f>MATCH(WEEKDAY(A87),そのた定義!A:A,0)</f>
        <v>2</v>
      </c>
      <c r="E87" s="32" t="str">
        <f t="shared" ca="1" si="14"/>
        <v>日</v>
      </c>
      <c r="F87" s="26">
        <f t="shared" si="15"/>
        <v>1</v>
      </c>
      <c r="G87" s="26">
        <f>IF(ISNA(MATCH(A87,祝日定義!E:E,0)),0,1)</f>
        <v>0</v>
      </c>
      <c r="H87" s="26">
        <f>IF(ISNA(MATCH(B87&amp;"/"&amp;C87,そのた定義!E:E,0)), 0, 1)</f>
        <v>0</v>
      </c>
      <c r="I87" s="23" t="b">
        <f t="shared" si="16"/>
        <v>1</v>
      </c>
      <c r="J87" s="26">
        <v>0</v>
      </c>
      <c r="K87" s="26" t="b">
        <f t="shared" si="11"/>
        <v>0</v>
      </c>
      <c r="L87" s="26" t="b">
        <f t="shared" si="12"/>
        <v>0</v>
      </c>
      <c r="M87" t="b">
        <f t="shared" si="17"/>
        <v>0</v>
      </c>
      <c r="N87" t="b">
        <f t="shared" si="18"/>
        <v>0</v>
      </c>
    </row>
    <row r="88" spans="1:14">
      <c r="A88" s="29">
        <v>44648</v>
      </c>
      <c r="B88" s="30">
        <f t="shared" si="10"/>
        <v>3</v>
      </c>
      <c r="C88" s="30">
        <f t="shared" si="13"/>
        <v>28</v>
      </c>
      <c r="D88" s="26">
        <f>MATCH(WEEKDAY(A88),そのた定義!A:A,0)</f>
        <v>3</v>
      </c>
      <c r="E88" s="26" t="str">
        <f t="shared" ca="1" si="14"/>
        <v>月</v>
      </c>
      <c r="F88" s="26">
        <f t="shared" si="15"/>
        <v>0</v>
      </c>
      <c r="G88" s="26">
        <f>IF(ISNA(MATCH(A88,祝日定義!E:E,0)),0,1)</f>
        <v>0</v>
      </c>
      <c r="H88" s="26">
        <f>IF(ISNA(MATCH(B88&amp;"/"&amp;C88,そのた定義!E:E,0)), 0, 1)</f>
        <v>0</v>
      </c>
      <c r="I88" s="26" t="b">
        <f t="shared" si="16"/>
        <v>0</v>
      </c>
      <c r="J88" s="26">
        <v>2</v>
      </c>
      <c r="K88" s="26" t="b">
        <f t="shared" si="11"/>
        <v>0</v>
      </c>
      <c r="L88" s="26" t="b">
        <f t="shared" si="12"/>
        <v>0</v>
      </c>
      <c r="M88" t="b">
        <f t="shared" si="17"/>
        <v>0</v>
      </c>
      <c r="N88" t="b">
        <f t="shared" si="18"/>
        <v>0</v>
      </c>
    </row>
    <row r="89" spans="1:14">
      <c r="A89" s="29">
        <v>44649</v>
      </c>
      <c r="B89" s="30">
        <f t="shared" si="10"/>
        <v>3</v>
      </c>
      <c r="C89" s="30">
        <f t="shared" si="13"/>
        <v>29</v>
      </c>
      <c r="D89" s="26">
        <f>MATCH(WEEKDAY(A89),そのた定義!A:A,0)</f>
        <v>4</v>
      </c>
      <c r="E89" s="26" t="str">
        <f t="shared" ca="1" si="14"/>
        <v>火</v>
      </c>
      <c r="F89" s="26">
        <f t="shared" si="15"/>
        <v>0</v>
      </c>
      <c r="G89" s="26">
        <f>IF(ISNA(MATCH(A89,祝日定義!E:E,0)),0,1)</f>
        <v>0</v>
      </c>
      <c r="H89" s="26">
        <f>IF(ISNA(MATCH(B89&amp;"/"&amp;C89,そのた定義!E:E,0)), 0, 1)</f>
        <v>0</v>
      </c>
      <c r="I89" s="26" t="b">
        <f t="shared" si="16"/>
        <v>0</v>
      </c>
      <c r="J89" s="26">
        <v>0</v>
      </c>
      <c r="K89" s="26" t="b">
        <f t="shared" si="11"/>
        <v>0</v>
      </c>
      <c r="L89" s="26" t="b">
        <f t="shared" si="12"/>
        <v>0</v>
      </c>
      <c r="M89" t="b">
        <f t="shared" si="17"/>
        <v>0</v>
      </c>
      <c r="N89" t="b">
        <f t="shared" si="18"/>
        <v>0</v>
      </c>
    </row>
    <row r="90" spans="1:14">
      <c r="A90" s="29">
        <v>44650</v>
      </c>
      <c r="B90" s="30">
        <f t="shared" si="10"/>
        <v>3</v>
      </c>
      <c r="C90" s="30">
        <f t="shared" si="13"/>
        <v>30</v>
      </c>
      <c r="D90" s="26">
        <f>MATCH(WEEKDAY(A90),そのた定義!A:A,0)</f>
        <v>5</v>
      </c>
      <c r="E90" s="26" t="str">
        <f t="shared" ca="1" si="14"/>
        <v>水</v>
      </c>
      <c r="F90" s="26">
        <f t="shared" si="15"/>
        <v>0</v>
      </c>
      <c r="G90" s="26">
        <f>IF(ISNA(MATCH(A90,祝日定義!E:E,0)),0,1)</f>
        <v>0</v>
      </c>
      <c r="H90" s="26">
        <f>IF(ISNA(MATCH(B90&amp;"/"&amp;C90,そのた定義!E:E,0)), 0, 1)</f>
        <v>0</v>
      </c>
      <c r="I90" s="26" t="b">
        <f t="shared" si="16"/>
        <v>0</v>
      </c>
      <c r="J90" s="26">
        <v>0</v>
      </c>
      <c r="K90" s="26" t="b">
        <f t="shared" si="11"/>
        <v>0</v>
      </c>
      <c r="L90" s="26" t="b">
        <f t="shared" si="12"/>
        <v>0</v>
      </c>
      <c r="M90" t="b">
        <f t="shared" si="17"/>
        <v>0</v>
      </c>
      <c r="N90" t="b">
        <f t="shared" si="18"/>
        <v>0</v>
      </c>
    </row>
    <row r="91" spans="1:14">
      <c r="A91" s="29">
        <v>44651</v>
      </c>
      <c r="B91" s="30">
        <f t="shared" si="10"/>
        <v>3</v>
      </c>
      <c r="C91" s="30">
        <f t="shared" si="13"/>
        <v>31</v>
      </c>
      <c r="D91" s="26">
        <f>MATCH(WEEKDAY(A91),そのた定義!A:A,0)</f>
        <v>6</v>
      </c>
      <c r="E91" s="26" t="str">
        <f t="shared" ca="1" si="14"/>
        <v>木</v>
      </c>
      <c r="F91" s="26">
        <f t="shared" si="15"/>
        <v>0</v>
      </c>
      <c r="G91" s="26">
        <f>IF(ISNA(MATCH(A91,祝日定義!E:E,0)),0,1)</f>
        <v>0</v>
      </c>
      <c r="H91" s="26">
        <f>IF(ISNA(MATCH(B91&amp;"/"&amp;C91,そのた定義!E:E,0)), 0, 1)</f>
        <v>0</v>
      </c>
      <c r="I91" s="26" t="b">
        <f t="shared" si="16"/>
        <v>0</v>
      </c>
      <c r="J91" s="26">
        <v>0</v>
      </c>
      <c r="K91" s="26" t="b">
        <f t="shared" si="11"/>
        <v>0</v>
      </c>
      <c r="L91" s="26" t="b">
        <f t="shared" si="12"/>
        <v>0</v>
      </c>
      <c r="M91" t="b">
        <f t="shared" si="17"/>
        <v>0</v>
      </c>
      <c r="N91" t="b">
        <f t="shared" si="18"/>
        <v>1</v>
      </c>
    </row>
    <row r="92" spans="1:14">
      <c r="A92" s="29">
        <v>44652</v>
      </c>
      <c r="B92" s="30">
        <f t="shared" si="10"/>
        <v>4</v>
      </c>
      <c r="C92" s="30">
        <f t="shared" si="13"/>
        <v>1</v>
      </c>
      <c r="D92" s="26">
        <f>MATCH(WEEKDAY(A92),そのた定義!A:A,0)</f>
        <v>7</v>
      </c>
      <c r="E92" s="26" t="str">
        <f t="shared" ca="1" si="14"/>
        <v>金</v>
      </c>
      <c r="F92" s="26">
        <f t="shared" si="15"/>
        <v>0</v>
      </c>
      <c r="G92" s="26">
        <f>IF(ISNA(MATCH(A92,祝日定義!E:E,0)),0,1)</f>
        <v>0</v>
      </c>
      <c r="H92" s="26">
        <f>IF(ISNA(MATCH(B92&amp;"/"&amp;C92,そのた定義!E:E,0)), 0, 1)</f>
        <v>0</v>
      </c>
      <c r="I92" s="26" t="b">
        <f t="shared" si="16"/>
        <v>0</v>
      </c>
      <c r="J92" s="26">
        <v>0</v>
      </c>
      <c r="K92" s="26" t="b">
        <f t="shared" si="11"/>
        <v>0</v>
      </c>
      <c r="L92" s="26" t="b">
        <f t="shared" si="12"/>
        <v>0</v>
      </c>
      <c r="M92" t="b">
        <f t="shared" si="17"/>
        <v>0</v>
      </c>
      <c r="N92" t="b">
        <f t="shared" si="18"/>
        <v>0</v>
      </c>
    </row>
    <row r="93" spans="1:14">
      <c r="A93" s="29">
        <v>44653</v>
      </c>
      <c r="B93" s="30">
        <f t="shared" si="10"/>
        <v>4</v>
      </c>
      <c r="C93" s="30">
        <f t="shared" si="13"/>
        <v>2</v>
      </c>
      <c r="D93" s="26">
        <f>MATCH(WEEKDAY(A93),そのた定義!A:A,0)</f>
        <v>8</v>
      </c>
      <c r="E93" s="33" t="str">
        <f t="shared" ca="1" si="14"/>
        <v>土</v>
      </c>
      <c r="F93" s="26">
        <f t="shared" si="15"/>
        <v>1</v>
      </c>
      <c r="G93" s="26">
        <f>IF(ISNA(MATCH(A93,祝日定義!E:E,0)),0,1)</f>
        <v>0</v>
      </c>
      <c r="H93" s="26">
        <f>IF(ISNA(MATCH(B93&amp;"/"&amp;C93,そのた定義!E:E,0)), 0, 1)</f>
        <v>0</v>
      </c>
      <c r="I93" s="23" t="b">
        <f t="shared" si="16"/>
        <v>1</v>
      </c>
      <c r="J93" s="26">
        <v>0</v>
      </c>
      <c r="K93" s="26" t="b">
        <f t="shared" si="11"/>
        <v>0</v>
      </c>
      <c r="L93" s="26" t="b">
        <f t="shared" si="12"/>
        <v>0</v>
      </c>
      <c r="M93" t="b">
        <f t="shared" si="17"/>
        <v>0</v>
      </c>
      <c r="N93" t="b">
        <f t="shared" si="18"/>
        <v>0</v>
      </c>
    </row>
    <row r="94" spans="1:14">
      <c r="A94" s="29">
        <v>44654</v>
      </c>
      <c r="B94" s="30">
        <f t="shared" si="10"/>
        <v>4</v>
      </c>
      <c r="C94" s="30">
        <f t="shared" si="13"/>
        <v>3</v>
      </c>
      <c r="D94" s="26">
        <f>MATCH(WEEKDAY(A94),そのた定義!A:A,0)</f>
        <v>2</v>
      </c>
      <c r="E94" s="32" t="str">
        <f t="shared" ca="1" si="14"/>
        <v>日</v>
      </c>
      <c r="F94" s="26">
        <f t="shared" si="15"/>
        <v>1</v>
      </c>
      <c r="G94" s="26">
        <f>IF(ISNA(MATCH(A94,祝日定義!E:E,0)),0,1)</f>
        <v>0</v>
      </c>
      <c r="H94" s="26">
        <f>IF(ISNA(MATCH(B94&amp;"/"&amp;C94,そのた定義!E:E,0)), 0, 1)</f>
        <v>0</v>
      </c>
      <c r="I94" s="23" t="b">
        <f t="shared" si="16"/>
        <v>1</v>
      </c>
      <c r="J94" s="26">
        <v>0</v>
      </c>
      <c r="K94" s="26" t="b">
        <f t="shared" si="11"/>
        <v>0</v>
      </c>
      <c r="L94" s="26" t="b">
        <f t="shared" si="12"/>
        <v>0</v>
      </c>
      <c r="M94" t="b">
        <f t="shared" si="17"/>
        <v>0</v>
      </c>
      <c r="N94" t="b">
        <f t="shared" si="18"/>
        <v>0</v>
      </c>
    </row>
    <row r="95" spans="1:14">
      <c r="A95" s="29">
        <v>44655</v>
      </c>
      <c r="B95" s="30">
        <f t="shared" si="10"/>
        <v>4</v>
      </c>
      <c r="C95" s="30">
        <f t="shared" si="13"/>
        <v>4</v>
      </c>
      <c r="D95" s="26">
        <f>MATCH(WEEKDAY(A95),そのた定義!A:A,0)</f>
        <v>3</v>
      </c>
      <c r="E95" s="26" t="str">
        <f t="shared" ca="1" si="14"/>
        <v>月</v>
      </c>
      <c r="F95" s="26">
        <f t="shared" si="15"/>
        <v>0</v>
      </c>
      <c r="G95" s="26">
        <f>IF(ISNA(MATCH(A95,祝日定義!E:E,0)),0,1)</f>
        <v>0</v>
      </c>
      <c r="H95" s="26">
        <f>IF(ISNA(MATCH(B95&amp;"/"&amp;C95,そのた定義!E:E,0)), 0, 1)</f>
        <v>0</v>
      </c>
      <c r="I95" s="26" t="b">
        <f t="shared" si="16"/>
        <v>0</v>
      </c>
      <c r="J95" s="26">
        <v>2</v>
      </c>
      <c r="K95" s="26" t="b">
        <f t="shared" si="11"/>
        <v>0</v>
      </c>
      <c r="L95" s="26" t="b">
        <f t="shared" si="12"/>
        <v>0</v>
      </c>
      <c r="M95" t="b">
        <f t="shared" si="17"/>
        <v>0</v>
      </c>
      <c r="N95" t="b">
        <f t="shared" si="18"/>
        <v>0</v>
      </c>
    </row>
    <row r="96" spans="1:14">
      <c r="A96" s="29">
        <v>44656</v>
      </c>
      <c r="B96" s="30">
        <f t="shared" si="10"/>
        <v>4</v>
      </c>
      <c r="C96" s="30">
        <f t="shared" si="13"/>
        <v>5</v>
      </c>
      <c r="D96" s="26">
        <f>MATCH(WEEKDAY(A96),そのた定義!A:A,0)</f>
        <v>4</v>
      </c>
      <c r="E96" s="26" t="str">
        <f t="shared" ca="1" si="14"/>
        <v>火</v>
      </c>
      <c r="F96" s="26">
        <f t="shared" si="15"/>
        <v>0</v>
      </c>
      <c r="G96" s="26">
        <f>IF(ISNA(MATCH(A96,祝日定義!E:E,0)),0,1)</f>
        <v>0</v>
      </c>
      <c r="H96" s="26">
        <f>IF(ISNA(MATCH(B96&amp;"/"&amp;C96,そのた定義!E:E,0)), 0, 1)</f>
        <v>0</v>
      </c>
      <c r="I96" s="26" t="b">
        <f t="shared" si="16"/>
        <v>0</v>
      </c>
      <c r="J96" s="26">
        <v>0</v>
      </c>
      <c r="K96" s="26" t="b">
        <f t="shared" si="11"/>
        <v>0</v>
      </c>
      <c r="L96" s="26" t="b">
        <f t="shared" si="12"/>
        <v>0</v>
      </c>
      <c r="M96" t="b">
        <f t="shared" si="17"/>
        <v>0</v>
      </c>
      <c r="N96" t="b">
        <f t="shared" si="18"/>
        <v>0</v>
      </c>
    </row>
    <row r="97" spans="1:14">
      <c r="A97" s="29">
        <v>44657</v>
      </c>
      <c r="B97" s="30">
        <f t="shared" si="10"/>
        <v>4</v>
      </c>
      <c r="C97" s="30">
        <f t="shared" si="13"/>
        <v>6</v>
      </c>
      <c r="D97" s="26">
        <f>MATCH(WEEKDAY(A97),そのた定義!A:A,0)</f>
        <v>5</v>
      </c>
      <c r="E97" s="26" t="str">
        <f t="shared" ca="1" si="14"/>
        <v>水</v>
      </c>
      <c r="F97" s="26">
        <f t="shared" si="15"/>
        <v>0</v>
      </c>
      <c r="G97" s="26">
        <f>IF(ISNA(MATCH(A97,祝日定義!E:E,0)),0,1)</f>
        <v>0</v>
      </c>
      <c r="H97" s="26">
        <f>IF(ISNA(MATCH(B97&amp;"/"&amp;C97,そのた定義!E:E,0)), 0, 1)</f>
        <v>0</v>
      </c>
      <c r="I97" s="26" t="b">
        <f t="shared" si="16"/>
        <v>0</v>
      </c>
      <c r="J97" s="26">
        <v>0</v>
      </c>
      <c r="K97" s="26" t="b">
        <f t="shared" si="11"/>
        <v>0</v>
      </c>
      <c r="L97" s="26" t="b">
        <f t="shared" si="12"/>
        <v>0</v>
      </c>
      <c r="M97" t="b">
        <f t="shared" si="17"/>
        <v>0</v>
      </c>
      <c r="N97" t="b">
        <f t="shared" si="18"/>
        <v>0</v>
      </c>
    </row>
    <row r="98" spans="1:14">
      <c r="A98" s="29">
        <v>44658</v>
      </c>
      <c r="B98" s="30">
        <f t="shared" si="10"/>
        <v>4</v>
      </c>
      <c r="C98" s="30">
        <f t="shared" si="13"/>
        <v>7</v>
      </c>
      <c r="D98" s="26">
        <f>MATCH(WEEKDAY(A98),そのた定義!A:A,0)</f>
        <v>6</v>
      </c>
      <c r="E98" s="26" t="str">
        <f t="shared" ca="1" si="14"/>
        <v>木</v>
      </c>
      <c r="F98" s="26">
        <f t="shared" si="15"/>
        <v>0</v>
      </c>
      <c r="G98" s="26">
        <f>IF(ISNA(MATCH(A98,祝日定義!E:E,0)),0,1)</f>
        <v>0</v>
      </c>
      <c r="H98" s="26">
        <f>IF(ISNA(MATCH(B98&amp;"/"&amp;C98,そのた定義!E:E,0)), 0, 1)</f>
        <v>0</v>
      </c>
      <c r="I98" s="26" t="b">
        <f t="shared" si="16"/>
        <v>0</v>
      </c>
      <c r="J98" s="26">
        <v>0</v>
      </c>
      <c r="K98" s="26" t="b">
        <f t="shared" si="11"/>
        <v>0</v>
      </c>
      <c r="L98" s="26" t="b">
        <f t="shared" si="12"/>
        <v>0</v>
      </c>
      <c r="M98" t="b">
        <f t="shared" si="17"/>
        <v>0</v>
      </c>
      <c r="N98" t="b">
        <f t="shared" si="18"/>
        <v>0</v>
      </c>
    </row>
    <row r="99" spans="1:14">
      <c r="A99" s="29">
        <v>44659</v>
      </c>
      <c r="B99" s="30">
        <f t="shared" si="10"/>
        <v>4</v>
      </c>
      <c r="C99" s="30">
        <f t="shared" si="13"/>
        <v>8</v>
      </c>
      <c r="D99" s="26">
        <f>MATCH(WEEKDAY(A99),そのた定義!A:A,0)</f>
        <v>7</v>
      </c>
      <c r="E99" s="26" t="str">
        <f t="shared" ca="1" si="14"/>
        <v>金</v>
      </c>
      <c r="F99" s="26">
        <f t="shared" si="15"/>
        <v>0</v>
      </c>
      <c r="G99" s="26">
        <f>IF(ISNA(MATCH(A99,祝日定義!E:E,0)),0,1)</f>
        <v>0</v>
      </c>
      <c r="H99" s="26">
        <f>IF(ISNA(MATCH(B99&amp;"/"&amp;C99,そのた定義!E:E,0)), 0, 1)</f>
        <v>0</v>
      </c>
      <c r="I99" s="26" t="b">
        <f t="shared" si="16"/>
        <v>0</v>
      </c>
      <c r="J99" s="26">
        <v>0</v>
      </c>
      <c r="K99" s="26" t="b">
        <f t="shared" si="11"/>
        <v>0</v>
      </c>
      <c r="L99" s="26" t="b">
        <f t="shared" si="12"/>
        <v>0</v>
      </c>
      <c r="M99" t="b">
        <f t="shared" si="17"/>
        <v>0</v>
      </c>
      <c r="N99" t="b">
        <f t="shared" si="18"/>
        <v>0</v>
      </c>
    </row>
    <row r="100" spans="1:14">
      <c r="A100" s="29">
        <v>44660</v>
      </c>
      <c r="B100" s="30">
        <f t="shared" si="10"/>
        <v>4</v>
      </c>
      <c r="C100" s="30">
        <f t="shared" si="13"/>
        <v>9</v>
      </c>
      <c r="D100" s="26">
        <f>MATCH(WEEKDAY(A100),そのた定義!A:A,0)</f>
        <v>8</v>
      </c>
      <c r="E100" s="33" t="str">
        <f t="shared" ca="1" si="14"/>
        <v>土</v>
      </c>
      <c r="F100" s="26">
        <f t="shared" si="15"/>
        <v>1</v>
      </c>
      <c r="G100" s="26">
        <f>IF(ISNA(MATCH(A100,祝日定義!E:E,0)),0,1)</f>
        <v>0</v>
      </c>
      <c r="H100" s="26">
        <f>IF(ISNA(MATCH(B100&amp;"/"&amp;C100,そのた定義!E:E,0)), 0, 1)</f>
        <v>0</v>
      </c>
      <c r="I100" s="23" t="b">
        <f t="shared" si="16"/>
        <v>1</v>
      </c>
      <c r="J100" s="26">
        <v>0</v>
      </c>
      <c r="K100" s="26" t="b">
        <f t="shared" si="11"/>
        <v>0</v>
      </c>
      <c r="L100" s="26" t="b">
        <f t="shared" si="12"/>
        <v>0</v>
      </c>
      <c r="M100" t="b">
        <f t="shared" si="17"/>
        <v>0</v>
      </c>
      <c r="N100" t="b">
        <f t="shared" si="18"/>
        <v>0</v>
      </c>
    </row>
    <row r="101" spans="1:14">
      <c r="A101" s="29">
        <v>44661</v>
      </c>
      <c r="B101" s="30">
        <f t="shared" si="10"/>
        <v>4</v>
      </c>
      <c r="C101" s="30">
        <f t="shared" si="13"/>
        <v>10</v>
      </c>
      <c r="D101" s="26">
        <f>MATCH(WEEKDAY(A101),そのた定義!A:A,0)</f>
        <v>2</v>
      </c>
      <c r="E101" s="32" t="str">
        <f t="shared" ca="1" si="14"/>
        <v>日</v>
      </c>
      <c r="F101" s="26">
        <f t="shared" si="15"/>
        <v>1</v>
      </c>
      <c r="G101" s="26">
        <f>IF(ISNA(MATCH(A101,祝日定義!E:E,0)),0,1)</f>
        <v>0</v>
      </c>
      <c r="H101" s="26">
        <f>IF(ISNA(MATCH(B101&amp;"/"&amp;C101,そのた定義!E:E,0)), 0, 1)</f>
        <v>0</v>
      </c>
      <c r="I101" s="23" t="b">
        <f t="shared" si="16"/>
        <v>1</v>
      </c>
      <c r="J101" s="26">
        <v>0</v>
      </c>
      <c r="K101" s="26" t="b">
        <f t="shared" si="11"/>
        <v>0</v>
      </c>
      <c r="L101" s="26" t="b">
        <f t="shared" si="12"/>
        <v>0</v>
      </c>
      <c r="M101" t="b">
        <f t="shared" si="17"/>
        <v>0</v>
      </c>
      <c r="N101" t="b">
        <f t="shared" si="18"/>
        <v>0</v>
      </c>
    </row>
    <row r="102" spans="1:14">
      <c r="A102" s="29">
        <v>44662</v>
      </c>
      <c r="B102" s="30">
        <f t="shared" si="10"/>
        <v>4</v>
      </c>
      <c r="C102" s="30">
        <f t="shared" si="13"/>
        <v>11</v>
      </c>
      <c r="D102" s="26">
        <f>MATCH(WEEKDAY(A102),そのた定義!A:A,0)</f>
        <v>3</v>
      </c>
      <c r="E102" s="26" t="str">
        <f t="shared" ca="1" si="14"/>
        <v>月</v>
      </c>
      <c r="F102" s="26">
        <f t="shared" si="15"/>
        <v>0</v>
      </c>
      <c r="G102" s="26">
        <f>IF(ISNA(MATCH(A102,祝日定義!E:E,0)),0,1)</f>
        <v>0</v>
      </c>
      <c r="H102" s="26">
        <f>IF(ISNA(MATCH(B102&amp;"/"&amp;C102,そのた定義!E:E,0)), 0, 1)</f>
        <v>0</v>
      </c>
      <c r="I102" s="26" t="b">
        <f t="shared" si="16"/>
        <v>0</v>
      </c>
      <c r="J102" s="26">
        <v>2</v>
      </c>
      <c r="K102" s="26" t="b">
        <f t="shared" si="11"/>
        <v>0</v>
      </c>
      <c r="L102" s="26" t="b">
        <f t="shared" si="12"/>
        <v>0</v>
      </c>
      <c r="M102" t="b">
        <f t="shared" si="17"/>
        <v>0</v>
      </c>
      <c r="N102" t="b">
        <f t="shared" si="18"/>
        <v>0</v>
      </c>
    </row>
    <row r="103" spans="1:14">
      <c r="A103" s="29">
        <v>44663</v>
      </c>
      <c r="B103" s="30">
        <f t="shared" si="10"/>
        <v>4</v>
      </c>
      <c r="C103" s="30">
        <f t="shared" si="13"/>
        <v>12</v>
      </c>
      <c r="D103" s="26">
        <f>MATCH(WEEKDAY(A103),そのた定義!A:A,0)</f>
        <v>4</v>
      </c>
      <c r="E103" s="26" t="str">
        <f t="shared" ca="1" si="14"/>
        <v>火</v>
      </c>
      <c r="F103" s="26">
        <f t="shared" si="15"/>
        <v>0</v>
      </c>
      <c r="G103" s="26">
        <f>IF(ISNA(MATCH(A103,祝日定義!E:E,0)),0,1)</f>
        <v>0</v>
      </c>
      <c r="H103" s="26">
        <f>IF(ISNA(MATCH(B103&amp;"/"&amp;C103,そのた定義!E:E,0)), 0, 1)</f>
        <v>0</v>
      </c>
      <c r="I103" s="26" t="b">
        <f t="shared" si="16"/>
        <v>0</v>
      </c>
      <c r="J103" s="26">
        <v>0</v>
      </c>
      <c r="K103" s="26" t="b">
        <f t="shared" si="11"/>
        <v>0</v>
      </c>
      <c r="L103" s="26" t="b">
        <f t="shared" si="12"/>
        <v>0</v>
      </c>
      <c r="M103" t="b">
        <f t="shared" si="17"/>
        <v>0</v>
      </c>
      <c r="N103" t="b">
        <f t="shared" si="18"/>
        <v>0</v>
      </c>
    </row>
    <row r="104" spans="1:14">
      <c r="A104" s="29">
        <v>44664</v>
      </c>
      <c r="B104" s="30">
        <f t="shared" si="10"/>
        <v>4</v>
      </c>
      <c r="C104" s="30">
        <f t="shared" si="13"/>
        <v>13</v>
      </c>
      <c r="D104" s="26">
        <f>MATCH(WEEKDAY(A104),そのた定義!A:A,0)</f>
        <v>5</v>
      </c>
      <c r="E104" s="26" t="str">
        <f t="shared" ca="1" si="14"/>
        <v>水</v>
      </c>
      <c r="F104" s="26">
        <f t="shared" si="15"/>
        <v>0</v>
      </c>
      <c r="G104" s="26">
        <f>IF(ISNA(MATCH(A104,祝日定義!E:E,0)),0,1)</f>
        <v>0</v>
      </c>
      <c r="H104" s="26">
        <f>IF(ISNA(MATCH(B104&amp;"/"&amp;C104,そのた定義!E:E,0)), 0, 1)</f>
        <v>0</v>
      </c>
      <c r="I104" s="26" t="b">
        <f t="shared" si="16"/>
        <v>0</v>
      </c>
      <c r="J104" s="26">
        <v>0</v>
      </c>
      <c r="K104" s="26" t="b">
        <f t="shared" si="11"/>
        <v>0</v>
      </c>
      <c r="L104" s="26" t="b">
        <f t="shared" si="12"/>
        <v>0</v>
      </c>
      <c r="M104" t="b">
        <f t="shared" si="17"/>
        <v>0</v>
      </c>
      <c r="N104" t="b">
        <f t="shared" si="18"/>
        <v>0</v>
      </c>
    </row>
    <row r="105" spans="1:14">
      <c r="A105" s="29">
        <v>44665</v>
      </c>
      <c r="B105" s="30">
        <f t="shared" si="10"/>
        <v>4</v>
      </c>
      <c r="C105" s="30">
        <f t="shared" si="13"/>
        <v>14</v>
      </c>
      <c r="D105" s="26">
        <f>MATCH(WEEKDAY(A105),そのた定義!A:A,0)</f>
        <v>6</v>
      </c>
      <c r="E105" s="26" t="str">
        <f t="shared" ca="1" si="14"/>
        <v>木</v>
      </c>
      <c r="F105" s="26">
        <f t="shared" si="15"/>
        <v>0</v>
      </c>
      <c r="G105" s="26">
        <f>IF(ISNA(MATCH(A105,祝日定義!E:E,0)),0,1)</f>
        <v>0</v>
      </c>
      <c r="H105" s="26">
        <f>IF(ISNA(MATCH(B105&amp;"/"&amp;C105,そのた定義!E:E,0)), 0, 1)</f>
        <v>0</v>
      </c>
      <c r="I105" s="26" t="b">
        <f t="shared" si="16"/>
        <v>0</v>
      </c>
      <c r="J105" s="26">
        <v>0</v>
      </c>
      <c r="K105" s="26" t="b">
        <f t="shared" si="11"/>
        <v>0</v>
      </c>
      <c r="L105" s="26" t="b">
        <f t="shared" si="12"/>
        <v>0</v>
      </c>
      <c r="M105" t="b">
        <f t="shared" si="17"/>
        <v>0</v>
      </c>
      <c r="N105" t="b">
        <f t="shared" si="18"/>
        <v>0</v>
      </c>
    </row>
    <row r="106" spans="1:14">
      <c r="A106" s="29">
        <v>44666</v>
      </c>
      <c r="B106" s="30">
        <f t="shared" si="10"/>
        <v>4</v>
      </c>
      <c r="C106" s="30">
        <f t="shared" si="13"/>
        <v>15</v>
      </c>
      <c r="D106" s="26">
        <f>MATCH(WEEKDAY(A106),そのた定義!A:A,0)</f>
        <v>7</v>
      </c>
      <c r="E106" s="26" t="str">
        <f t="shared" ca="1" si="14"/>
        <v>金</v>
      </c>
      <c r="F106" s="26">
        <f t="shared" si="15"/>
        <v>0</v>
      </c>
      <c r="G106" s="26">
        <f>IF(ISNA(MATCH(A106,祝日定義!E:E,0)),0,1)</f>
        <v>0</v>
      </c>
      <c r="H106" s="26">
        <f>IF(ISNA(MATCH(B106&amp;"/"&amp;C106,そのた定義!E:E,0)), 0, 1)</f>
        <v>0</v>
      </c>
      <c r="I106" s="26" t="b">
        <f t="shared" si="16"/>
        <v>0</v>
      </c>
      <c r="J106" s="26">
        <v>0</v>
      </c>
      <c r="K106" s="26" t="b">
        <f t="shared" si="11"/>
        <v>0</v>
      </c>
      <c r="L106" s="26" t="b">
        <f t="shared" si="12"/>
        <v>0</v>
      </c>
      <c r="M106" t="b">
        <f t="shared" si="17"/>
        <v>0</v>
      </c>
      <c r="N106" t="b">
        <f t="shared" si="18"/>
        <v>0</v>
      </c>
    </row>
    <row r="107" spans="1:14">
      <c r="A107" s="29">
        <v>44667</v>
      </c>
      <c r="B107" s="30">
        <f t="shared" si="10"/>
        <v>4</v>
      </c>
      <c r="C107" s="30">
        <f t="shared" si="13"/>
        <v>16</v>
      </c>
      <c r="D107" s="26">
        <f>MATCH(WEEKDAY(A107),そのた定義!A:A,0)</f>
        <v>8</v>
      </c>
      <c r="E107" s="33" t="str">
        <f t="shared" ca="1" si="14"/>
        <v>土</v>
      </c>
      <c r="F107" s="26">
        <f t="shared" si="15"/>
        <v>1</v>
      </c>
      <c r="G107" s="26">
        <f>IF(ISNA(MATCH(A107,祝日定義!E:E,0)),0,1)</f>
        <v>0</v>
      </c>
      <c r="H107" s="26">
        <f>IF(ISNA(MATCH(B107&amp;"/"&amp;C107,そのた定義!E:E,0)), 0, 1)</f>
        <v>0</v>
      </c>
      <c r="I107" s="23" t="b">
        <f t="shared" si="16"/>
        <v>1</v>
      </c>
      <c r="J107" s="26">
        <v>0</v>
      </c>
      <c r="K107" s="26" t="b">
        <f t="shared" si="11"/>
        <v>0</v>
      </c>
      <c r="L107" s="26" t="b">
        <f t="shared" si="12"/>
        <v>0</v>
      </c>
      <c r="M107" t="b">
        <f t="shared" si="17"/>
        <v>0</v>
      </c>
      <c r="N107" t="b">
        <f t="shared" si="18"/>
        <v>0</v>
      </c>
    </row>
    <row r="108" spans="1:14">
      <c r="A108" s="29">
        <v>44668</v>
      </c>
      <c r="B108" s="30">
        <f t="shared" si="10"/>
        <v>4</v>
      </c>
      <c r="C108" s="30">
        <f t="shared" si="13"/>
        <v>17</v>
      </c>
      <c r="D108" s="26">
        <f>MATCH(WEEKDAY(A108),そのた定義!A:A,0)</f>
        <v>2</v>
      </c>
      <c r="E108" s="32" t="str">
        <f t="shared" ca="1" si="14"/>
        <v>日</v>
      </c>
      <c r="F108" s="26">
        <f t="shared" si="15"/>
        <v>1</v>
      </c>
      <c r="G108" s="26">
        <f>IF(ISNA(MATCH(A108,祝日定義!E:E,0)),0,1)</f>
        <v>0</v>
      </c>
      <c r="H108" s="26">
        <f>IF(ISNA(MATCH(B108&amp;"/"&amp;C108,そのた定義!E:E,0)), 0, 1)</f>
        <v>0</v>
      </c>
      <c r="I108" s="23" t="b">
        <f t="shared" si="16"/>
        <v>1</v>
      </c>
      <c r="J108" s="26">
        <v>0</v>
      </c>
      <c r="K108" s="26" t="b">
        <f t="shared" si="11"/>
        <v>0</v>
      </c>
      <c r="L108" s="26" t="b">
        <f t="shared" si="12"/>
        <v>0</v>
      </c>
      <c r="M108" t="b">
        <f t="shared" si="17"/>
        <v>0</v>
      </c>
      <c r="N108" t="b">
        <f t="shared" si="18"/>
        <v>0</v>
      </c>
    </row>
    <row r="109" spans="1:14">
      <c r="A109" s="29">
        <v>44669</v>
      </c>
      <c r="B109" s="30">
        <f t="shared" si="10"/>
        <v>4</v>
      </c>
      <c r="C109" s="30">
        <f t="shared" si="13"/>
        <v>18</v>
      </c>
      <c r="D109" s="26">
        <f>MATCH(WEEKDAY(A109),そのた定義!A:A,0)</f>
        <v>3</v>
      </c>
      <c r="E109" s="26" t="str">
        <f t="shared" ca="1" si="14"/>
        <v>月</v>
      </c>
      <c r="F109" s="26">
        <f t="shared" si="15"/>
        <v>0</v>
      </c>
      <c r="G109" s="26">
        <f>IF(ISNA(MATCH(A109,祝日定義!E:E,0)),0,1)</f>
        <v>0</v>
      </c>
      <c r="H109" s="26">
        <f>IF(ISNA(MATCH(B109&amp;"/"&amp;C109,そのた定義!E:E,0)), 0, 1)</f>
        <v>0</v>
      </c>
      <c r="I109" s="26" t="b">
        <f t="shared" si="16"/>
        <v>0</v>
      </c>
      <c r="J109" s="26">
        <v>2</v>
      </c>
      <c r="K109" s="26" t="b">
        <f t="shared" si="11"/>
        <v>0</v>
      </c>
      <c r="L109" s="26" t="b">
        <f t="shared" si="12"/>
        <v>0</v>
      </c>
      <c r="M109" t="b">
        <f t="shared" si="17"/>
        <v>0</v>
      </c>
      <c r="N109" t="b">
        <f t="shared" si="18"/>
        <v>0</v>
      </c>
    </row>
    <row r="110" spans="1:14">
      <c r="A110" s="29">
        <v>44670</v>
      </c>
      <c r="B110" s="30">
        <f t="shared" si="10"/>
        <v>4</v>
      </c>
      <c r="C110" s="30">
        <f t="shared" si="13"/>
        <v>19</v>
      </c>
      <c r="D110" s="26">
        <f>MATCH(WEEKDAY(A110),そのた定義!A:A,0)</f>
        <v>4</v>
      </c>
      <c r="E110" s="26" t="str">
        <f t="shared" ca="1" si="14"/>
        <v>火</v>
      </c>
      <c r="F110" s="26">
        <f t="shared" si="15"/>
        <v>0</v>
      </c>
      <c r="G110" s="26">
        <f>IF(ISNA(MATCH(A110,祝日定義!E:E,0)),0,1)</f>
        <v>0</v>
      </c>
      <c r="H110" s="26">
        <f>IF(ISNA(MATCH(B110&amp;"/"&amp;C110,そのた定義!E:E,0)), 0, 1)</f>
        <v>0</v>
      </c>
      <c r="I110" s="26" t="b">
        <f t="shared" si="16"/>
        <v>0</v>
      </c>
      <c r="J110" s="26">
        <v>0</v>
      </c>
      <c r="K110" s="26" t="b">
        <f t="shared" si="11"/>
        <v>0</v>
      </c>
      <c r="L110" s="26" t="b">
        <f t="shared" si="12"/>
        <v>0</v>
      </c>
      <c r="M110" t="b">
        <f t="shared" si="17"/>
        <v>0</v>
      </c>
      <c r="N110" t="b">
        <f t="shared" si="18"/>
        <v>0</v>
      </c>
    </row>
    <row r="111" spans="1:14">
      <c r="A111" s="29">
        <v>44671</v>
      </c>
      <c r="B111" s="30">
        <f t="shared" si="10"/>
        <v>4</v>
      </c>
      <c r="C111" s="30">
        <f t="shared" si="13"/>
        <v>20</v>
      </c>
      <c r="D111" s="26">
        <f>MATCH(WEEKDAY(A111),そのた定義!A:A,0)</f>
        <v>5</v>
      </c>
      <c r="E111" s="26" t="str">
        <f t="shared" ca="1" si="14"/>
        <v>水</v>
      </c>
      <c r="F111" s="26">
        <f t="shared" si="15"/>
        <v>0</v>
      </c>
      <c r="G111" s="26">
        <f>IF(ISNA(MATCH(A111,祝日定義!E:E,0)),0,1)</f>
        <v>0</v>
      </c>
      <c r="H111" s="26">
        <f>IF(ISNA(MATCH(B111&amp;"/"&amp;C111,そのた定義!E:E,0)), 0, 1)</f>
        <v>0</v>
      </c>
      <c r="I111" s="26" t="b">
        <f t="shared" si="16"/>
        <v>0</v>
      </c>
      <c r="J111" s="26">
        <v>0</v>
      </c>
      <c r="K111" s="26" t="b">
        <f t="shared" si="11"/>
        <v>0</v>
      </c>
      <c r="L111" s="26" t="b">
        <f t="shared" si="12"/>
        <v>0</v>
      </c>
      <c r="M111" t="b">
        <f t="shared" si="17"/>
        <v>0</v>
      </c>
      <c r="N111" t="b">
        <f t="shared" si="18"/>
        <v>0</v>
      </c>
    </row>
    <row r="112" spans="1:14">
      <c r="A112" s="29">
        <v>44672</v>
      </c>
      <c r="B112" s="30">
        <f t="shared" si="10"/>
        <v>4</v>
      </c>
      <c r="C112" s="30">
        <f t="shared" si="13"/>
        <v>21</v>
      </c>
      <c r="D112" s="26">
        <f>MATCH(WEEKDAY(A112),そのた定義!A:A,0)</f>
        <v>6</v>
      </c>
      <c r="E112" s="26" t="str">
        <f t="shared" ca="1" si="14"/>
        <v>木</v>
      </c>
      <c r="F112" s="26">
        <f t="shared" si="15"/>
        <v>0</v>
      </c>
      <c r="G112" s="26">
        <f>IF(ISNA(MATCH(A112,祝日定義!E:E,0)),0,1)</f>
        <v>0</v>
      </c>
      <c r="H112" s="26">
        <f>IF(ISNA(MATCH(B112&amp;"/"&amp;C112,そのた定義!E:E,0)), 0, 1)</f>
        <v>0</v>
      </c>
      <c r="I112" s="26" t="b">
        <f t="shared" si="16"/>
        <v>0</v>
      </c>
      <c r="J112" s="26">
        <v>0</v>
      </c>
      <c r="K112" s="26" t="b">
        <f t="shared" si="11"/>
        <v>0</v>
      </c>
      <c r="L112" s="26" t="b">
        <f t="shared" si="12"/>
        <v>0</v>
      </c>
      <c r="M112" t="b">
        <f t="shared" si="17"/>
        <v>0</v>
      </c>
      <c r="N112" t="b">
        <f t="shared" si="18"/>
        <v>0</v>
      </c>
    </row>
    <row r="113" spans="1:14">
      <c r="A113" s="29">
        <v>44673</v>
      </c>
      <c r="B113" s="30">
        <f t="shared" si="10"/>
        <v>4</v>
      </c>
      <c r="C113" s="30">
        <f t="shared" si="13"/>
        <v>22</v>
      </c>
      <c r="D113" s="26">
        <f>MATCH(WEEKDAY(A113),そのた定義!A:A,0)</f>
        <v>7</v>
      </c>
      <c r="E113" s="26" t="str">
        <f t="shared" ca="1" si="14"/>
        <v>金</v>
      </c>
      <c r="F113" s="26">
        <f t="shared" si="15"/>
        <v>0</v>
      </c>
      <c r="G113" s="26">
        <f>IF(ISNA(MATCH(A113,祝日定義!E:E,0)),0,1)</f>
        <v>0</v>
      </c>
      <c r="H113" s="26">
        <f>IF(ISNA(MATCH(B113&amp;"/"&amp;C113,そのた定義!E:E,0)), 0, 1)</f>
        <v>0</v>
      </c>
      <c r="I113" s="26" t="b">
        <f t="shared" si="16"/>
        <v>0</v>
      </c>
      <c r="J113" s="26">
        <v>0</v>
      </c>
      <c r="K113" s="26" t="b">
        <f t="shared" si="11"/>
        <v>0</v>
      </c>
      <c r="L113" s="26" t="b">
        <f t="shared" si="12"/>
        <v>0</v>
      </c>
      <c r="M113" t="b">
        <f t="shared" si="17"/>
        <v>0</v>
      </c>
      <c r="N113" t="b">
        <f t="shared" si="18"/>
        <v>0</v>
      </c>
    </row>
    <row r="114" spans="1:14">
      <c r="A114" s="29">
        <v>44674</v>
      </c>
      <c r="B114" s="30">
        <f t="shared" si="10"/>
        <v>4</v>
      </c>
      <c r="C114" s="30">
        <f t="shared" si="13"/>
        <v>23</v>
      </c>
      <c r="D114" s="26">
        <f>MATCH(WEEKDAY(A114),そのた定義!A:A,0)</f>
        <v>8</v>
      </c>
      <c r="E114" s="33" t="str">
        <f t="shared" ca="1" si="14"/>
        <v>土</v>
      </c>
      <c r="F114" s="26">
        <f t="shared" si="15"/>
        <v>1</v>
      </c>
      <c r="G114" s="26">
        <f>IF(ISNA(MATCH(A114,祝日定義!E:E,0)),0,1)</f>
        <v>0</v>
      </c>
      <c r="H114" s="26">
        <f>IF(ISNA(MATCH(B114&amp;"/"&amp;C114,そのた定義!E:E,0)), 0, 1)</f>
        <v>0</v>
      </c>
      <c r="I114" s="23" t="b">
        <f t="shared" si="16"/>
        <v>1</v>
      </c>
      <c r="J114" s="26">
        <v>0</v>
      </c>
      <c r="K114" s="26" t="b">
        <f t="shared" si="11"/>
        <v>0</v>
      </c>
      <c r="L114" s="26" t="b">
        <f t="shared" si="12"/>
        <v>0</v>
      </c>
      <c r="M114" t="b">
        <f t="shared" si="17"/>
        <v>0</v>
      </c>
      <c r="N114" t="b">
        <f t="shared" si="18"/>
        <v>0</v>
      </c>
    </row>
    <row r="115" spans="1:14">
      <c r="A115" s="29">
        <v>44675</v>
      </c>
      <c r="B115" s="30">
        <f t="shared" si="10"/>
        <v>4</v>
      </c>
      <c r="C115" s="30">
        <f t="shared" si="13"/>
        <v>24</v>
      </c>
      <c r="D115" s="26">
        <f>MATCH(WEEKDAY(A115),そのた定義!A:A,0)</f>
        <v>2</v>
      </c>
      <c r="E115" s="32" t="str">
        <f t="shared" ca="1" si="14"/>
        <v>日</v>
      </c>
      <c r="F115" s="26">
        <f t="shared" si="15"/>
        <v>1</v>
      </c>
      <c r="G115" s="26">
        <f>IF(ISNA(MATCH(A115,祝日定義!E:E,0)),0,1)</f>
        <v>0</v>
      </c>
      <c r="H115" s="26">
        <f>IF(ISNA(MATCH(B115&amp;"/"&amp;C115,そのた定義!E:E,0)), 0, 1)</f>
        <v>0</v>
      </c>
      <c r="I115" s="23" t="b">
        <f t="shared" si="16"/>
        <v>1</v>
      </c>
      <c r="J115" s="26">
        <v>0</v>
      </c>
      <c r="K115" s="26" t="b">
        <f t="shared" si="11"/>
        <v>0</v>
      </c>
      <c r="L115" s="26" t="b">
        <f t="shared" si="12"/>
        <v>0</v>
      </c>
      <c r="M115" t="b">
        <f t="shared" si="17"/>
        <v>0</v>
      </c>
      <c r="N115" t="b">
        <f t="shared" si="18"/>
        <v>0</v>
      </c>
    </row>
    <row r="116" spans="1:14">
      <c r="A116" s="29">
        <v>44676</v>
      </c>
      <c r="B116" s="30">
        <f t="shared" si="10"/>
        <v>4</v>
      </c>
      <c r="C116" s="30">
        <f t="shared" si="13"/>
        <v>25</v>
      </c>
      <c r="D116" s="26">
        <f>MATCH(WEEKDAY(A116),そのた定義!A:A,0)</f>
        <v>3</v>
      </c>
      <c r="E116" s="26" t="str">
        <f t="shared" ca="1" si="14"/>
        <v>月</v>
      </c>
      <c r="F116" s="26">
        <f t="shared" si="15"/>
        <v>0</v>
      </c>
      <c r="G116" s="26">
        <f>IF(ISNA(MATCH(A116,祝日定義!E:E,0)),0,1)</f>
        <v>0</v>
      </c>
      <c r="H116" s="26">
        <f>IF(ISNA(MATCH(B116&amp;"/"&amp;C116,そのた定義!E:E,0)), 0, 1)</f>
        <v>0</v>
      </c>
      <c r="I116" s="26" t="b">
        <f t="shared" si="16"/>
        <v>0</v>
      </c>
      <c r="J116" s="26">
        <v>2</v>
      </c>
      <c r="K116" s="26" t="b">
        <f t="shared" si="11"/>
        <v>0</v>
      </c>
      <c r="L116" s="23" t="b">
        <f t="shared" si="12"/>
        <v>1</v>
      </c>
      <c r="M116" t="b">
        <f t="shared" si="17"/>
        <v>0</v>
      </c>
      <c r="N116" t="b">
        <f t="shared" si="18"/>
        <v>0</v>
      </c>
    </row>
    <row r="117" spans="1:14">
      <c r="A117" s="29">
        <v>44677</v>
      </c>
      <c r="B117" s="30">
        <f t="shared" si="10"/>
        <v>4</v>
      </c>
      <c r="C117" s="30">
        <f t="shared" si="13"/>
        <v>26</v>
      </c>
      <c r="D117" s="26">
        <f>MATCH(WEEKDAY(A117),そのた定義!A:A,0)</f>
        <v>4</v>
      </c>
      <c r="E117" s="26" t="str">
        <f t="shared" ca="1" si="14"/>
        <v>火</v>
      </c>
      <c r="F117" s="26">
        <f t="shared" si="15"/>
        <v>0</v>
      </c>
      <c r="G117" s="26">
        <f>IF(ISNA(MATCH(A117,祝日定義!E:E,0)),0,1)</f>
        <v>0</v>
      </c>
      <c r="H117" s="26">
        <f>IF(ISNA(MATCH(B117&amp;"/"&amp;C117,そのた定義!E:E,0)), 0, 1)</f>
        <v>0</v>
      </c>
      <c r="I117" s="26" t="b">
        <f t="shared" si="16"/>
        <v>0</v>
      </c>
      <c r="J117" s="26">
        <v>0</v>
      </c>
      <c r="K117" s="26" t="b">
        <f t="shared" si="11"/>
        <v>0</v>
      </c>
      <c r="L117" s="26" t="b">
        <f t="shared" si="12"/>
        <v>0</v>
      </c>
      <c r="M117" t="b">
        <f t="shared" si="17"/>
        <v>0</v>
      </c>
      <c r="N117" t="b">
        <f t="shared" si="18"/>
        <v>0</v>
      </c>
    </row>
    <row r="118" spans="1:14">
      <c r="A118" s="29">
        <v>44678</v>
      </c>
      <c r="B118" s="30">
        <f t="shared" si="10"/>
        <v>4</v>
      </c>
      <c r="C118" s="30">
        <f t="shared" si="13"/>
        <v>27</v>
      </c>
      <c r="D118" s="26">
        <f>MATCH(WEEKDAY(A118),そのた定義!A:A,0)</f>
        <v>5</v>
      </c>
      <c r="E118" s="26" t="str">
        <f t="shared" ca="1" si="14"/>
        <v>水</v>
      </c>
      <c r="F118" s="26">
        <f t="shared" si="15"/>
        <v>0</v>
      </c>
      <c r="G118" s="26">
        <f>IF(ISNA(MATCH(A118,祝日定義!E:E,0)),0,1)</f>
        <v>0</v>
      </c>
      <c r="H118" s="26">
        <f>IF(ISNA(MATCH(B118&amp;"/"&amp;C118,そのた定義!E:E,0)), 0, 1)</f>
        <v>0</v>
      </c>
      <c r="I118" s="26" t="b">
        <f t="shared" si="16"/>
        <v>0</v>
      </c>
      <c r="J118" s="26">
        <v>0</v>
      </c>
      <c r="K118" s="26" t="b">
        <f t="shared" si="11"/>
        <v>0</v>
      </c>
      <c r="L118" s="26" t="b">
        <f t="shared" si="12"/>
        <v>0</v>
      </c>
      <c r="M118" t="b">
        <f t="shared" si="17"/>
        <v>0</v>
      </c>
      <c r="N118" t="b">
        <f t="shared" si="18"/>
        <v>0</v>
      </c>
    </row>
    <row r="119" spans="1:14">
      <c r="A119" s="29">
        <v>44679</v>
      </c>
      <c r="B119" s="30">
        <f t="shared" si="10"/>
        <v>4</v>
      </c>
      <c r="C119" s="30">
        <f t="shared" si="13"/>
        <v>28</v>
      </c>
      <c r="D119" s="26">
        <f>MATCH(WEEKDAY(A119),そのた定義!A:A,0)</f>
        <v>6</v>
      </c>
      <c r="E119" s="26" t="str">
        <f t="shared" ca="1" si="14"/>
        <v>木</v>
      </c>
      <c r="F119" s="26">
        <f t="shared" si="15"/>
        <v>0</v>
      </c>
      <c r="G119" s="26">
        <f>IF(ISNA(MATCH(A119,祝日定義!E:E,0)),0,1)</f>
        <v>0</v>
      </c>
      <c r="H119" s="26">
        <f>IF(ISNA(MATCH(B119&amp;"/"&amp;C119,そのた定義!E:E,0)), 0, 1)</f>
        <v>0</v>
      </c>
      <c r="I119" s="26" t="b">
        <f t="shared" si="16"/>
        <v>0</v>
      </c>
      <c r="J119" s="26">
        <v>0</v>
      </c>
      <c r="K119" s="26" t="b">
        <f t="shared" si="11"/>
        <v>0</v>
      </c>
      <c r="L119" s="26" t="b">
        <f t="shared" si="12"/>
        <v>0</v>
      </c>
      <c r="M119" t="b">
        <f t="shared" si="17"/>
        <v>0</v>
      </c>
      <c r="N119" t="b">
        <f t="shared" si="18"/>
        <v>0</v>
      </c>
    </row>
    <row r="120" spans="1:14">
      <c r="A120" s="29">
        <v>44680</v>
      </c>
      <c r="B120" s="30">
        <f t="shared" si="10"/>
        <v>4</v>
      </c>
      <c r="C120" s="30">
        <f t="shared" si="13"/>
        <v>29</v>
      </c>
      <c r="D120" s="26">
        <f>MATCH(WEEKDAY(A120),そのた定義!A:A,0)</f>
        <v>7</v>
      </c>
      <c r="E120" s="31" t="str">
        <f t="shared" ca="1" si="14"/>
        <v>金</v>
      </c>
      <c r="F120" s="26">
        <f t="shared" si="15"/>
        <v>0</v>
      </c>
      <c r="G120" s="26">
        <f>IF(ISNA(MATCH(A120,祝日定義!E:E,0)),0,1)</f>
        <v>1</v>
      </c>
      <c r="H120" s="26">
        <f>IF(ISNA(MATCH(B120&amp;"/"&amp;C120,そのた定義!E:E,0)), 0, 1)</f>
        <v>0</v>
      </c>
      <c r="I120" s="23" t="b">
        <f t="shared" si="16"/>
        <v>1</v>
      </c>
      <c r="J120" s="26">
        <v>0</v>
      </c>
      <c r="K120" s="26" t="b">
        <f t="shared" si="11"/>
        <v>0</v>
      </c>
      <c r="L120" s="26" t="b">
        <f t="shared" si="12"/>
        <v>0</v>
      </c>
      <c r="M120" t="b">
        <f t="shared" si="17"/>
        <v>0</v>
      </c>
      <c r="N120" t="b">
        <f t="shared" si="18"/>
        <v>0</v>
      </c>
    </row>
    <row r="121" spans="1:14">
      <c r="A121" s="29">
        <v>44681</v>
      </c>
      <c r="B121" s="30">
        <f t="shared" si="10"/>
        <v>4</v>
      </c>
      <c r="C121" s="30">
        <f t="shared" si="13"/>
        <v>30</v>
      </c>
      <c r="D121" s="26">
        <f>MATCH(WEEKDAY(A121),そのた定義!A:A,0)</f>
        <v>8</v>
      </c>
      <c r="E121" s="33" t="str">
        <f t="shared" ca="1" si="14"/>
        <v>土</v>
      </c>
      <c r="F121" s="26">
        <f t="shared" si="15"/>
        <v>1</v>
      </c>
      <c r="G121" s="26">
        <f>IF(ISNA(MATCH(A121,祝日定義!E:E,0)),0,1)</f>
        <v>0</v>
      </c>
      <c r="H121" s="26">
        <f>IF(ISNA(MATCH(B121&amp;"/"&amp;C121,そのた定義!E:E,0)), 0, 1)</f>
        <v>0</v>
      </c>
      <c r="I121" s="23" t="b">
        <f t="shared" si="16"/>
        <v>1</v>
      </c>
      <c r="J121" s="26">
        <v>0</v>
      </c>
      <c r="K121" s="26" t="b">
        <f t="shared" si="11"/>
        <v>0</v>
      </c>
      <c r="L121" s="26" t="b">
        <f t="shared" si="12"/>
        <v>0</v>
      </c>
      <c r="M121" t="b">
        <f t="shared" si="17"/>
        <v>0</v>
      </c>
      <c r="N121" t="b">
        <f t="shared" si="18"/>
        <v>1</v>
      </c>
    </row>
    <row r="122" spans="1:14">
      <c r="A122" s="29">
        <v>44682</v>
      </c>
      <c r="B122" s="30">
        <f t="shared" si="10"/>
        <v>5</v>
      </c>
      <c r="C122" s="30">
        <f t="shared" si="13"/>
        <v>1</v>
      </c>
      <c r="D122" s="26">
        <f>MATCH(WEEKDAY(A122),そのた定義!A:A,0)</f>
        <v>2</v>
      </c>
      <c r="E122" s="32" t="str">
        <f t="shared" ca="1" si="14"/>
        <v>日</v>
      </c>
      <c r="F122" s="26">
        <f t="shared" si="15"/>
        <v>1</v>
      </c>
      <c r="G122" s="26">
        <f>IF(ISNA(MATCH(A122,祝日定義!E:E,0)),0,1)</f>
        <v>0</v>
      </c>
      <c r="H122" s="26">
        <f>IF(ISNA(MATCH(B122&amp;"/"&amp;C122,そのた定義!E:E,0)), 0, 1)</f>
        <v>0</v>
      </c>
      <c r="I122" s="23" t="b">
        <f t="shared" si="16"/>
        <v>1</v>
      </c>
      <c r="J122" s="26">
        <v>0</v>
      </c>
      <c r="K122" s="26" t="b">
        <f t="shared" si="11"/>
        <v>0</v>
      </c>
      <c r="L122" s="26" t="b">
        <f t="shared" si="12"/>
        <v>0</v>
      </c>
      <c r="M122" t="b">
        <f t="shared" si="17"/>
        <v>0</v>
      </c>
      <c r="N122" t="b">
        <f t="shared" si="18"/>
        <v>0</v>
      </c>
    </row>
    <row r="123" spans="1:14">
      <c r="A123" s="29">
        <v>44683</v>
      </c>
      <c r="B123" s="30">
        <f t="shared" si="10"/>
        <v>5</v>
      </c>
      <c r="C123" s="30">
        <f t="shared" si="13"/>
        <v>2</v>
      </c>
      <c r="D123" s="26">
        <f>MATCH(WEEKDAY(A123),そのた定義!A:A,0)</f>
        <v>3</v>
      </c>
      <c r="E123" s="26" t="str">
        <f t="shared" ca="1" si="14"/>
        <v>月</v>
      </c>
      <c r="F123" s="26">
        <f t="shared" si="15"/>
        <v>0</v>
      </c>
      <c r="G123" s="26">
        <f>IF(ISNA(MATCH(A123,祝日定義!E:E,0)),0,1)</f>
        <v>0</v>
      </c>
      <c r="H123" s="26">
        <f>IF(ISNA(MATCH(B123&amp;"/"&amp;C123,そのた定義!E:E,0)), 0, 1)</f>
        <v>0</v>
      </c>
      <c r="I123" s="26" t="b">
        <f t="shared" si="16"/>
        <v>0</v>
      </c>
      <c r="J123" s="26">
        <v>3</v>
      </c>
      <c r="K123" s="26" t="b">
        <f t="shared" si="11"/>
        <v>0</v>
      </c>
      <c r="L123" s="26" t="b">
        <f t="shared" si="12"/>
        <v>0</v>
      </c>
      <c r="M123" t="b">
        <f t="shared" si="17"/>
        <v>1</v>
      </c>
      <c r="N123" t="b">
        <f t="shared" si="18"/>
        <v>0</v>
      </c>
    </row>
    <row r="124" spans="1:14">
      <c r="A124" s="29">
        <v>44684</v>
      </c>
      <c r="B124" s="30">
        <f t="shared" si="10"/>
        <v>5</v>
      </c>
      <c r="C124" s="30">
        <f t="shared" si="13"/>
        <v>3</v>
      </c>
      <c r="D124" s="26">
        <f>MATCH(WEEKDAY(A124),そのた定義!A:A,0)</f>
        <v>4</v>
      </c>
      <c r="E124" s="31" t="str">
        <f t="shared" ca="1" si="14"/>
        <v>火</v>
      </c>
      <c r="F124" s="26">
        <f t="shared" si="15"/>
        <v>0</v>
      </c>
      <c r="G124" s="26">
        <f>IF(ISNA(MATCH(A124,祝日定義!E:E,0)),0,1)</f>
        <v>1</v>
      </c>
      <c r="H124" s="26">
        <f>IF(ISNA(MATCH(B124&amp;"/"&amp;C124,そのた定義!E:E,0)), 0, 1)</f>
        <v>0</v>
      </c>
      <c r="I124" s="23" t="b">
        <f t="shared" si="16"/>
        <v>1</v>
      </c>
      <c r="J124" s="26">
        <v>0</v>
      </c>
      <c r="K124" s="26" t="b">
        <f t="shared" si="11"/>
        <v>0</v>
      </c>
      <c r="L124" s="26" t="b">
        <f t="shared" si="12"/>
        <v>0</v>
      </c>
      <c r="M124" t="b">
        <f t="shared" si="17"/>
        <v>0</v>
      </c>
      <c r="N124" t="b">
        <f t="shared" si="18"/>
        <v>0</v>
      </c>
    </row>
    <row r="125" spans="1:14">
      <c r="A125" s="29">
        <v>44685</v>
      </c>
      <c r="B125" s="30">
        <f t="shared" si="10"/>
        <v>5</v>
      </c>
      <c r="C125" s="30">
        <f t="shared" si="13"/>
        <v>4</v>
      </c>
      <c r="D125" s="26">
        <f>MATCH(WEEKDAY(A125),そのた定義!A:A,0)</f>
        <v>5</v>
      </c>
      <c r="E125" s="31" t="str">
        <f t="shared" ca="1" si="14"/>
        <v>水</v>
      </c>
      <c r="F125" s="26">
        <f t="shared" si="15"/>
        <v>0</v>
      </c>
      <c r="G125" s="26">
        <f>IF(ISNA(MATCH(A125,祝日定義!E:E,0)),0,1)</f>
        <v>1</v>
      </c>
      <c r="H125" s="26">
        <f>IF(ISNA(MATCH(B125&amp;"/"&amp;C125,そのた定義!E:E,0)), 0, 1)</f>
        <v>0</v>
      </c>
      <c r="I125" s="23" t="b">
        <f t="shared" si="16"/>
        <v>1</v>
      </c>
      <c r="J125" s="26">
        <v>0</v>
      </c>
      <c r="K125" s="26" t="b">
        <f t="shared" si="11"/>
        <v>0</v>
      </c>
      <c r="L125" s="26" t="b">
        <f t="shared" si="12"/>
        <v>0</v>
      </c>
      <c r="M125" t="b">
        <f t="shared" si="17"/>
        <v>0</v>
      </c>
      <c r="N125" t="b">
        <f t="shared" si="18"/>
        <v>0</v>
      </c>
    </row>
    <row r="126" spans="1:14">
      <c r="A126" s="29">
        <v>44686</v>
      </c>
      <c r="B126" s="30">
        <f t="shared" si="10"/>
        <v>5</v>
      </c>
      <c r="C126" s="30">
        <f t="shared" si="13"/>
        <v>5</v>
      </c>
      <c r="D126" s="26">
        <f>MATCH(WEEKDAY(A126),そのた定義!A:A,0)</f>
        <v>6</v>
      </c>
      <c r="E126" s="31" t="str">
        <f t="shared" ca="1" si="14"/>
        <v>木</v>
      </c>
      <c r="F126" s="26">
        <f t="shared" si="15"/>
        <v>0</v>
      </c>
      <c r="G126" s="26">
        <f>IF(ISNA(MATCH(A126,祝日定義!E:E,0)),0,1)</f>
        <v>1</v>
      </c>
      <c r="H126" s="26">
        <f>IF(ISNA(MATCH(B126&amp;"/"&amp;C126,そのた定義!E:E,0)), 0, 1)</f>
        <v>0</v>
      </c>
      <c r="I126" s="23" t="b">
        <f t="shared" si="16"/>
        <v>1</v>
      </c>
      <c r="J126" s="26">
        <v>0</v>
      </c>
      <c r="K126" s="26" t="b">
        <f t="shared" si="11"/>
        <v>0</v>
      </c>
      <c r="L126" s="26" t="b">
        <f t="shared" si="12"/>
        <v>0</v>
      </c>
      <c r="M126" t="b">
        <f t="shared" si="17"/>
        <v>0</v>
      </c>
      <c r="N126" t="b">
        <f t="shared" si="18"/>
        <v>0</v>
      </c>
    </row>
    <row r="127" spans="1:14">
      <c r="A127" s="29">
        <v>44687</v>
      </c>
      <c r="B127" s="30">
        <f t="shared" si="10"/>
        <v>5</v>
      </c>
      <c r="C127" s="30">
        <f t="shared" si="13"/>
        <v>6</v>
      </c>
      <c r="D127" s="26">
        <f>MATCH(WEEKDAY(A127),そのた定義!A:A,0)</f>
        <v>7</v>
      </c>
      <c r="E127" s="26" t="str">
        <f t="shared" ca="1" si="14"/>
        <v>金</v>
      </c>
      <c r="F127" s="26">
        <f t="shared" si="15"/>
        <v>0</v>
      </c>
      <c r="G127" s="26">
        <f>IF(ISNA(MATCH(A127,祝日定義!E:E,0)),0,1)</f>
        <v>0</v>
      </c>
      <c r="H127" s="26">
        <f>IF(ISNA(MATCH(B127&amp;"/"&amp;C127,そのた定義!E:E,0)), 0, 1)</f>
        <v>0</v>
      </c>
      <c r="I127" s="26" t="b">
        <f t="shared" si="16"/>
        <v>0</v>
      </c>
      <c r="J127" s="26">
        <v>3</v>
      </c>
      <c r="K127" s="26" t="b">
        <f t="shared" si="11"/>
        <v>0</v>
      </c>
      <c r="L127" s="26" t="b">
        <f t="shared" si="12"/>
        <v>0</v>
      </c>
      <c r="M127" t="b">
        <f t="shared" si="17"/>
        <v>0</v>
      </c>
      <c r="N127" t="b">
        <f t="shared" si="18"/>
        <v>0</v>
      </c>
    </row>
    <row r="128" spans="1:14">
      <c r="A128" s="29">
        <v>44688</v>
      </c>
      <c r="B128" s="30">
        <f t="shared" si="10"/>
        <v>5</v>
      </c>
      <c r="C128" s="30">
        <f t="shared" si="13"/>
        <v>7</v>
      </c>
      <c r="D128" s="26">
        <f>MATCH(WEEKDAY(A128),そのた定義!A:A,0)</f>
        <v>8</v>
      </c>
      <c r="E128" s="33" t="str">
        <f t="shared" ca="1" si="14"/>
        <v>土</v>
      </c>
      <c r="F128" s="26">
        <f t="shared" si="15"/>
        <v>1</v>
      </c>
      <c r="G128" s="26">
        <f>IF(ISNA(MATCH(A128,祝日定義!E:E,0)),0,1)</f>
        <v>0</v>
      </c>
      <c r="H128" s="26">
        <f>IF(ISNA(MATCH(B128&amp;"/"&amp;C128,そのた定義!E:E,0)), 0, 1)</f>
        <v>0</v>
      </c>
      <c r="I128" s="23" t="b">
        <f t="shared" si="16"/>
        <v>1</v>
      </c>
      <c r="J128" s="26">
        <v>0</v>
      </c>
      <c r="K128" s="26" t="b">
        <f t="shared" si="11"/>
        <v>0</v>
      </c>
      <c r="L128" s="26" t="b">
        <f t="shared" si="12"/>
        <v>0</v>
      </c>
      <c r="M128" t="b">
        <f t="shared" si="17"/>
        <v>0</v>
      </c>
      <c r="N128" t="b">
        <f t="shared" si="18"/>
        <v>0</v>
      </c>
    </row>
    <row r="129" spans="1:14">
      <c r="A129" s="29">
        <v>44689</v>
      </c>
      <c r="B129" s="30">
        <f t="shared" si="10"/>
        <v>5</v>
      </c>
      <c r="C129" s="30">
        <f t="shared" si="13"/>
        <v>8</v>
      </c>
      <c r="D129" s="26">
        <f>MATCH(WEEKDAY(A129),そのた定義!A:A,0)</f>
        <v>2</v>
      </c>
      <c r="E129" s="32" t="str">
        <f t="shared" ca="1" si="14"/>
        <v>日</v>
      </c>
      <c r="F129" s="26">
        <f t="shared" si="15"/>
        <v>1</v>
      </c>
      <c r="G129" s="26">
        <f>IF(ISNA(MATCH(A129,祝日定義!E:E,0)),0,1)</f>
        <v>0</v>
      </c>
      <c r="H129" s="26">
        <f>IF(ISNA(MATCH(B129&amp;"/"&amp;C129,そのた定義!E:E,0)), 0, 1)</f>
        <v>0</v>
      </c>
      <c r="I129" s="23" t="b">
        <f t="shared" si="16"/>
        <v>1</v>
      </c>
      <c r="J129" s="26">
        <v>0</v>
      </c>
      <c r="K129" s="26" t="b">
        <f t="shared" si="11"/>
        <v>0</v>
      </c>
      <c r="L129" s="26" t="b">
        <f t="shared" si="12"/>
        <v>0</v>
      </c>
      <c r="M129" t="b">
        <f t="shared" si="17"/>
        <v>0</v>
      </c>
      <c r="N129" t="b">
        <f t="shared" si="18"/>
        <v>0</v>
      </c>
    </row>
    <row r="130" spans="1:14">
      <c r="A130" s="29">
        <v>44690</v>
      </c>
      <c r="B130" s="30">
        <f t="shared" ref="B130:B193" si="19">MONTH(A130)</f>
        <v>5</v>
      </c>
      <c r="C130" s="30">
        <f t="shared" si="13"/>
        <v>9</v>
      </c>
      <c r="D130" s="26">
        <f>MATCH(WEEKDAY(A130),そのた定義!A:A,0)</f>
        <v>3</v>
      </c>
      <c r="E130" s="26" t="str">
        <f t="shared" ca="1" si="14"/>
        <v>月</v>
      </c>
      <c r="F130" s="26">
        <f t="shared" si="15"/>
        <v>0</v>
      </c>
      <c r="G130" s="26">
        <f>IF(ISNA(MATCH(A130,祝日定義!E:E,0)),0,1)</f>
        <v>0</v>
      </c>
      <c r="H130" s="26">
        <f>IF(ISNA(MATCH(B130&amp;"/"&amp;C130,そのた定義!E:E,0)), 0, 1)</f>
        <v>0</v>
      </c>
      <c r="I130" s="26" t="b">
        <f t="shared" si="16"/>
        <v>0</v>
      </c>
      <c r="J130" s="26">
        <v>2</v>
      </c>
      <c r="K130" s="26" t="b">
        <f t="shared" ref="K130:K193" si="20">AND(C130&gt;25,DAY(A130-J130)&lt;=25)</f>
        <v>0</v>
      </c>
      <c r="L130" s="26" t="b">
        <f t="shared" ref="L130:L193" si="21">C130=25</f>
        <v>0</v>
      </c>
      <c r="M130" t="b">
        <f t="shared" si="17"/>
        <v>0</v>
      </c>
      <c r="N130" t="b">
        <f t="shared" si="18"/>
        <v>0</v>
      </c>
    </row>
    <row r="131" spans="1:14">
      <c r="A131" s="29">
        <v>44691</v>
      </c>
      <c r="B131" s="30">
        <f t="shared" si="19"/>
        <v>5</v>
      </c>
      <c r="C131" s="30">
        <f t="shared" ref="C131:C194" si="22">DAY(A131)</f>
        <v>10</v>
      </c>
      <c r="D131" s="26">
        <f>MATCH(WEEKDAY(A131),そのた定義!A:A,0)</f>
        <v>4</v>
      </c>
      <c r="E131" s="26" t="str">
        <f t="shared" ref="E131:E194" ca="1" si="23">INDIRECT("そのた定義!"&amp;"B"&amp;D131)</f>
        <v>火</v>
      </c>
      <c r="F131" s="26">
        <f t="shared" ref="F131:F194" si="24">IF(OR(D131=8,D131=2),1,0)</f>
        <v>0</v>
      </c>
      <c r="G131" s="26">
        <f>IF(ISNA(MATCH(A131,祝日定義!E:E,0)),0,1)</f>
        <v>0</v>
      </c>
      <c r="H131" s="26">
        <f>IF(ISNA(MATCH(B131&amp;"/"&amp;C131,そのた定義!E:E,0)), 0, 1)</f>
        <v>0</v>
      </c>
      <c r="I131" s="26" t="b">
        <f t="shared" ref="I131:I194" si="25">SUM(F131:H131)&gt;0</f>
        <v>0</v>
      </c>
      <c r="J131" s="26">
        <v>0</v>
      </c>
      <c r="K131" s="26" t="b">
        <f t="shared" si="20"/>
        <v>0</v>
      </c>
      <c r="L131" s="26" t="b">
        <f t="shared" si="21"/>
        <v>0</v>
      </c>
      <c r="M131" t="b">
        <f t="shared" ref="M131:M194" si="26">B131&lt;&gt;MONTH(A131-J131)</f>
        <v>0</v>
      </c>
      <c r="N131" t="b">
        <f t="shared" ref="N131:N194" si="27">B131&lt;&gt;MONTH(A131+1)</f>
        <v>0</v>
      </c>
    </row>
    <row r="132" spans="1:14">
      <c r="A132" s="29">
        <v>44692</v>
      </c>
      <c r="B132" s="30">
        <f t="shared" si="19"/>
        <v>5</v>
      </c>
      <c r="C132" s="30">
        <f t="shared" si="22"/>
        <v>11</v>
      </c>
      <c r="D132" s="26">
        <f>MATCH(WEEKDAY(A132),そのた定義!A:A,0)</f>
        <v>5</v>
      </c>
      <c r="E132" s="26" t="str">
        <f t="shared" ca="1" si="23"/>
        <v>水</v>
      </c>
      <c r="F132" s="26">
        <f t="shared" si="24"/>
        <v>0</v>
      </c>
      <c r="G132" s="26">
        <f>IF(ISNA(MATCH(A132,祝日定義!E:E,0)),0,1)</f>
        <v>0</v>
      </c>
      <c r="H132" s="26">
        <f>IF(ISNA(MATCH(B132&amp;"/"&amp;C132,そのた定義!E:E,0)), 0, 1)</f>
        <v>0</v>
      </c>
      <c r="I132" s="26" t="b">
        <f t="shared" si="25"/>
        <v>0</v>
      </c>
      <c r="J132" s="26">
        <v>0</v>
      </c>
      <c r="K132" s="26" t="b">
        <f t="shared" si="20"/>
        <v>0</v>
      </c>
      <c r="L132" s="26" t="b">
        <f t="shared" si="21"/>
        <v>0</v>
      </c>
      <c r="M132" t="b">
        <f t="shared" si="26"/>
        <v>0</v>
      </c>
      <c r="N132" t="b">
        <f t="shared" si="27"/>
        <v>0</v>
      </c>
    </row>
    <row r="133" spans="1:14">
      <c r="A133" s="29">
        <v>44693</v>
      </c>
      <c r="B133" s="30">
        <f t="shared" si="19"/>
        <v>5</v>
      </c>
      <c r="C133" s="30">
        <f t="shared" si="22"/>
        <v>12</v>
      </c>
      <c r="D133" s="26">
        <f>MATCH(WEEKDAY(A133),そのた定義!A:A,0)</f>
        <v>6</v>
      </c>
      <c r="E133" s="26" t="str">
        <f t="shared" ca="1" si="23"/>
        <v>木</v>
      </c>
      <c r="F133" s="26">
        <f t="shared" si="24"/>
        <v>0</v>
      </c>
      <c r="G133" s="26">
        <f>IF(ISNA(MATCH(A133,祝日定義!E:E,0)),0,1)</f>
        <v>0</v>
      </c>
      <c r="H133" s="26">
        <f>IF(ISNA(MATCH(B133&amp;"/"&amp;C133,そのた定義!E:E,0)), 0, 1)</f>
        <v>0</v>
      </c>
      <c r="I133" s="26" t="b">
        <f t="shared" si="25"/>
        <v>0</v>
      </c>
      <c r="J133" s="26">
        <v>0</v>
      </c>
      <c r="K133" s="26" t="b">
        <f t="shared" si="20"/>
        <v>0</v>
      </c>
      <c r="L133" s="26" t="b">
        <f t="shared" si="21"/>
        <v>0</v>
      </c>
      <c r="M133" t="b">
        <f t="shared" si="26"/>
        <v>0</v>
      </c>
      <c r="N133" t="b">
        <f t="shared" si="27"/>
        <v>0</v>
      </c>
    </row>
    <row r="134" spans="1:14">
      <c r="A134" s="29">
        <v>44694</v>
      </c>
      <c r="B134" s="30">
        <f t="shared" si="19"/>
        <v>5</v>
      </c>
      <c r="C134" s="30">
        <f t="shared" si="22"/>
        <v>13</v>
      </c>
      <c r="D134" s="26">
        <f>MATCH(WEEKDAY(A134),そのた定義!A:A,0)</f>
        <v>7</v>
      </c>
      <c r="E134" s="26" t="str">
        <f t="shared" ca="1" si="23"/>
        <v>金</v>
      </c>
      <c r="F134" s="26">
        <f t="shared" si="24"/>
        <v>0</v>
      </c>
      <c r="G134" s="26">
        <f>IF(ISNA(MATCH(A134,祝日定義!E:E,0)),0,1)</f>
        <v>0</v>
      </c>
      <c r="H134" s="26">
        <f>IF(ISNA(MATCH(B134&amp;"/"&amp;C134,そのた定義!E:E,0)), 0, 1)</f>
        <v>0</v>
      </c>
      <c r="I134" s="26" t="b">
        <f t="shared" si="25"/>
        <v>0</v>
      </c>
      <c r="J134" s="26">
        <v>0</v>
      </c>
      <c r="K134" s="26" t="b">
        <f t="shared" si="20"/>
        <v>0</v>
      </c>
      <c r="L134" s="26" t="b">
        <f t="shared" si="21"/>
        <v>0</v>
      </c>
      <c r="M134" t="b">
        <f t="shared" si="26"/>
        <v>0</v>
      </c>
      <c r="N134" t="b">
        <f t="shared" si="27"/>
        <v>0</v>
      </c>
    </row>
    <row r="135" spans="1:14">
      <c r="A135" s="29">
        <v>44695</v>
      </c>
      <c r="B135" s="30">
        <f t="shared" si="19"/>
        <v>5</v>
      </c>
      <c r="C135" s="30">
        <f t="shared" si="22"/>
        <v>14</v>
      </c>
      <c r="D135" s="26">
        <f>MATCH(WEEKDAY(A135),そのた定義!A:A,0)</f>
        <v>8</v>
      </c>
      <c r="E135" s="33" t="str">
        <f t="shared" ca="1" si="23"/>
        <v>土</v>
      </c>
      <c r="F135" s="26">
        <f t="shared" si="24"/>
        <v>1</v>
      </c>
      <c r="G135" s="26">
        <f>IF(ISNA(MATCH(A135,祝日定義!E:E,0)),0,1)</f>
        <v>0</v>
      </c>
      <c r="H135" s="26">
        <f>IF(ISNA(MATCH(B135&amp;"/"&amp;C135,そのた定義!E:E,0)), 0, 1)</f>
        <v>0</v>
      </c>
      <c r="I135" s="23" t="b">
        <f t="shared" si="25"/>
        <v>1</v>
      </c>
      <c r="J135" s="26">
        <v>0</v>
      </c>
      <c r="K135" s="26" t="b">
        <f t="shared" si="20"/>
        <v>0</v>
      </c>
      <c r="L135" s="26" t="b">
        <f t="shared" si="21"/>
        <v>0</v>
      </c>
      <c r="M135" t="b">
        <f t="shared" si="26"/>
        <v>0</v>
      </c>
      <c r="N135" t="b">
        <f t="shared" si="27"/>
        <v>0</v>
      </c>
    </row>
    <row r="136" spans="1:14">
      <c r="A136" s="29">
        <v>44696</v>
      </c>
      <c r="B136" s="30">
        <f t="shared" si="19"/>
        <v>5</v>
      </c>
      <c r="C136" s="30">
        <f t="shared" si="22"/>
        <v>15</v>
      </c>
      <c r="D136" s="26">
        <f>MATCH(WEEKDAY(A136),そのた定義!A:A,0)</f>
        <v>2</v>
      </c>
      <c r="E136" s="32" t="str">
        <f t="shared" ca="1" si="23"/>
        <v>日</v>
      </c>
      <c r="F136" s="26">
        <f t="shared" si="24"/>
        <v>1</v>
      </c>
      <c r="G136" s="26">
        <f>IF(ISNA(MATCH(A136,祝日定義!E:E,0)),0,1)</f>
        <v>0</v>
      </c>
      <c r="H136" s="26">
        <f>IF(ISNA(MATCH(B136&amp;"/"&amp;C136,そのた定義!E:E,0)), 0, 1)</f>
        <v>0</v>
      </c>
      <c r="I136" s="23" t="b">
        <f t="shared" si="25"/>
        <v>1</v>
      </c>
      <c r="J136" s="26">
        <v>0</v>
      </c>
      <c r="K136" s="26" t="b">
        <f t="shared" si="20"/>
        <v>0</v>
      </c>
      <c r="L136" s="26" t="b">
        <f t="shared" si="21"/>
        <v>0</v>
      </c>
      <c r="M136" t="b">
        <f t="shared" si="26"/>
        <v>0</v>
      </c>
      <c r="N136" t="b">
        <f t="shared" si="27"/>
        <v>0</v>
      </c>
    </row>
    <row r="137" spans="1:14">
      <c r="A137" s="29">
        <v>44697</v>
      </c>
      <c r="B137" s="30">
        <f t="shared" si="19"/>
        <v>5</v>
      </c>
      <c r="C137" s="30">
        <f t="shared" si="22"/>
        <v>16</v>
      </c>
      <c r="D137" s="26">
        <f>MATCH(WEEKDAY(A137),そのた定義!A:A,0)</f>
        <v>3</v>
      </c>
      <c r="E137" s="26" t="str">
        <f t="shared" ca="1" si="23"/>
        <v>月</v>
      </c>
      <c r="F137" s="26">
        <f t="shared" si="24"/>
        <v>0</v>
      </c>
      <c r="G137" s="26">
        <f>IF(ISNA(MATCH(A137,祝日定義!E:E,0)),0,1)</f>
        <v>0</v>
      </c>
      <c r="H137" s="26">
        <f>IF(ISNA(MATCH(B137&amp;"/"&amp;C137,そのた定義!E:E,0)), 0, 1)</f>
        <v>0</v>
      </c>
      <c r="I137" s="26" t="b">
        <f t="shared" si="25"/>
        <v>0</v>
      </c>
      <c r="J137" s="26">
        <v>2</v>
      </c>
      <c r="K137" s="26" t="b">
        <f t="shared" si="20"/>
        <v>0</v>
      </c>
      <c r="L137" s="26" t="b">
        <f t="shared" si="21"/>
        <v>0</v>
      </c>
      <c r="M137" t="b">
        <f t="shared" si="26"/>
        <v>0</v>
      </c>
      <c r="N137" t="b">
        <f t="shared" si="27"/>
        <v>0</v>
      </c>
    </row>
    <row r="138" spans="1:14">
      <c r="A138" s="29">
        <v>44698</v>
      </c>
      <c r="B138" s="30">
        <f t="shared" si="19"/>
        <v>5</v>
      </c>
      <c r="C138" s="30">
        <f t="shared" si="22"/>
        <v>17</v>
      </c>
      <c r="D138" s="26">
        <f>MATCH(WEEKDAY(A138),そのた定義!A:A,0)</f>
        <v>4</v>
      </c>
      <c r="E138" s="26" t="str">
        <f t="shared" ca="1" si="23"/>
        <v>火</v>
      </c>
      <c r="F138" s="26">
        <f t="shared" si="24"/>
        <v>0</v>
      </c>
      <c r="G138" s="26">
        <f>IF(ISNA(MATCH(A138,祝日定義!E:E,0)),0,1)</f>
        <v>0</v>
      </c>
      <c r="H138" s="26">
        <f>IF(ISNA(MATCH(B138&amp;"/"&amp;C138,そのた定義!E:E,0)), 0, 1)</f>
        <v>0</v>
      </c>
      <c r="I138" s="26" t="b">
        <f t="shared" si="25"/>
        <v>0</v>
      </c>
      <c r="J138" s="26">
        <v>0</v>
      </c>
      <c r="K138" s="26" t="b">
        <f t="shared" si="20"/>
        <v>0</v>
      </c>
      <c r="L138" s="26" t="b">
        <f t="shared" si="21"/>
        <v>0</v>
      </c>
      <c r="M138" t="b">
        <f t="shared" si="26"/>
        <v>0</v>
      </c>
      <c r="N138" t="b">
        <f t="shared" si="27"/>
        <v>0</v>
      </c>
    </row>
    <row r="139" spans="1:14">
      <c r="A139" s="29">
        <v>44699</v>
      </c>
      <c r="B139" s="30">
        <f t="shared" si="19"/>
        <v>5</v>
      </c>
      <c r="C139" s="30">
        <f t="shared" si="22"/>
        <v>18</v>
      </c>
      <c r="D139" s="26">
        <f>MATCH(WEEKDAY(A139),そのた定義!A:A,0)</f>
        <v>5</v>
      </c>
      <c r="E139" s="26" t="str">
        <f t="shared" ca="1" si="23"/>
        <v>水</v>
      </c>
      <c r="F139" s="26">
        <f t="shared" si="24"/>
        <v>0</v>
      </c>
      <c r="G139" s="26">
        <f>IF(ISNA(MATCH(A139,祝日定義!E:E,0)),0,1)</f>
        <v>0</v>
      </c>
      <c r="H139" s="26">
        <f>IF(ISNA(MATCH(B139&amp;"/"&amp;C139,そのた定義!E:E,0)), 0, 1)</f>
        <v>0</v>
      </c>
      <c r="I139" s="26" t="b">
        <f t="shared" si="25"/>
        <v>0</v>
      </c>
      <c r="J139" s="26">
        <v>0</v>
      </c>
      <c r="K139" s="26" t="b">
        <f t="shared" si="20"/>
        <v>0</v>
      </c>
      <c r="L139" s="26" t="b">
        <f t="shared" si="21"/>
        <v>0</v>
      </c>
      <c r="M139" t="b">
        <f t="shared" si="26"/>
        <v>0</v>
      </c>
      <c r="N139" t="b">
        <f t="shared" si="27"/>
        <v>0</v>
      </c>
    </row>
    <row r="140" spans="1:14">
      <c r="A140" s="29">
        <v>44700</v>
      </c>
      <c r="B140" s="30">
        <f t="shared" si="19"/>
        <v>5</v>
      </c>
      <c r="C140" s="30">
        <f t="shared" si="22"/>
        <v>19</v>
      </c>
      <c r="D140" s="26">
        <f>MATCH(WEEKDAY(A140),そのた定義!A:A,0)</f>
        <v>6</v>
      </c>
      <c r="E140" s="26" t="str">
        <f t="shared" ca="1" si="23"/>
        <v>木</v>
      </c>
      <c r="F140" s="26">
        <f t="shared" si="24"/>
        <v>0</v>
      </c>
      <c r="G140" s="26">
        <f>IF(ISNA(MATCH(A140,祝日定義!E:E,0)),0,1)</f>
        <v>0</v>
      </c>
      <c r="H140" s="26">
        <f>IF(ISNA(MATCH(B140&amp;"/"&amp;C140,そのた定義!E:E,0)), 0, 1)</f>
        <v>0</v>
      </c>
      <c r="I140" s="26" t="b">
        <f t="shared" si="25"/>
        <v>0</v>
      </c>
      <c r="J140" s="26">
        <v>0</v>
      </c>
      <c r="K140" s="26" t="b">
        <f t="shared" si="20"/>
        <v>0</v>
      </c>
      <c r="L140" s="26" t="b">
        <f t="shared" si="21"/>
        <v>0</v>
      </c>
      <c r="M140" t="b">
        <f t="shared" si="26"/>
        <v>0</v>
      </c>
      <c r="N140" t="b">
        <f t="shared" si="27"/>
        <v>0</v>
      </c>
    </row>
    <row r="141" spans="1:14">
      <c r="A141" s="29">
        <v>44701</v>
      </c>
      <c r="B141" s="30">
        <f t="shared" si="19"/>
        <v>5</v>
      </c>
      <c r="C141" s="30">
        <f t="shared" si="22"/>
        <v>20</v>
      </c>
      <c r="D141" s="26">
        <f>MATCH(WEEKDAY(A141),そのた定義!A:A,0)</f>
        <v>7</v>
      </c>
      <c r="E141" s="26" t="str">
        <f t="shared" ca="1" si="23"/>
        <v>金</v>
      </c>
      <c r="F141" s="26">
        <f t="shared" si="24"/>
        <v>0</v>
      </c>
      <c r="G141" s="26">
        <f>IF(ISNA(MATCH(A141,祝日定義!E:E,0)),0,1)</f>
        <v>0</v>
      </c>
      <c r="H141" s="26">
        <f>IF(ISNA(MATCH(B141&amp;"/"&amp;C141,そのた定義!E:E,0)), 0, 1)</f>
        <v>0</v>
      </c>
      <c r="I141" s="26" t="b">
        <f t="shared" si="25"/>
        <v>0</v>
      </c>
      <c r="J141" s="26">
        <v>0</v>
      </c>
      <c r="K141" s="26" t="b">
        <f t="shared" si="20"/>
        <v>0</v>
      </c>
      <c r="L141" s="26" t="b">
        <f t="shared" si="21"/>
        <v>0</v>
      </c>
      <c r="M141" t="b">
        <f t="shared" si="26"/>
        <v>0</v>
      </c>
      <c r="N141" t="b">
        <f t="shared" si="27"/>
        <v>0</v>
      </c>
    </row>
    <row r="142" spans="1:14">
      <c r="A142" s="29">
        <v>44702</v>
      </c>
      <c r="B142" s="30">
        <f t="shared" si="19"/>
        <v>5</v>
      </c>
      <c r="C142" s="30">
        <f t="shared" si="22"/>
        <v>21</v>
      </c>
      <c r="D142" s="26">
        <f>MATCH(WEEKDAY(A142),そのた定義!A:A,0)</f>
        <v>8</v>
      </c>
      <c r="E142" s="33" t="str">
        <f t="shared" ca="1" si="23"/>
        <v>土</v>
      </c>
      <c r="F142" s="26">
        <f t="shared" si="24"/>
        <v>1</v>
      </c>
      <c r="G142" s="26">
        <f>IF(ISNA(MATCH(A142,祝日定義!E:E,0)),0,1)</f>
        <v>0</v>
      </c>
      <c r="H142" s="26">
        <f>IF(ISNA(MATCH(B142&amp;"/"&amp;C142,そのた定義!E:E,0)), 0, 1)</f>
        <v>0</v>
      </c>
      <c r="I142" s="23" t="b">
        <f t="shared" si="25"/>
        <v>1</v>
      </c>
      <c r="J142" s="26">
        <v>0</v>
      </c>
      <c r="K142" s="26" t="b">
        <f t="shared" si="20"/>
        <v>0</v>
      </c>
      <c r="L142" s="26" t="b">
        <f t="shared" si="21"/>
        <v>0</v>
      </c>
      <c r="M142" t="b">
        <f t="shared" si="26"/>
        <v>0</v>
      </c>
      <c r="N142" t="b">
        <f t="shared" si="27"/>
        <v>0</v>
      </c>
    </row>
    <row r="143" spans="1:14">
      <c r="A143" s="29">
        <v>44703</v>
      </c>
      <c r="B143" s="30">
        <f t="shared" si="19"/>
        <v>5</v>
      </c>
      <c r="C143" s="30">
        <f t="shared" si="22"/>
        <v>22</v>
      </c>
      <c r="D143" s="26">
        <f>MATCH(WEEKDAY(A143),そのた定義!A:A,0)</f>
        <v>2</v>
      </c>
      <c r="E143" s="32" t="str">
        <f t="shared" ca="1" si="23"/>
        <v>日</v>
      </c>
      <c r="F143" s="26">
        <f t="shared" si="24"/>
        <v>1</v>
      </c>
      <c r="G143" s="26">
        <f>IF(ISNA(MATCH(A143,祝日定義!E:E,0)),0,1)</f>
        <v>0</v>
      </c>
      <c r="H143" s="26">
        <f>IF(ISNA(MATCH(B143&amp;"/"&amp;C143,そのた定義!E:E,0)), 0, 1)</f>
        <v>0</v>
      </c>
      <c r="I143" s="23" t="b">
        <f t="shared" si="25"/>
        <v>1</v>
      </c>
      <c r="J143" s="26">
        <v>0</v>
      </c>
      <c r="K143" s="26" t="b">
        <f t="shared" si="20"/>
        <v>0</v>
      </c>
      <c r="L143" s="26" t="b">
        <f t="shared" si="21"/>
        <v>0</v>
      </c>
      <c r="M143" t="b">
        <f t="shared" si="26"/>
        <v>0</v>
      </c>
      <c r="N143" t="b">
        <f t="shared" si="27"/>
        <v>0</v>
      </c>
    </row>
    <row r="144" spans="1:14">
      <c r="A144" s="29">
        <v>44704</v>
      </c>
      <c r="B144" s="30">
        <f t="shared" si="19"/>
        <v>5</v>
      </c>
      <c r="C144" s="30">
        <f t="shared" si="22"/>
        <v>23</v>
      </c>
      <c r="D144" s="26">
        <f>MATCH(WEEKDAY(A144),そのた定義!A:A,0)</f>
        <v>3</v>
      </c>
      <c r="E144" s="26" t="str">
        <f t="shared" ca="1" si="23"/>
        <v>月</v>
      </c>
      <c r="F144" s="26">
        <f t="shared" si="24"/>
        <v>0</v>
      </c>
      <c r="G144" s="26">
        <f>IF(ISNA(MATCH(A144,祝日定義!E:E,0)),0,1)</f>
        <v>0</v>
      </c>
      <c r="H144" s="26">
        <f>IF(ISNA(MATCH(B144&amp;"/"&amp;C144,そのた定義!E:E,0)), 0, 1)</f>
        <v>0</v>
      </c>
      <c r="I144" s="26" t="b">
        <f t="shared" si="25"/>
        <v>0</v>
      </c>
      <c r="J144" s="26">
        <v>2</v>
      </c>
      <c r="K144" s="26" t="b">
        <f t="shared" si="20"/>
        <v>0</v>
      </c>
      <c r="L144" s="26" t="b">
        <f t="shared" si="21"/>
        <v>0</v>
      </c>
      <c r="M144" t="b">
        <f t="shared" si="26"/>
        <v>0</v>
      </c>
      <c r="N144" t="b">
        <f t="shared" si="27"/>
        <v>0</v>
      </c>
    </row>
    <row r="145" spans="1:14">
      <c r="A145" s="29">
        <v>44705</v>
      </c>
      <c r="B145" s="30">
        <f t="shared" si="19"/>
        <v>5</v>
      </c>
      <c r="C145" s="30">
        <f t="shared" si="22"/>
        <v>24</v>
      </c>
      <c r="D145" s="26">
        <f>MATCH(WEEKDAY(A145),そのた定義!A:A,0)</f>
        <v>4</v>
      </c>
      <c r="E145" s="26" t="str">
        <f t="shared" ca="1" si="23"/>
        <v>火</v>
      </c>
      <c r="F145" s="26">
        <f t="shared" si="24"/>
        <v>0</v>
      </c>
      <c r="G145" s="26">
        <f>IF(ISNA(MATCH(A145,祝日定義!E:E,0)),0,1)</f>
        <v>0</v>
      </c>
      <c r="H145" s="26">
        <f>IF(ISNA(MATCH(B145&amp;"/"&amp;C145,そのた定義!E:E,0)), 0, 1)</f>
        <v>0</v>
      </c>
      <c r="I145" s="26" t="b">
        <f t="shared" si="25"/>
        <v>0</v>
      </c>
      <c r="J145" s="26">
        <v>0</v>
      </c>
      <c r="K145" s="26" t="b">
        <f t="shared" si="20"/>
        <v>0</v>
      </c>
      <c r="L145" s="26" t="b">
        <f t="shared" si="21"/>
        <v>0</v>
      </c>
      <c r="M145" t="b">
        <f t="shared" si="26"/>
        <v>0</v>
      </c>
      <c r="N145" t="b">
        <f t="shared" si="27"/>
        <v>0</v>
      </c>
    </row>
    <row r="146" spans="1:14">
      <c r="A146" s="29">
        <v>44706</v>
      </c>
      <c r="B146" s="30">
        <f t="shared" si="19"/>
        <v>5</v>
      </c>
      <c r="C146" s="30">
        <f t="shared" si="22"/>
        <v>25</v>
      </c>
      <c r="D146" s="26">
        <f>MATCH(WEEKDAY(A146),そのた定義!A:A,0)</f>
        <v>5</v>
      </c>
      <c r="E146" s="26" t="str">
        <f t="shared" ca="1" si="23"/>
        <v>水</v>
      </c>
      <c r="F146" s="26">
        <f t="shared" si="24"/>
        <v>0</v>
      </c>
      <c r="G146" s="26">
        <f>IF(ISNA(MATCH(A146,祝日定義!E:E,0)),0,1)</f>
        <v>0</v>
      </c>
      <c r="H146" s="26">
        <f>IF(ISNA(MATCH(B146&amp;"/"&amp;C146,そのた定義!E:E,0)), 0, 1)</f>
        <v>0</v>
      </c>
      <c r="I146" s="26" t="b">
        <f t="shared" si="25"/>
        <v>0</v>
      </c>
      <c r="J146" s="26">
        <v>0</v>
      </c>
      <c r="K146" s="26" t="b">
        <f t="shared" si="20"/>
        <v>0</v>
      </c>
      <c r="L146" s="23" t="b">
        <f t="shared" si="21"/>
        <v>1</v>
      </c>
      <c r="M146" t="b">
        <f t="shared" si="26"/>
        <v>0</v>
      </c>
      <c r="N146" t="b">
        <f t="shared" si="27"/>
        <v>0</v>
      </c>
    </row>
    <row r="147" spans="1:14">
      <c r="A147" s="29">
        <v>44707</v>
      </c>
      <c r="B147" s="30">
        <f t="shared" si="19"/>
        <v>5</v>
      </c>
      <c r="C147" s="30">
        <f t="shared" si="22"/>
        <v>26</v>
      </c>
      <c r="D147" s="26">
        <f>MATCH(WEEKDAY(A147),そのた定義!A:A,0)</f>
        <v>6</v>
      </c>
      <c r="E147" s="26" t="str">
        <f t="shared" ca="1" si="23"/>
        <v>木</v>
      </c>
      <c r="F147" s="26">
        <f t="shared" si="24"/>
        <v>0</v>
      </c>
      <c r="G147" s="26">
        <f>IF(ISNA(MATCH(A147,祝日定義!E:E,0)),0,1)</f>
        <v>0</v>
      </c>
      <c r="H147" s="26">
        <f>IF(ISNA(MATCH(B147&amp;"/"&amp;C147,そのた定義!E:E,0)), 0, 1)</f>
        <v>0</v>
      </c>
      <c r="I147" s="26" t="b">
        <f t="shared" si="25"/>
        <v>0</v>
      </c>
      <c r="J147" s="26">
        <v>0</v>
      </c>
      <c r="K147" s="26" t="b">
        <f t="shared" si="20"/>
        <v>0</v>
      </c>
      <c r="L147" s="26" t="b">
        <f t="shared" si="21"/>
        <v>0</v>
      </c>
      <c r="M147" t="b">
        <f t="shared" si="26"/>
        <v>0</v>
      </c>
      <c r="N147" t="b">
        <f t="shared" si="27"/>
        <v>0</v>
      </c>
    </row>
    <row r="148" spans="1:14">
      <c r="A148" s="29">
        <v>44708</v>
      </c>
      <c r="B148" s="30">
        <f t="shared" si="19"/>
        <v>5</v>
      </c>
      <c r="C148" s="30">
        <f t="shared" si="22"/>
        <v>27</v>
      </c>
      <c r="D148" s="26">
        <f>MATCH(WEEKDAY(A148),そのた定義!A:A,0)</f>
        <v>7</v>
      </c>
      <c r="E148" s="26" t="str">
        <f t="shared" ca="1" si="23"/>
        <v>金</v>
      </c>
      <c r="F148" s="26">
        <f t="shared" si="24"/>
        <v>0</v>
      </c>
      <c r="G148" s="26">
        <f>IF(ISNA(MATCH(A148,祝日定義!E:E,0)),0,1)</f>
        <v>0</v>
      </c>
      <c r="H148" s="26">
        <f>IF(ISNA(MATCH(B148&amp;"/"&amp;C148,そのた定義!E:E,0)), 0, 1)</f>
        <v>0</v>
      </c>
      <c r="I148" s="26" t="b">
        <f t="shared" si="25"/>
        <v>0</v>
      </c>
      <c r="J148" s="26">
        <v>0</v>
      </c>
      <c r="K148" s="26" t="b">
        <f t="shared" si="20"/>
        <v>0</v>
      </c>
      <c r="L148" s="26" t="b">
        <f t="shared" si="21"/>
        <v>0</v>
      </c>
      <c r="M148" t="b">
        <f t="shared" si="26"/>
        <v>0</v>
      </c>
      <c r="N148" t="b">
        <f t="shared" si="27"/>
        <v>0</v>
      </c>
    </row>
    <row r="149" spans="1:14">
      <c r="A149" s="29">
        <v>44709</v>
      </c>
      <c r="B149" s="30">
        <f t="shared" si="19"/>
        <v>5</v>
      </c>
      <c r="C149" s="30">
        <f t="shared" si="22"/>
        <v>28</v>
      </c>
      <c r="D149" s="26">
        <f>MATCH(WEEKDAY(A149),そのた定義!A:A,0)</f>
        <v>8</v>
      </c>
      <c r="E149" s="33" t="str">
        <f t="shared" ca="1" si="23"/>
        <v>土</v>
      </c>
      <c r="F149" s="26">
        <f t="shared" si="24"/>
        <v>1</v>
      </c>
      <c r="G149" s="26">
        <f>IF(ISNA(MATCH(A149,祝日定義!E:E,0)),0,1)</f>
        <v>0</v>
      </c>
      <c r="H149" s="26">
        <f>IF(ISNA(MATCH(B149&amp;"/"&amp;C149,そのた定義!E:E,0)), 0, 1)</f>
        <v>0</v>
      </c>
      <c r="I149" s="23" t="b">
        <f t="shared" si="25"/>
        <v>1</v>
      </c>
      <c r="J149" s="26">
        <v>0</v>
      </c>
      <c r="K149" s="26" t="b">
        <f t="shared" si="20"/>
        <v>0</v>
      </c>
      <c r="L149" s="26" t="b">
        <f t="shared" si="21"/>
        <v>0</v>
      </c>
      <c r="M149" t="b">
        <f t="shared" si="26"/>
        <v>0</v>
      </c>
      <c r="N149" t="b">
        <f t="shared" si="27"/>
        <v>0</v>
      </c>
    </row>
    <row r="150" spans="1:14">
      <c r="A150" s="29">
        <v>44710</v>
      </c>
      <c r="B150" s="30">
        <f t="shared" si="19"/>
        <v>5</v>
      </c>
      <c r="C150" s="30">
        <f t="shared" si="22"/>
        <v>29</v>
      </c>
      <c r="D150" s="26">
        <f>MATCH(WEEKDAY(A150),そのた定義!A:A,0)</f>
        <v>2</v>
      </c>
      <c r="E150" s="32" t="str">
        <f t="shared" ca="1" si="23"/>
        <v>日</v>
      </c>
      <c r="F150" s="26">
        <f t="shared" si="24"/>
        <v>1</v>
      </c>
      <c r="G150" s="26">
        <f>IF(ISNA(MATCH(A150,祝日定義!E:E,0)),0,1)</f>
        <v>0</v>
      </c>
      <c r="H150" s="26">
        <f>IF(ISNA(MATCH(B150&amp;"/"&amp;C150,そのた定義!E:E,0)), 0, 1)</f>
        <v>0</v>
      </c>
      <c r="I150" s="23" t="b">
        <f t="shared" si="25"/>
        <v>1</v>
      </c>
      <c r="J150" s="26">
        <v>0</v>
      </c>
      <c r="K150" s="26" t="b">
        <f t="shared" si="20"/>
        <v>0</v>
      </c>
      <c r="L150" s="26" t="b">
        <f t="shared" si="21"/>
        <v>0</v>
      </c>
      <c r="M150" t="b">
        <f t="shared" si="26"/>
        <v>0</v>
      </c>
      <c r="N150" t="b">
        <f t="shared" si="27"/>
        <v>0</v>
      </c>
    </row>
    <row r="151" spans="1:14">
      <c r="A151" s="29">
        <v>44711</v>
      </c>
      <c r="B151" s="30">
        <f t="shared" si="19"/>
        <v>5</v>
      </c>
      <c r="C151" s="30">
        <f t="shared" si="22"/>
        <v>30</v>
      </c>
      <c r="D151" s="26">
        <f>MATCH(WEEKDAY(A151),そのた定義!A:A,0)</f>
        <v>3</v>
      </c>
      <c r="E151" s="26" t="str">
        <f t="shared" ca="1" si="23"/>
        <v>月</v>
      </c>
      <c r="F151" s="26">
        <f t="shared" si="24"/>
        <v>0</v>
      </c>
      <c r="G151" s="26">
        <f>IF(ISNA(MATCH(A151,祝日定義!E:E,0)),0,1)</f>
        <v>0</v>
      </c>
      <c r="H151" s="26">
        <f>IF(ISNA(MATCH(B151&amp;"/"&amp;C151,そのた定義!E:E,0)), 0, 1)</f>
        <v>0</v>
      </c>
      <c r="I151" s="26" t="b">
        <f t="shared" si="25"/>
        <v>0</v>
      </c>
      <c r="J151" s="26">
        <v>2</v>
      </c>
      <c r="K151" s="26" t="b">
        <f t="shared" si="20"/>
        <v>0</v>
      </c>
      <c r="L151" s="26" t="b">
        <f t="shared" si="21"/>
        <v>0</v>
      </c>
      <c r="M151" t="b">
        <f t="shared" si="26"/>
        <v>0</v>
      </c>
      <c r="N151" t="b">
        <f t="shared" si="27"/>
        <v>0</v>
      </c>
    </row>
    <row r="152" spans="1:14">
      <c r="A152" s="29">
        <v>44712</v>
      </c>
      <c r="B152" s="30">
        <f t="shared" si="19"/>
        <v>5</v>
      </c>
      <c r="C152" s="30">
        <f t="shared" si="22"/>
        <v>31</v>
      </c>
      <c r="D152" s="26">
        <f>MATCH(WEEKDAY(A152),そのた定義!A:A,0)</f>
        <v>4</v>
      </c>
      <c r="E152" s="26" t="str">
        <f t="shared" ca="1" si="23"/>
        <v>火</v>
      </c>
      <c r="F152" s="26">
        <f t="shared" si="24"/>
        <v>0</v>
      </c>
      <c r="G152" s="26">
        <f>IF(ISNA(MATCH(A152,祝日定義!E:E,0)),0,1)</f>
        <v>0</v>
      </c>
      <c r="H152" s="26">
        <f>IF(ISNA(MATCH(B152&amp;"/"&amp;C152,そのた定義!E:E,0)), 0, 1)</f>
        <v>0</v>
      </c>
      <c r="I152" s="26" t="b">
        <f t="shared" si="25"/>
        <v>0</v>
      </c>
      <c r="J152" s="26">
        <v>0</v>
      </c>
      <c r="K152" s="26" t="b">
        <f t="shared" si="20"/>
        <v>0</v>
      </c>
      <c r="L152" s="26" t="b">
        <f t="shared" si="21"/>
        <v>0</v>
      </c>
      <c r="M152" t="b">
        <f t="shared" si="26"/>
        <v>0</v>
      </c>
      <c r="N152" t="b">
        <f t="shared" si="27"/>
        <v>1</v>
      </c>
    </row>
    <row r="153" spans="1:14">
      <c r="A153" s="29">
        <v>44713</v>
      </c>
      <c r="B153" s="30">
        <f t="shared" si="19"/>
        <v>6</v>
      </c>
      <c r="C153" s="30">
        <f t="shared" si="22"/>
        <v>1</v>
      </c>
      <c r="D153" s="26">
        <f>MATCH(WEEKDAY(A153),そのた定義!A:A,0)</f>
        <v>5</v>
      </c>
      <c r="E153" s="26" t="str">
        <f t="shared" ca="1" si="23"/>
        <v>水</v>
      </c>
      <c r="F153" s="26">
        <f t="shared" si="24"/>
        <v>0</v>
      </c>
      <c r="G153" s="26">
        <f>IF(ISNA(MATCH(A153,祝日定義!E:E,0)),0,1)</f>
        <v>0</v>
      </c>
      <c r="H153" s="26">
        <f>IF(ISNA(MATCH(B153&amp;"/"&amp;C153,そのた定義!E:E,0)), 0, 1)</f>
        <v>0</v>
      </c>
      <c r="I153" s="26" t="b">
        <f t="shared" si="25"/>
        <v>0</v>
      </c>
      <c r="J153" s="26">
        <v>0</v>
      </c>
      <c r="K153" s="26" t="b">
        <f t="shared" si="20"/>
        <v>0</v>
      </c>
      <c r="L153" s="26" t="b">
        <f t="shared" si="21"/>
        <v>0</v>
      </c>
      <c r="M153" t="b">
        <f t="shared" si="26"/>
        <v>0</v>
      </c>
      <c r="N153" t="b">
        <f t="shared" si="27"/>
        <v>0</v>
      </c>
    </row>
    <row r="154" spans="1:14">
      <c r="A154" s="29">
        <v>44714</v>
      </c>
      <c r="B154" s="30">
        <f t="shared" si="19"/>
        <v>6</v>
      </c>
      <c r="C154" s="30">
        <f t="shared" si="22"/>
        <v>2</v>
      </c>
      <c r="D154" s="26">
        <f>MATCH(WEEKDAY(A154),そのた定義!A:A,0)</f>
        <v>6</v>
      </c>
      <c r="E154" s="26" t="str">
        <f t="shared" ca="1" si="23"/>
        <v>木</v>
      </c>
      <c r="F154" s="26">
        <f t="shared" si="24"/>
        <v>0</v>
      </c>
      <c r="G154" s="26">
        <f>IF(ISNA(MATCH(A154,祝日定義!E:E,0)),0,1)</f>
        <v>0</v>
      </c>
      <c r="H154" s="26">
        <f>IF(ISNA(MATCH(B154&amp;"/"&amp;C154,そのた定義!E:E,0)), 0, 1)</f>
        <v>0</v>
      </c>
      <c r="I154" s="26" t="b">
        <f t="shared" si="25"/>
        <v>0</v>
      </c>
      <c r="J154" s="26">
        <v>0</v>
      </c>
      <c r="K154" s="26" t="b">
        <f t="shared" si="20"/>
        <v>0</v>
      </c>
      <c r="L154" s="26" t="b">
        <f t="shared" si="21"/>
        <v>0</v>
      </c>
      <c r="M154" t="b">
        <f t="shared" si="26"/>
        <v>0</v>
      </c>
      <c r="N154" t="b">
        <f t="shared" si="27"/>
        <v>0</v>
      </c>
    </row>
    <row r="155" spans="1:14">
      <c r="A155" s="29">
        <v>44715</v>
      </c>
      <c r="B155" s="30">
        <f t="shared" si="19"/>
        <v>6</v>
      </c>
      <c r="C155" s="30">
        <f t="shared" si="22"/>
        <v>3</v>
      </c>
      <c r="D155" s="26">
        <f>MATCH(WEEKDAY(A155),そのた定義!A:A,0)</f>
        <v>7</v>
      </c>
      <c r="E155" s="26" t="str">
        <f t="shared" ca="1" si="23"/>
        <v>金</v>
      </c>
      <c r="F155" s="26">
        <f t="shared" si="24"/>
        <v>0</v>
      </c>
      <c r="G155" s="26">
        <f>IF(ISNA(MATCH(A155,祝日定義!E:E,0)),0,1)</f>
        <v>0</v>
      </c>
      <c r="H155" s="26">
        <f>IF(ISNA(MATCH(B155&amp;"/"&amp;C155,そのた定義!E:E,0)), 0, 1)</f>
        <v>0</v>
      </c>
      <c r="I155" s="26" t="b">
        <f t="shared" si="25"/>
        <v>0</v>
      </c>
      <c r="J155" s="26">
        <v>0</v>
      </c>
      <c r="K155" s="26" t="b">
        <f t="shared" si="20"/>
        <v>0</v>
      </c>
      <c r="L155" s="26" t="b">
        <f t="shared" si="21"/>
        <v>0</v>
      </c>
      <c r="M155" t="b">
        <f t="shared" si="26"/>
        <v>0</v>
      </c>
      <c r="N155" t="b">
        <f t="shared" si="27"/>
        <v>0</v>
      </c>
    </row>
    <row r="156" spans="1:14">
      <c r="A156" s="29">
        <v>44716</v>
      </c>
      <c r="B156" s="30">
        <f t="shared" si="19"/>
        <v>6</v>
      </c>
      <c r="C156" s="30">
        <f t="shared" si="22"/>
        <v>4</v>
      </c>
      <c r="D156" s="26">
        <f>MATCH(WEEKDAY(A156),そのた定義!A:A,0)</f>
        <v>8</v>
      </c>
      <c r="E156" s="33" t="str">
        <f t="shared" ca="1" si="23"/>
        <v>土</v>
      </c>
      <c r="F156" s="26">
        <f t="shared" si="24"/>
        <v>1</v>
      </c>
      <c r="G156" s="26">
        <f>IF(ISNA(MATCH(A156,祝日定義!E:E,0)),0,1)</f>
        <v>0</v>
      </c>
      <c r="H156" s="26">
        <f>IF(ISNA(MATCH(B156&amp;"/"&amp;C156,そのた定義!E:E,0)), 0, 1)</f>
        <v>0</v>
      </c>
      <c r="I156" s="23" t="b">
        <f t="shared" si="25"/>
        <v>1</v>
      </c>
      <c r="J156" s="26">
        <v>0</v>
      </c>
      <c r="K156" s="26" t="b">
        <f t="shared" si="20"/>
        <v>0</v>
      </c>
      <c r="L156" s="26" t="b">
        <f t="shared" si="21"/>
        <v>0</v>
      </c>
      <c r="M156" t="b">
        <f t="shared" si="26"/>
        <v>0</v>
      </c>
      <c r="N156" t="b">
        <f t="shared" si="27"/>
        <v>0</v>
      </c>
    </row>
    <row r="157" spans="1:14">
      <c r="A157" s="29">
        <v>44717</v>
      </c>
      <c r="B157" s="30">
        <f t="shared" si="19"/>
        <v>6</v>
      </c>
      <c r="C157" s="30">
        <f t="shared" si="22"/>
        <v>5</v>
      </c>
      <c r="D157" s="26">
        <f>MATCH(WEEKDAY(A157),そのた定義!A:A,0)</f>
        <v>2</v>
      </c>
      <c r="E157" s="32" t="str">
        <f t="shared" ca="1" si="23"/>
        <v>日</v>
      </c>
      <c r="F157" s="26">
        <f t="shared" si="24"/>
        <v>1</v>
      </c>
      <c r="G157" s="26">
        <f>IF(ISNA(MATCH(A157,祝日定義!E:E,0)),0,1)</f>
        <v>0</v>
      </c>
      <c r="H157" s="26">
        <f>IF(ISNA(MATCH(B157&amp;"/"&amp;C157,そのた定義!E:E,0)), 0, 1)</f>
        <v>0</v>
      </c>
      <c r="I157" s="23" t="b">
        <f t="shared" si="25"/>
        <v>1</v>
      </c>
      <c r="J157" s="26">
        <v>0</v>
      </c>
      <c r="K157" s="26" t="b">
        <f t="shared" si="20"/>
        <v>0</v>
      </c>
      <c r="L157" s="26" t="b">
        <f t="shared" si="21"/>
        <v>0</v>
      </c>
      <c r="M157" t="b">
        <f t="shared" si="26"/>
        <v>0</v>
      </c>
      <c r="N157" t="b">
        <f t="shared" si="27"/>
        <v>0</v>
      </c>
    </row>
    <row r="158" spans="1:14">
      <c r="A158" s="29">
        <v>44718</v>
      </c>
      <c r="B158" s="30">
        <f t="shared" si="19"/>
        <v>6</v>
      </c>
      <c r="C158" s="30">
        <f t="shared" si="22"/>
        <v>6</v>
      </c>
      <c r="D158" s="26">
        <f>MATCH(WEEKDAY(A158),そのた定義!A:A,0)</f>
        <v>3</v>
      </c>
      <c r="E158" s="26" t="str">
        <f t="shared" ca="1" si="23"/>
        <v>月</v>
      </c>
      <c r="F158" s="26">
        <f t="shared" si="24"/>
        <v>0</v>
      </c>
      <c r="G158" s="26">
        <f>IF(ISNA(MATCH(A158,祝日定義!E:E,0)),0,1)</f>
        <v>0</v>
      </c>
      <c r="H158" s="26">
        <f>IF(ISNA(MATCH(B158&amp;"/"&amp;C158,そのた定義!E:E,0)), 0, 1)</f>
        <v>0</v>
      </c>
      <c r="I158" s="26" t="b">
        <f t="shared" si="25"/>
        <v>0</v>
      </c>
      <c r="J158" s="26">
        <v>2</v>
      </c>
      <c r="K158" s="26" t="b">
        <f t="shared" si="20"/>
        <v>0</v>
      </c>
      <c r="L158" s="26" t="b">
        <f t="shared" si="21"/>
        <v>0</v>
      </c>
      <c r="M158" t="b">
        <f t="shared" si="26"/>
        <v>0</v>
      </c>
      <c r="N158" t="b">
        <f t="shared" si="27"/>
        <v>0</v>
      </c>
    </row>
    <row r="159" spans="1:14">
      <c r="A159" s="29">
        <v>44719</v>
      </c>
      <c r="B159" s="30">
        <f t="shared" si="19"/>
        <v>6</v>
      </c>
      <c r="C159" s="30">
        <f t="shared" si="22"/>
        <v>7</v>
      </c>
      <c r="D159" s="26">
        <f>MATCH(WEEKDAY(A159),そのた定義!A:A,0)</f>
        <v>4</v>
      </c>
      <c r="E159" s="26" t="str">
        <f t="shared" ca="1" si="23"/>
        <v>火</v>
      </c>
      <c r="F159" s="26">
        <f t="shared" si="24"/>
        <v>0</v>
      </c>
      <c r="G159" s="26">
        <f>IF(ISNA(MATCH(A159,祝日定義!E:E,0)),0,1)</f>
        <v>0</v>
      </c>
      <c r="H159" s="26">
        <f>IF(ISNA(MATCH(B159&amp;"/"&amp;C159,そのた定義!E:E,0)), 0, 1)</f>
        <v>0</v>
      </c>
      <c r="I159" s="26" t="b">
        <f t="shared" si="25"/>
        <v>0</v>
      </c>
      <c r="J159" s="26">
        <v>0</v>
      </c>
      <c r="K159" s="26" t="b">
        <f t="shared" si="20"/>
        <v>0</v>
      </c>
      <c r="L159" s="26" t="b">
        <f t="shared" si="21"/>
        <v>0</v>
      </c>
      <c r="M159" t="b">
        <f t="shared" si="26"/>
        <v>0</v>
      </c>
      <c r="N159" t="b">
        <f t="shared" si="27"/>
        <v>0</v>
      </c>
    </row>
    <row r="160" spans="1:14">
      <c r="A160" s="29">
        <v>44720</v>
      </c>
      <c r="B160" s="30">
        <f t="shared" si="19"/>
        <v>6</v>
      </c>
      <c r="C160" s="30">
        <f t="shared" si="22"/>
        <v>8</v>
      </c>
      <c r="D160" s="26">
        <f>MATCH(WEEKDAY(A160),そのた定義!A:A,0)</f>
        <v>5</v>
      </c>
      <c r="E160" s="26" t="str">
        <f t="shared" ca="1" si="23"/>
        <v>水</v>
      </c>
      <c r="F160" s="26">
        <f t="shared" si="24"/>
        <v>0</v>
      </c>
      <c r="G160" s="26">
        <f>IF(ISNA(MATCH(A160,祝日定義!E:E,0)),0,1)</f>
        <v>0</v>
      </c>
      <c r="H160" s="26">
        <f>IF(ISNA(MATCH(B160&amp;"/"&amp;C160,そのた定義!E:E,0)), 0, 1)</f>
        <v>0</v>
      </c>
      <c r="I160" s="26" t="b">
        <f t="shared" si="25"/>
        <v>0</v>
      </c>
      <c r="J160" s="26">
        <v>0</v>
      </c>
      <c r="K160" s="26" t="b">
        <f t="shared" si="20"/>
        <v>0</v>
      </c>
      <c r="L160" s="26" t="b">
        <f t="shared" si="21"/>
        <v>0</v>
      </c>
      <c r="M160" t="b">
        <f t="shared" si="26"/>
        <v>0</v>
      </c>
      <c r="N160" t="b">
        <f t="shared" si="27"/>
        <v>0</v>
      </c>
    </row>
    <row r="161" spans="1:14">
      <c r="A161" s="29">
        <v>44721</v>
      </c>
      <c r="B161" s="30">
        <f t="shared" si="19"/>
        <v>6</v>
      </c>
      <c r="C161" s="30">
        <f t="shared" si="22"/>
        <v>9</v>
      </c>
      <c r="D161" s="26">
        <f>MATCH(WEEKDAY(A161),そのた定義!A:A,0)</f>
        <v>6</v>
      </c>
      <c r="E161" s="26" t="str">
        <f t="shared" ca="1" si="23"/>
        <v>木</v>
      </c>
      <c r="F161" s="26">
        <f t="shared" si="24"/>
        <v>0</v>
      </c>
      <c r="G161" s="26">
        <f>IF(ISNA(MATCH(A161,祝日定義!E:E,0)),0,1)</f>
        <v>0</v>
      </c>
      <c r="H161" s="26">
        <f>IF(ISNA(MATCH(B161&amp;"/"&amp;C161,そのた定義!E:E,0)), 0, 1)</f>
        <v>0</v>
      </c>
      <c r="I161" s="26" t="b">
        <f t="shared" si="25"/>
        <v>0</v>
      </c>
      <c r="J161" s="26">
        <v>0</v>
      </c>
      <c r="K161" s="26" t="b">
        <f t="shared" si="20"/>
        <v>0</v>
      </c>
      <c r="L161" s="26" t="b">
        <f t="shared" si="21"/>
        <v>0</v>
      </c>
      <c r="M161" t="b">
        <f t="shared" si="26"/>
        <v>0</v>
      </c>
      <c r="N161" t="b">
        <f t="shared" si="27"/>
        <v>0</v>
      </c>
    </row>
    <row r="162" spans="1:14">
      <c r="A162" s="29">
        <v>44722</v>
      </c>
      <c r="B162" s="30">
        <f t="shared" si="19"/>
        <v>6</v>
      </c>
      <c r="C162" s="30">
        <f t="shared" si="22"/>
        <v>10</v>
      </c>
      <c r="D162" s="26">
        <f>MATCH(WEEKDAY(A162),そのた定義!A:A,0)</f>
        <v>7</v>
      </c>
      <c r="E162" s="26" t="str">
        <f t="shared" ca="1" si="23"/>
        <v>金</v>
      </c>
      <c r="F162" s="26">
        <f t="shared" si="24"/>
        <v>0</v>
      </c>
      <c r="G162" s="26">
        <f>IF(ISNA(MATCH(A162,祝日定義!E:E,0)),0,1)</f>
        <v>0</v>
      </c>
      <c r="H162" s="26">
        <f>IF(ISNA(MATCH(B162&amp;"/"&amp;C162,そのた定義!E:E,0)), 0, 1)</f>
        <v>0</v>
      </c>
      <c r="I162" s="26" t="b">
        <f t="shared" si="25"/>
        <v>0</v>
      </c>
      <c r="J162" s="26">
        <v>0</v>
      </c>
      <c r="K162" s="26" t="b">
        <f t="shared" si="20"/>
        <v>0</v>
      </c>
      <c r="L162" s="26" t="b">
        <f t="shared" si="21"/>
        <v>0</v>
      </c>
      <c r="M162" t="b">
        <f t="shared" si="26"/>
        <v>0</v>
      </c>
      <c r="N162" t="b">
        <f t="shared" si="27"/>
        <v>0</v>
      </c>
    </row>
    <row r="163" spans="1:14">
      <c r="A163" s="29">
        <v>44723</v>
      </c>
      <c r="B163" s="30">
        <f t="shared" si="19"/>
        <v>6</v>
      </c>
      <c r="C163" s="30">
        <f t="shared" si="22"/>
        <v>11</v>
      </c>
      <c r="D163" s="26">
        <f>MATCH(WEEKDAY(A163),そのた定義!A:A,0)</f>
        <v>8</v>
      </c>
      <c r="E163" s="33" t="str">
        <f t="shared" ca="1" si="23"/>
        <v>土</v>
      </c>
      <c r="F163" s="26">
        <f t="shared" si="24"/>
        <v>1</v>
      </c>
      <c r="G163" s="26">
        <f>IF(ISNA(MATCH(A163,祝日定義!E:E,0)),0,1)</f>
        <v>0</v>
      </c>
      <c r="H163" s="26">
        <f>IF(ISNA(MATCH(B163&amp;"/"&amp;C163,そのた定義!E:E,0)), 0, 1)</f>
        <v>0</v>
      </c>
      <c r="I163" s="23" t="b">
        <f t="shared" si="25"/>
        <v>1</v>
      </c>
      <c r="J163" s="26">
        <v>0</v>
      </c>
      <c r="K163" s="26" t="b">
        <f t="shared" si="20"/>
        <v>0</v>
      </c>
      <c r="L163" s="26" t="b">
        <f t="shared" si="21"/>
        <v>0</v>
      </c>
      <c r="M163" t="b">
        <f t="shared" si="26"/>
        <v>0</v>
      </c>
      <c r="N163" t="b">
        <f t="shared" si="27"/>
        <v>0</v>
      </c>
    </row>
    <row r="164" spans="1:14">
      <c r="A164" s="29">
        <v>44724</v>
      </c>
      <c r="B164" s="30">
        <f t="shared" si="19"/>
        <v>6</v>
      </c>
      <c r="C164" s="30">
        <f t="shared" si="22"/>
        <v>12</v>
      </c>
      <c r="D164" s="26">
        <f>MATCH(WEEKDAY(A164),そのた定義!A:A,0)</f>
        <v>2</v>
      </c>
      <c r="E164" s="32" t="str">
        <f t="shared" ca="1" si="23"/>
        <v>日</v>
      </c>
      <c r="F164" s="26">
        <f t="shared" si="24"/>
        <v>1</v>
      </c>
      <c r="G164" s="26">
        <f>IF(ISNA(MATCH(A164,祝日定義!E:E,0)),0,1)</f>
        <v>0</v>
      </c>
      <c r="H164" s="26">
        <f>IF(ISNA(MATCH(B164&amp;"/"&amp;C164,そのた定義!E:E,0)), 0, 1)</f>
        <v>0</v>
      </c>
      <c r="I164" s="23" t="b">
        <f t="shared" si="25"/>
        <v>1</v>
      </c>
      <c r="J164" s="26">
        <v>0</v>
      </c>
      <c r="K164" s="26" t="b">
        <f t="shared" si="20"/>
        <v>0</v>
      </c>
      <c r="L164" s="26" t="b">
        <f t="shared" si="21"/>
        <v>0</v>
      </c>
      <c r="M164" t="b">
        <f t="shared" si="26"/>
        <v>0</v>
      </c>
      <c r="N164" t="b">
        <f t="shared" si="27"/>
        <v>0</v>
      </c>
    </row>
    <row r="165" spans="1:14">
      <c r="A165" s="29">
        <v>44725</v>
      </c>
      <c r="B165" s="30">
        <f t="shared" si="19"/>
        <v>6</v>
      </c>
      <c r="C165" s="30">
        <f t="shared" si="22"/>
        <v>13</v>
      </c>
      <c r="D165" s="26">
        <f>MATCH(WEEKDAY(A165),そのた定義!A:A,0)</f>
        <v>3</v>
      </c>
      <c r="E165" s="26" t="str">
        <f t="shared" ca="1" si="23"/>
        <v>月</v>
      </c>
      <c r="F165" s="26">
        <f t="shared" si="24"/>
        <v>0</v>
      </c>
      <c r="G165" s="26">
        <f>IF(ISNA(MATCH(A165,祝日定義!E:E,0)),0,1)</f>
        <v>0</v>
      </c>
      <c r="H165" s="26">
        <f>IF(ISNA(MATCH(B165&amp;"/"&amp;C165,そのた定義!E:E,0)), 0, 1)</f>
        <v>0</v>
      </c>
      <c r="I165" s="26" t="b">
        <f t="shared" si="25"/>
        <v>0</v>
      </c>
      <c r="J165" s="26">
        <v>2</v>
      </c>
      <c r="K165" s="26" t="b">
        <f t="shared" si="20"/>
        <v>0</v>
      </c>
      <c r="L165" s="26" t="b">
        <f t="shared" si="21"/>
        <v>0</v>
      </c>
      <c r="M165" t="b">
        <f t="shared" si="26"/>
        <v>0</v>
      </c>
      <c r="N165" t="b">
        <f t="shared" si="27"/>
        <v>0</v>
      </c>
    </row>
    <row r="166" spans="1:14">
      <c r="A166" s="29">
        <v>44726</v>
      </c>
      <c r="B166" s="30">
        <f t="shared" si="19"/>
        <v>6</v>
      </c>
      <c r="C166" s="30">
        <f t="shared" si="22"/>
        <v>14</v>
      </c>
      <c r="D166" s="26">
        <f>MATCH(WEEKDAY(A166),そのた定義!A:A,0)</f>
        <v>4</v>
      </c>
      <c r="E166" s="26" t="str">
        <f t="shared" ca="1" si="23"/>
        <v>火</v>
      </c>
      <c r="F166" s="26">
        <f t="shared" si="24"/>
        <v>0</v>
      </c>
      <c r="G166" s="26">
        <f>IF(ISNA(MATCH(A166,祝日定義!E:E,0)),0,1)</f>
        <v>0</v>
      </c>
      <c r="H166" s="26">
        <f>IF(ISNA(MATCH(B166&amp;"/"&amp;C166,そのた定義!E:E,0)), 0, 1)</f>
        <v>0</v>
      </c>
      <c r="I166" s="26" t="b">
        <f t="shared" si="25"/>
        <v>0</v>
      </c>
      <c r="J166" s="26">
        <v>0</v>
      </c>
      <c r="K166" s="26" t="b">
        <f t="shared" si="20"/>
        <v>0</v>
      </c>
      <c r="L166" s="26" t="b">
        <f t="shared" si="21"/>
        <v>0</v>
      </c>
      <c r="M166" t="b">
        <f t="shared" si="26"/>
        <v>0</v>
      </c>
      <c r="N166" t="b">
        <f t="shared" si="27"/>
        <v>0</v>
      </c>
    </row>
    <row r="167" spans="1:14">
      <c r="A167" s="29">
        <v>44727</v>
      </c>
      <c r="B167" s="30">
        <f t="shared" si="19"/>
        <v>6</v>
      </c>
      <c r="C167" s="30">
        <f t="shared" si="22"/>
        <v>15</v>
      </c>
      <c r="D167" s="26">
        <f>MATCH(WEEKDAY(A167),そのた定義!A:A,0)</f>
        <v>5</v>
      </c>
      <c r="E167" s="26" t="str">
        <f t="shared" ca="1" si="23"/>
        <v>水</v>
      </c>
      <c r="F167" s="26">
        <f t="shared" si="24"/>
        <v>0</v>
      </c>
      <c r="G167" s="26">
        <f>IF(ISNA(MATCH(A167,祝日定義!E:E,0)),0,1)</f>
        <v>0</v>
      </c>
      <c r="H167" s="26">
        <f>IF(ISNA(MATCH(B167&amp;"/"&amp;C167,そのた定義!E:E,0)), 0, 1)</f>
        <v>0</v>
      </c>
      <c r="I167" s="26" t="b">
        <f t="shared" si="25"/>
        <v>0</v>
      </c>
      <c r="J167" s="26">
        <v>0</v>
      </c>
      <c r="K167" s="26" t="b">
        <f t="shared" si="20"/>
        <v>0</v>
      </c>
      <c r="L167" s="26" t="b">
        <f t="shared" si="21"/>
        <v>0</v>
      </c>
      <c r="M167" t="b">
        <f t="shared" si="26"/>
        <v>0</v>
      </c>
      <c r="N167" t="b">
        <f t="shared" si="27"/>
        <v>0</v>
      </c>
    </row>
    <row r="168" spans="1:14">
      <c r="A168" s="29">
        <v>44728</v>
      </c>
      <c r="B168" s="30">
        <f t="shared" si="19"/>
        <v>6</v>
      </c>
      <c r="C168" s="30">
        <f t="shared" si="22"/>
        <v>16</v>
      </c>
      <c r="D168" s="26">
        <f>MATCH(WEEKDAY(A168),そのた定義!A:A,0)</f>
        <v>6</v>
      </c>
      <c r="E168" s="26" t="str">
        <f t="shared" ca="1" si="23"/>
        <v>木</v>
      </c>
      <c r="F168" s="26">
        <f t="shared" si="24"/>
        <v>0</v>
      </c>
      <c r="G168" s="26">
        <f>IF(ISNA(MATCH(A168,祝日定義!E:E,0)),0,1)</f>
        <v>0</v>
      </c>
      <c r="H168" s="26">
        <f>IF(ISNA(MATCH(B168&amp;"/"&amp;C168,そのた定義!E:E,0)), 0, 1)</f>
        <v>0</v>
      </c>
      <c r="I168" s="26" t="b">
        <f t="shared" si="25"/>
        <v>0</v>
      </c>
      <c r="J168" s="26">
        <v>0</v>
      </c>
      <c r="K168" s="26" t="b">
        <f t="shared" si="20"/>
        <v>0</v>
      </c>
      <c r="L168" s="26" t="b">
        <f t="shared" si="21"/>
        <v>0</v>
      </c>
      <c r="M168" t="b">
        <f t="shared" si="26"/>
        <v>0</v>
      </c>
      <c r="N168" t="b">
        <f t="shared" si="27"/>
        <v>0</v>
      </c>
    </row>
    <row r="169" spans="1:14">
      <c r="A169" s="29">
        <v>44729</v>
      </c>
      <c r="B169" s="30">
        <f t="shared" si="19"/>
        <v>6</v>
      </c>
      <c r="C169" s="30">
        <f t="shared" si="22"/>
        <v>17</v>
      </c>
      <c r="D169" s="26">
        <f>MATCH(WEEKDAY(A169),そのた定義!A:A,0)</f>
        <v>7</v>
      </c>
      <c r="E169" s="26" t="str">
        <f t="shared" ca="1" si="23"/>
        <v>金</v>
      </c>
      <c r="F169" s="26">
        <f t="shared" si="24"/>
        <v>0</v>
      </c>
      <c r="G169" s="26">
        <f>IF(ISNA(MATCH(A169,祝日定義!E:E,0)),0,1)</f>
        <v>0</v>
      </c>
      <c r="H169" s="26">
        <f>IF(ISNA(MATCH(B169&amp;"/"&amp;C169,そのた定義!E:E,0)), 0, 1)</f>
        <v>0</v>
      </c>
      <c r="I169" s="26" t="b">
        <f t="shared" si="25"/>
        <v>0</v>
      </c>
      <c r="J169" s="26">
        <v>0</v>
      </c>
      <c r="K169" s="26" t="b">
        <f t="shared" si="20"/>
        <v>0</v>
      </c>
      <c r="L169" s="26" t="b">
        <f t="shared" si="21"/>
        <v>0</v>
      </c>
      <c r="M169" t="b">
        <f t="shared" si="26"/>
        <v>0</v>
      </c>
      <c r="N169" t="b">
        <f t="shared" si="27"/>
        <v>0</v>
      </c>
    </row>
    <row r="170" spans="1:14">
      <c r="A170" s="29">
        <v>44730</v>
      </c>
      <c r="B170" s="30">
        <f t="shared" si="19"/>
        <v>6</v>
      </c>
      <c r="C170" s="30">
        <f t="shared" si="22"/>
        <v>18</v>
      </c>
      <c r="D170" s="26">
        <f>MATCH(WEEKDAY(A170),そのた定義!A:A,0)</f>
        <v>8</v>
      </c>
      <c r="E170" s="33" t="str">
        <f t="shared" ca="1" si="23"/>
        <v>土</v>
      </c>
      <c r="F170" s="26">
        <f t="shared" si="24"/>
        <v>1</v>
      </c>
      <c r="G170" s="26">
        <f>IF(ISNA(MATCH(A170,祝日定義!E:E,0)),0,1)</f>
        <v>0</v>
      </c>
      <c r="H170" s="26">
        <f>IF(ISNA(MATCH(B170&amp;"/"&amp;C170,そのた定義!E:E,0)), 0, 1)</f>
        <v>0</v>
      </c>
      <c r="I170" s="23" t="b">
        <f t="shared" si="25"/>
        <v>1</v>
      </c>
      <c r="J170" s="26">
        <v>0</v>
      </c>
      <c r="K170" s="26" t="b">
        <f t="shared" si="20"/>
        <v>0</v>
      </c>
      <c r="L170" s="26" t="b">
        <f t="shared" si="21"/>
        <v>0</v>
      </c>
      <c r="M170" t="b">
        <f t="shared" si="26"/>
        <v>0</v>
      </c>
      <c r="N170" t="b">
        <f t="shared" si="27"/>
        <v>0</v>
      </c>
    </row>
    <row r="171" spans="1:14">
      <c r="A171" s="29">
        <v>44731</v>
      </c>
      <c r="B171" s="30">
        <f t="shared" si="19"/>
        <v>6</v>
      </c>
      <c r="C171" s="30">
        <f t="shared" si="22"/>
        <v>19</v>
      </c>
      <c r="D171" s="26">
        <f>MATCH(WEEKDAY(A171),そのた定義!A:A,0)</f>
        <v>2</v>
      </c>
      <c r="E171" s="32" t="str">
        <f t="shared" ca="1" si="23"/>
        <v>日</v>
      </c>
      <c r="F171" s="26">
        <f t="shared" si="24"/>
        <v>1</v>
      </c>
      <c r="G171" s="26">
        <f>IF(ISNA(MATCH(A171,祝日定義!E:E,0)),0,1)</f>
        <v>0</v>
      </c>
      <c r="H171" s="26">
        <f>IF(ISNA(MATCH(B171&amp;"/"&amp;C171,そのた定義!E:E,0)), 0, 1)</f>
        <v>0</v>
      </c>
      <c r="I171" s="23" t="b">
        <f t="shared" si="25"/>
        <v>1</v>
      </c>
      <c r="J171" s="26">
        <v>0</v>
      </c>
      <c r="K171" s="26" t="b">
        <f t="shared" si="20"/>
        <v>0</v>
      </c>
      <c r="L171" s="26" t="b">
        <f t="shared" si="21"/>
        <v>0</v>
      </c>
      <c r="M171" t="b">
        <f t="shared" si="26"/>
        <v>0</v>
      </c>
      <c r="N171" t="b">
        <f t="shared" si="27"/>
        <v>0</v>
      </c>
    </row>
    <row r="172" spans="1:14">
      <c r="A172" s="29">
        <v>44732</v>
      </c>
      <c r="B172" s="30">
        <f t="shared" si="19"/>
        <v>6</v>
      </c>
      <c r="C172" s="30">
        <f t="shared" si="22"/>
        <v>20</v>
      </c>
      <c r="D172" s="26">
        <f>MATCH(WEEKDAY(A172),そのた定義!A:A,0)</f>
        <v>3</v>
      </c>
      <c r="E172" s="26" t="str">
        <f t="shared" ca="1" si="23"/>
        <v>月</v>
      </c>
      <c r="F172" s="26">
        <f t="shared" si="24"/>
        <v>0</v>
      </c>
      <c r="G172" s="26">
        <f>IF(ISNA(MATCH(A172,祝日定義!E:E,0)),0,1)</f>
        <v>0</v>
      </c>
      <c r="H172" s="26">
        <f>IF(ISNA(MATCH(B172&amp;"/"&amp;C172,そのた定義!E:E,0)), 0, 1)</f>
        <v>0</v>
      </c>
      <c r="I172" s="26" t="b">
        <f t="shared" si="25"/>
        <v>0</v>
      </c>
      <c r="J172" s="26">
        <v>2</v>
      </c>
      <c r="K172" s="26" t="b">
        <f t="shared" si="20"/>
        <v>0</v>
      </c>
      <c r="L172" s="26" t="b">
        <f t="shared" si="21"/>
        <v>0</v>
      </c>
      <c r="M172" t="b">
        <f t="shared" si="26"/>
        <v>0</v>
      </c>
      <c r="N172" t="b">
        <f t="shared" si="27"/>
        <v>0</v>
      </c>
    </row>
    <row r="173" spans="1:14">
      <c r="A173" s="29">
        <v>44733</v>
      </c>
      <c r="B173" s="30">
        <f t="shared" si="19"/>
        <v>6</v>
      </c>
      <c r="C173" s="30">
        <f t="shared" si="22"/>
        <v>21</v>
      </c>
      <c r="D173" s="26">
        <f>MATCH(WEEKDAY(A173),そのた定義!A:A,0)</f>
        <v>4</v>
      </c>
      <c r="E173" s="26" t="str">
        <f t="shared" ca="1" si="23"/>
        <v>火</v>
      </c>
      <c r="F173" s="26">
        <f t="shared" si="24"/>
        <v>0</v>
      </c>
      <c r="G173" s="26">
        <f>IF(ISNA(MATCH(A173,祝日定義!E:E,0)),0,1)</f>
        <v>0</v>
      </c>
      <c r="H173" s="26">
        <f>IF(ISNA(MATCH(B173&amp;"/"&amp;C173,そのた定義!E:E,0)), 0, 1)</f>
        <v>0</v>
      </c>
      <c r="I173" s="26" t="b">
        <f t="shared" si="25"/>
        <v>0</v>
      </c>
      <c r="J173" s="26">
        <v>0</v>
      </c>
      <c r="K173" s="26" t="b">
        <f t="shared" si="20"/>
        <v>0</v>
      </c>
      <c r="L173" s="26" t="b">
        <f t="shared" si="21"/>
        <v>0</v>
      </c>
      <c r="M173" t="b">
        <f t="shared" si="26"/>
        <v>0</v>
      </c>
      <c r="N173" t="b">
        <f t="shared" si="27"/>
        <v>0</v>
      </c>
    </row>
    <row r="174" spans="1:14">
      <c r="A174" s="29">
        <v>44734</v>
      </c>
      <c r="B174" s="30">
        <f t="shared" si="19"/>
        <v>6</v>
      </c>
      <c r="C174" s="30">
        <f t="shared" si="22"/>
        <v>22</v>
      </c>
      <c r="D174" s="26">
        <f>MATCH(WEEKDAY(A174),そのた定義!A:A,0)</f>
        <v>5</v>
      </c>
      <c r="E174" s="26" t="str">
        <f t="shared" ca="1" si="23"/>
        <v>水</v>
      </c>
      <c r="F174" s="26">
        <f t="shared" si="24"/>
        <v>0</v>
      </c>
      <c r="G174" s="26">
        <f>IF(ISNA(MATCH(A174,祝日定義!E:E,0)),0,1)</f>
        <v>0</v>
      </c>
      <c r="H174" s="26">
        <f>IF(ISNA(MATCH(B174&amp;"/"&amp;C174,そのた定義!E:E,0)), 0, 1)</f>
        <v>0</v>
      </c>
      <c r="I174" s="26" t="b">
        <f t="shared" si="25"/>
        <v>0</v>
      </c>
      <c r="J174" s="26">
        <v>0</v>
      </c>
      <c r="K174" s="26" t="b">
        <f t="shared" si="20"/>
        <v>0</v>
      </c>
      <c r="L174" s="26" t="b">
        <f t="shared" si="21"/>
        <v>0</v>
      </c>
      <c r="M174" t="b">
        <f t="shared" si="26"/>
        <v>0</v>
      </c>
      <c r="N174" t="b">
        <f t="shared" si="27"/>
        <v>0</v>
      </c>
    </row>
    <row r="175" spans="1:14">
      <c r="A175" s="29">
        <v>44735</v>
      </c>
      <c r="B175" s="30">
        <f t="shared" si="19"/>
        <v>6</v>
      </c>
      <c r="C175" s="30">
        <f t="shared" si="22"/>
        <v>23</v>
      </c>
      <c r="D175" s="26">
        <f>MATCH(WEEKDAY(A175),そのた定義!A:A,0)</f>
        <v>6</v>
      </c>
      <c r="E175" s="26" t="str">
        <f t="shared" ca="1" si="23"/>
        <v>木</v>
      </c>
      <c r="F175" s="26">
        <f t="shared" si="24"/>
        <v>0</v>
      </c>
      <c r="G175" s="26">
        <f>IF(ISNA(MATCH(A175,祝日定義!E:E,0)),0,1)</f>
        <v>0</v>
      </c>
      <c r="H175" s="26">
        <f>IF(ISNA(MATCH(B175&amp;"/"&amp;C175,そのた定義!E:E,0)), 0, 1)</f>
        <v>0</v>
      </c>
      <c r="I175" s="26" t="b">
        <f t="shared" si="25"/>
        <v>0</v>
      </c>
      <c r="J175" s="26">
        <v>0</v>
      </c>
      <c r="K175" s="26" t="b">
        <f t="shared" si="20"/>
        <v>0</v>
      </c>
      <c r="L175" s="26" t="b">
        <f t="shared" si="21"/>
        <v>0</v>
      </c>
      <c r="M175" t="b">
        <f t="shared" si="26"/>
        <v>0</v>
      </c>
      <c r="N175" t="b">
        <f t="shared" si="27"/>
        <v>0</v>
      </c>
    </row>
    <row r="176" spans="1:14">
      <c r="A176" s="29">
        <v>44736</v>
      </c>
      <c r="B176" s="30">
        <f t="shared" si="19"/>
        <v>6</v>
      </c>
      <c r="C176" s="30">
        <f t="shared" si="22"/>
        <v>24</v>
      </c>
      <c r="D176" s="26">
        <f>MATCH(WEEKDAY(A176),そのた定義!A:A,0)</f>
        <v>7</v>
      </c>
      <c r="E176" s="26" t="str">
        <f t="shared" ca="1" si="23"/>
        <v>金</v>
      </c>
      <c r="F176" s="26">
        <f t="shared" si="24"/>
        <v>0</v>
      </c>
      <c r="G176" s="26">
        <f>IF(ISNA(MATCH(A176,祝日定義!E:E,0)),0,1)</f>
        <v>0</v>
      </c>
      <c r="H176" s="26">
        <f>IF(ISNA(MATCH(B176&amp;"/"&amp;C176,そのた定義!E:E,0)), 0, 1)</f>
        <v>0</v>
      </c>
      <c r="I176" s="26" t="b">
        <f t="shared" si="25"/>
        <v>0</v>
      </c>
      <c r="J176" s="26">
        <v>0</v>
      </c>
      <c r="K176" s="26" t="b">
        <f t="shared" si="20"/>
        <v>0</v>
      </c>
      <c r="L176" s="26" t="b">
        <f t="shared" si="21"/>
        <v>0</v>
      </c>
      <c r="M176" t="b">
        <f t="shared" si="26"/>
        <v>0</v>
      </c>
      <c r="N176" t="b">
        <f t="shared" si="27"/>
        <v>0</v>
      </c>
    </row>
    <row r="177" spans="1:14">
      <c r="A177" s="29">
        <v>44737</v>
      </c>
      <c r="B177" s="30">
        <f t="shared" si="19"/>
        <v>6</v>
      </c>
      <c r="C177" s="30">
        <f t="shared" si="22"/>
        <v>25</v>
      </c>
      <c r="D177" s="26">
        <f>MATCH(WEEKDAY(A177),そのた定義!A:A,0)</f>
        <v>8</v>
      </c>
      <c r="E177" s="33" t="str">
        <f t="shared" ca="1" si="23"/>
        <v>土</v>
      </c>
      <c r="F177" s="26">
        <f t="shared" si="24"/>
        <v>1</v>
      </c>
      <c r="G177" s="26">
        <f>IF(ISNA(MATCH(A177,祝日定義!E:E,0)),0,1)</f>
        <v>0</v>
      </c>
      <c r="H177" s="26">
        <f>IF(ISNA(MATCH(B177&amp;"/"&amp;C177,そのた定義!E:E,0)), 0, 1)</f>
        <v>0</v>
      </c>
      <c r="I177" s="23" t="b">
        <f t="shared" si="25"/>
        <v>1</v>
      </c>
      <c r="J177" s="26">
        <v>0</v>
      </c>
      <c r="K177" s="26" t="b">
        <f t="shared" si="20"/>
        <v>0</v>
      </c>
      <c r="L177" s="23" t="b">
        <f t="shared" si="21"/>
        <v>1</v>
      </c>
      <c r="M177" t="b">
        <f t="shared" si="26"/>
        <v>0</v>
      </c>
      <c r="N177" t="b">
        <f t="shared" si="27"/>
        <v>0</v>
      </c>
    </row>
    <row r="178" spans="1:14">
      <c r="A178" s="29">
        <v>44738</v>
      </c>
      <c r="B178" s="30">
        <f t="shared" si="19"/>
        <v>6</v>
      </c>
      <c r="C178" s="30">
        <f t="shared" si="22"/>
        <v>26</v>
      </c>
      <c r="D178" s="26">
        <f>MATCH(WEEKDAY(A178),そのた定義!A:A,0)</f>
        <v>2</v>
      </c>
      <c r="E178" s="32" t="str">
        <f t="shared" ca="1" si="23"/>
        <v>日</v>
      </c>
      <c r="F178" s="26">
        <f t="shared" si="24"/>
        <v>1</v>
      </c>
      <c r="G178" s="26">
        <f>IF(ISNA(MATCH(A178,祝日定義!E:E,0)),0,1)</f>
        <v>0</v>
      </c>
      <c r="H178" s="26">
        <f>IF(ISNA(MATCH(B178&amp;"/"&amp;C178,そのた定義!E:E,0)), 0, 1)</f>
        <v>0</v>
      </c>
      <c r="I178" s="23" t="b">
        <f t="shared" si="25"/>
        <v>1</v>
      </c>
      <c r="J178" s="26">
        <v>0</v>
      </c>
      <c r="K178" s="26" t="b">
        <f t="shared" si="20"/>
        <v>0</v>
      </c>
      <c r="L178" s="26" t="b">
        <f t="shared" si="21"/>
        <v>0</v>
      </c>
      <c r="M178" t="b">
        <f t="shared" si="26"/>
        <v>0</v>
      </c>
      <c r="N178" t="b">
        <f t="shared" si="27"/>
        <v>0</v>
      </c>
    </row>
    <row r="179" spans="1:14">
      <c r="A179" s="29">
        <v>44739</v>
      </c>
      <c r="B179" s="30">
        <f t="shared" si="19"/>
        <v>6</v>
      </c>
      <c r="C179" s="30">
        <f t="shared" si="22"/>
        <v>27</v>
      </c>
      <c r="D179" s="26">
        <f>MATCH(WEEKDAY(A179),そのた定義!A:A,0)</f>
        <v>3</v>
      </c>
      <c r="E179" s="26" t="str">
        <f t="shared" ca="1" si="23"/>
        <v>月</v>
      </c>
      <c r="F179" s="26">
        <f t="shared" si="24"/>
        <v>0</v>
      </c>
      <c r="G179" s="26">
        <f>IF(ISNA(MATCH(A179,祝日定義!E:E,0)),0,1)</f>
        <v>0</v>
      </c>
      <c r="H179" s="26">
        <f>IF(ISNA(MATCH(B179&amp;"/"&amp;C179,そのた定義!E:E,0)), 0, 1)</f>
        <v>0</v>
      </c>
      <c r="I179" s="26" t="b">
        <f t="shared" si="25"/>
        <v>0</v>
      </c>
      <c r="J179" s="26">
        <v>2</v>
      </c>
      <c r="K179" s="23" t="b">
        <f t="shared" si="20"/>
        <v>1</v>
      </c>
      <c r="L179" s="26" t="b">
        <f t="shared" si="21"/>
        <v>0</v>
      </c>
      <c r="M179" t="b">
        <f t="shared" si="26"/>
        <v>0</v>
      </c>
      <c r="N179" t="b">
        <f t="shared" si="27"/>
        <v>0</v>
      </c>
    </row>
    <row r="180" spans="1:14">
      <c r="A180" s="29">
        <v>44740</v>
      </c>
      <c r="B180" s="30">
        <f t="shared" si="19"/>
        <v>6</v>
      </c>
      <c r="C180" s="30">
        <f t="shared" si="22"/>
        <v>28</v>
      </c>
      <c r="D180" s="26">
        <f>MATCH(WEEKDAY(A180),そのた定義!A:A,0)</f>
        <v>4</v>
      </c>
      <c r="E180" s="26" t="str">
        <f t="shared" ca="1" si="23"/>
        <v>火</v>
      </c>
      <c r="F180" s="26">
        <f t="shared" si="24"/>
        <v>0</v>
      </c>
      <c r="G180" s="26">
        <f>IF(ISNA(MATCH(A180,祝日定義!E:E,0)),0,1)</f>
        <v>0</v>
      </c>
      <c r="H180" s="26">
        <f>IF(ISNA(MATCH(B180&amp;"/"&amp;C180,そのた定義!E:E,0)), 0, 1)</f>
        <v>0</v>
      </c>
      <c r="I180" s="26" t="b">
        <f t="shared" si="25"/>
        <v>0</v>
      </c>
      <c r="J180" s="26">
        <v>0</v>
      </c>
      <c r="K180" s="26" t="b">
        <f t="shared" si="20"/>
        <v>0</v>
      </c>
      <c r="L180" s="26" t="b">
        <f t="shared" si="21"/>
        <v>0</v>
      </c>
      <c r="M180" t="b">
        <f t="shared" si="26"/>
        <v>0</v>
      </c>
      <c r="N180" t="b">
        <f t="shared" si="27"/>
        <v>0</v>
      </c>
    </row>
    <row r="181" spans="1:14">
      <c r="A181" s="29">
        <v>44741</v>
      </c>
      <c r="B181" s="30">
        <f t="shared" si="19"/>
        <v>6</v>
      </c>
      <c r="C181" s="30">
        <f t="shared" si="22"/>
        <v>29</v>
      </c>
      <c r="D181" s="26">
        <f>MATCH(WEEKDAY(A181),そのた定義!A:A,0)</f>
        <v>5</v>
      </c>
      <c r="E181" s="26" t="str">
        <f t="shared" ca="1" si="23"/>
        <v>水</v>
      </c>
      <c r="F181" s="26">
        <f t="shared" si="24"/>
        <v>0</v>
      </c>
      <c r="G181" s="26">
        <f>IF(ISNA(MATCH(A181,祝日定義!E:E,0)),0,1)</f>
        <v>0</v>
      </c>
      <c r="H181" s="26">
        <f>IF(ISNA(MATCH(B181&amp;"/"&amp;C181,そのた定義!E:E,0)), 0, 1)</f>
        <v>0</v>
      </c>
      <c r="I181" s="26" t="b">
        <f t="shared" si="25"/>
        <v>0</v>
      </c>
      <c r="J181" s="26">
        <v>0</v>
      </c>
      <c r="K181" s="26" t="b">
        <f t="shared" si="20"/>
        <v>0</v>
      </c>
      <c r="L181" s="26" t="b">
        <f t="shared" si="21"/>
        <v>0</v>
      </c>
      <c r="M181" t="b">
        <f t="shared" si="26"/>
        <v>0</v>
      </c>
      <c r="N181" t="b">
        <f t="shared" si="27"/>
        <v>0</v>
      </c>
    </row>
    <row r="182" spans="1:14">
      <c r="A182" s="29">
        <v>44742</v>
      </c>
      <c r="B182" s="30">
        <f t="shared" si="19"/>
        <v>6</v>
      </c>
      <c r="C182" s="30">
        <f t="shared" si="22"/>
        <v>30</v>
      </c>
      <c r="D182" s="26">
        <f>MATCH(WEEKDAY(A182),そのた定義!A:A,0)</f>
        <v>6</v>
      </c>
      <c r="E182" s="26" t="str">
        <f t="shared" ca="1" si="23"/>
        <v>木</v>
      </c>
      <c r="F182" s="26">
        <f t="shared" si="24"/>
        <v>0</v>
      </c>
      <c r="G182" s="26">
        <f>IF(ISNA(MATCH(A182,祝日定義!E:E,0)),0,1)</f>
        <v>0</v>
      </c>
      <c r="H182" s="26">
        <f>IF(ISNA(MATCH(B182&amp;"/"&amp;C182,そのた定義!E:E,0)), 0, 1)</f>
        <v>0</v>
      </c>
      <c r="I182" s="26" t="b">
        <f t="shared" si="25"/>
        <v>0</v>
      </c>
      <c r="J182" s="26">
        <v>0</v>
      </c>
      <c r="K182" s="26" t="b">
        <f t="shared" si="20"/>
        <v>0</v>
      </c>
      <c r="L182" s="26" t="b">
        <f t="shared" si="21"/>
        <v>0</v>
      </c>
      <c r="M182" t="b">
        <f t="shared" si="26"/>
        <v>0</v>
      </c>
      <c r="N182" t="b">
        <f t="shared" si="27"/>
        <v>1</v>
      </c>
    </row>
    <row r="183" spans="1:14">
      <c r="A183" s="29">
        <v>44743</v>
      </c>
      <c r="B183" s="30">
        <f t="shared" si="19"/>
        <v>7</v>
      </c>
      <c r="C183" s="30">
        <f t="shared" si="22"/>
        <v>1</v>
      </c>
      <c r="D183" s="26">
        <f>MATCH(WEEKDAY(A183),そのた定義!A:A,0)</f>
        <v>7</v>
      </c>
      <c r="E183" s="26" t="str">
        <f t="shared" ca="1" si="23"/>
        <v>金</v>
      </c>
      <c r="F183" s="26">
        <f t="shared" si="24"/>
        <v>0</v>
      </c>
      <c r="G183" s="26">
        <f>IF(ISNA(MATCH(A183,祝日定義!E:E,0)),0,1)</f>
        <v>0</v>
      </c>
      <c r="H183" s="26">
        <f>IF(ISNA(MATCH(B183&amp;"/"&amp;C183,そのた定義!E:E,0)), 0, 1)</f>
        <v>0</v>
      </c>
      <c r="I183" s="26" t="b">
        <f t="shared" si="25"/>
        <v>0</v>
      </c>
      <c r="J183" s="26">
        <v>0</v>
      </c>
      <c r="K183" s="26" t="b">
        <f t="shared" si="20"/>
        <v>0</v>
      </c>
      <c r="L183" s="26" t="b">
        <f t="shared" si="21"/>
        <v>0</v>
      </c>
      <c r="M183" t="b">
        <f t="shared" si="26"/>
        <v>0</v>
      </c>
      <c r="N183" t="b">
        <f t="shared" si="27"/>
        <v>0</v>
      </c>
    </row>
    <row r="184" spans="1:14">
      <c r="A184" s="29">
        <v>44744</v>
      </c>
      <c r="B184" s="30">
        <f t="shared" si="19"/>
        <v>7</v>
      </c>
      <c r="C184" s="30">
        <f t="shared" si="22"/>
        <v>2</v>
      </c>
      <c r="D184" s="26">
        <f>MATCH(WEEKDAY(A184),そのた定義!A:A,0)</f>
        <v>8</v>
      </c>
      <c r="E184" s="33" t="str">
        <f t="shared" ca="1" si="23"/>
        <v>土</v>
      </c>
      <c r="F184" s="26">
        <f t="shared" si="24"/>
        <v>1</v>
      </c>
      <c r="G184" s="26">
        <f>IF(ISNA(MATCH(A184,祝日定義!E:E,0)),0,1)</f>
        <v>0</v>
      </c>
      <c r="H184" s="26">
        <f>IF(ISNA(MATCH(B184&amp;"/"&amp;C184,そのた定義!E:E,0)), 0, 1)</f>
        <v>0</v>
      </c>
      <c r="I184" s="23" t="b">
        <f t="shared" si="25"/>
        <v>1</v>
      </c>
      <c r="J184" s="26">
        <v>0</v>
      </c>
      <c r="K184" s="26" t="b">
        <f t="shared" si="20"/>
        <v>0</v>
      </c>
      <c r="L184" s="26" t="b">
        <f t="shared" si="21"/>
        <v>0</v>
      </c>
      <c r="M184" t="b">
        <f t="shared" si="26"/>
        <v>0</v>
      </c>
      <c r="N184" t="b">
        <f t="shared" si="27"/>
        <v>0</v>
      </c>
    </row>
    <row r="185" spans="1:14">
      <c r="A185" s="29">
        <v>44745</v>
      </c>
      <c r="B185" s="30">
        <f t="shared" si="19"/>
        <v>7</v>
      </c>
      <c r="C185" s="30">
        <f t="shared" si="22"/>
        <v>3</v>
      </c>
      <c r="D185" s="26">
        <f>MATCH(WEEKDAY(A185),そのた定義!A:A,0)</f>
        <v>2</v>
      </c>
      <c r="E185" s="32" t="str">
        <f t="shared" ca="1" si="23"/>
        <v>日</v>
      </c>
      <c r="F185" s="26">
        <f t="shared" si="24"/>
        <v>1</v>
      </c>
      <c r="G185" s="26">
        <f>IF(ISNA(MATCH(A185,祝日定義!E:E,0)),0,1)</f>
        <v>0</v>
      </c>
      <c r="H185" s="26">
        <f>IF(ISNA(MATCH(B185&amp;"/"&amp;C185,そのた定義!E:E,0)), 0, 1)</f>
        <v>0</v>
      </c>
      <c r="I185" s="23" t="b">
        <f t="shared" si="25"/>
        <v>1</v>
      </c>
      <c r="J185" s="26">
        <v>0</v>
      </c>
      <c r="K185" s="26" t="b">
        <f t="shared" si="20"/>
        <v>0</v>
      </c>
      <c r="L185" s="26" t="b">
        <f t="shared" si="21"/>
        <v>0</v>
      </c>
      <c r="M185" t="b">
        <f t="shared" si="26"/>
        <v>0</v>
      </c>
      <c r="N185" t="b">
        <f t="shared" si="27"/>
        <v>0</v>
      </c>
    </row>
    <row r="186" spans="1:14">
      <c r="A186" s="29">
        <v>44746</v>
      </c>
      <c r="B186" s="30">
        <f t="shared" si="19"/>
        <v>7</v>
      </c>
      <c r="C186" s="30">
        <f t="shared" si="22"/>
        <v>4</v>
      </c>
      <c r="D186" s="26">
        <f>MATCH(WEEKDAY(A186),そのた定義!A:A,0)</f>
        <v>3</v>
      </c>
      <c r="E186" s="26" t="str">
        <f t="shared" ca="1" si="23"/>
        <v>月</v>
      </c>
      <c r="F186" s="26">
        <f t="shared" si="24"/>
        <v>0</v>
      </c>
      <c r="G186" s="26">
        <f>IF(ISNA(MATCH(A186,祝日定義!E:E,0)),0,1)</f>
        <v>0</v>
      </c>
      <c r="H186" s="26">
        <f>IF(ISNA(MATCH(B186&amp;"/"&amp;C186,そのた定義!E:E,0)), 0, 1)</f>
        <v>0</v>
      </c>
      <c r="I186" s="26" t="b">
        <f t="shared" si="25"/>
        <v>0</v>
      </c>
      <c r="J186" s="26">
        <v>2</v>
      </c>
      <c r="K186" s="26" t="b">
        <f t="shared" si="20"/>
        <v>0</v>
      </c>
      <c r="L186" s="26" t="b">
        <f t="shared" si="21"/>
        <v>0</v>
      </c>
      <c r="M186" t="b">
        <f t="shared" si="26"/>
        <v>0</v>
      </c>
      <c r="N186" t="b">
        <f t="shared" si="27"/>
        <v>0</v>
      </c>
    </row>
    <row r="187" spans="1:14">
      <c r="A187" s="29">
        <v>44747</v>
      </c>
      <c r="B187" s="30">
        <f t="shared" si="19"/>
        <v>7</v>
      </c>
      <c r="C187" s="30">
        <f t="shared" si="22"/>
        <v>5</v>
      </c>
      <c r="D187" s="26">
        <f>MATCH(WEEKDAY(A187),そのた定義!A:A,0)</f>
        <v>4</v>
      </c>
      <c r="E187" s="26" t="str">
        <f t="shared" ca="1" si="23"/>
        <v>火</v>
      </c>
      <c r="F187" s="26">
        <f t="shared" si="24"/>
        <v>0</v>
      </c>
      <c r="G187" s="26">
        <f>IF(ISNA(MATCH(A187,祝日定義!E:E,0)),0,1)</f>
        <v>0</v>
      </c>
      <c r="H187" s="26">
        <f>IF(ISNA(MATCH(B187&amp;"/"&amp;C187,そのた定義!E:E,0)), 0, 1)</f>
        <v>0</v>
      </c>
      <c r="I187" s="26" t="b">
        <f t="shared" si="25"/>
        <v>0</v>
      </c>
      <c r="J187" s="26">
        <v>0</v>
      </c>
      <c r="K187" s="26" t="b">
        <f t="shared" si="20"/>
        <v>0</v>
      </c>
      <c r="L187" s="26" t="b">
        <f t="shared" si="21"/>
        <v>0</v>
      </c>
      <c r="M187" t="b">
        <f t="shared" si="26"/>
        <v>0</v>
      </c>
      <c r="N187" t="b">
        <f t="shared" si="27"/>
        <v>0</v>
      </c>
    </row>
    <row r="188" spans="1:14">
      <c r="A188" s="29">
        <v>44748</v>
      </c>
      <c r="B188" s="30">
        <f t="shared" si="19"/>
        <v>7</v>
      </c>
      <c r="C188" s="30">
        <f t="shared" si="22"/>
        <v>6</v>
      </c>
      <c r="D188" s="26">
        <f>MATCH(WEEKDAY(A188),そのた定義!A:A,0)</f>
        <v>5</v>
      </c>
      <c r="E188" s="26" t="str">
        <f t="shared" ca="1" si="23"/>
        <v>水</v>
      </c>
      <c r="F188" s="26">
        <f t="shared" si="24"/>
        <v>0</v>
      </c>
      <c r="G188" s="26">
        <f>IF(ISNA(MATCH(A188,祝日定義!E:E,0)),0,1)</f>
        <v>0</v>
      </c>
      <c r="H188" s="26">
        <f>IF(ISNA(MATCH(B188&amp;"/"&amp;C188,そのた定義!E:E,0)), 0, 1)</f>
        <v>0</v>
      </c>
      <c r="I188" s="26" t="b">
        <f t="shared" si="25"/>
        <v>0</v>
      </c>
      <c r="J188" s="26">
        <v>0</v>
      </c>
      <c r="K188" s="26" t="b">
        <f t="shared" si="20"/>
        <v>0</v>
      </c>
      <c r="L188" s="26" t="b">
        <f t="shared" si="21"/>
        <v>0</v>
      </c>
      <c r="M188" t="b">
        <f t="shared" si="26"/>
        <v>0</v>
      </c>
      <c r="N188" t="b">
        <f t="shared" si="27"/>
        <v>0</v>
      </c>
    </row>
    <row r="189" spans="1:14">
      <c r="A189" s="29">
        <v>44749</v>
      </c>
      <c r="B189" s="30">
        <f t="shared" si="19"/>
        <v>7</v>
      </c>
      <c r="C189" s="30">
        <f t="shared" si="22"/>
        <v>7</v>
      </c>
      <c r="D189" s="26">
        <f>MATCH(WEEKDAY(A189),そのた定義!A:A,0)</f>
        <v>6</v>
      </c>
      <c r="E189" s="26" t="str">
        <f t="shared" ca="1" si="23"/>
        <v>木</v>
      </c>
      <c r="F189" s="26">
        <f t="shared" si="24"/>
        <v>0</v>
      </c>
      <c r="G189" s="26">
        <f>IF(ISNA(MATCH(A189,祝日定義!E:E,0)),0,1)</f>
        <v>0</v>
      </c>
      <c r="H189" s="26">
        <f>IF(ISNA(MATCH(B189&amp;"/"&amp;C189,そのた定義!E:E,0)), 0, 1)</f>
        <v>0</v>
      </c>
      <c r="I189" s="26" t="b">
        <f t="shared" si="25"/>
        <v>0</v>
      </c>
      <c r="J189" s="26">
        <v>0</v>
      </c>
      <c r="K189" s="26" t="b">
        <f t="shared" si="20"/>
        <v>0</v>
      </c>
      <c r="L189" s="26" t="b">
        <f t="shared" si="21"/>
        <v>0</v>
      </c>
      <c r="M189" t="b">
        <f t="shared" si="26"/>
        <v>0</v>
      </c>
      <c r="N189" t="b">
        <f t="shared" si="27"/>
        <v>0</v>
      </c>
    </row>
    <row r="190" spans="1:14">
      <c r="A190" s="29">
        <v>44750</v>
      </c>
      <c r="B190" s="30">
        <f t="shared" si="19"/>
        <v>7</v>
      </c>
      <c r="C190" s="30">
        <f t="shared" si="22"/>
        <v>8</v>
      </c>
      <c r="D190" s="26">
        <f>MATCH(WEEKDAY(A190),そのた定義!A:A,0)</f>
        <v>7</v>
      </c>
      <c r="E190" s="26" t="str">
        <f t="shared" ca="1" si="23"/>
        <v>金</v>
      </c>
      <c r="F190" s="26">
        <f t="shared" si="24"/>
        <v>0</v>
      </c>
      <c r="G190" s="26">
        <f>IF(ISNA(MATCH(A190,祝日定義!E:E,0)),0,1)</f>
        <v>0</v>
      </c>
      <c r="H190" s="26">
        <f>IF(ISNA(MATCH(B190&amp;"/"&amp;C190,そのた定義!E:E,0)), 0, 1)</f>
        <v>0</v>
      </c>
      <c r="I190" s="26" t="b">
        <f t="shared" si="25"/>
        <v>0</v>
      </c>
      <c r="J190" s="26">
        <v>0</v>
      </c>
      <c r="K190" s="26" t="b">
        <f t="shared" si="20"/>
        <v>0</v>
      </c>
      <c r="L190" s="26" t="b">
        <f t="shared" si="21"/>
        <v>0</v>
      </c>
      <c r="M190" t="b">
        <f t="shared" si="26"/>
        <v>0</v>
      </c>
      <c r="N190" t="b">
        <f t="shared" si="27"/>
        <v>0</v>
      </c>
    </row>
    <row r="191" spans="1:14">
      <c r="A191" s="29">
        <v>44751</v>
      </c>
      <c r="B191" s="30">
        <f t="shared" si="19"/>
        <v>7</v>
      </c>
      <c r="C191" s="30">
        <f t="shared" si="22"/>
        <v>9</v>
      </c>
      <c r="D191" s="26">
        <f>MATCH(WEEKDAY(A191),そのた定義!A:A,0)</f>
        <v>8</v>
      </c>
      <c r="E191" s="33" t="str">
        <f t="shared" ca="1" si="23"/>
        <v>土</v>
      </c>
      <c r="F191" s="26">
        <f t="shared" si="24"/>
        <v>1</v>
      </c>
      <c r="G191" s="26">
        <f>IF(ISNA(MATCH(A191,祝日定義!E:E,0)),0,1)</f>
        <v>0</v>
      </c>
      <c r="H191" s="26">
        <f>IF(ISNA(MATCH(B191&amp;"/"&amp;C191,そのた定義!E:E,0)), 0, 1)</f>
        <v>0</v>
      </c>
      <c r="I191" s="23" t="b">
        <f t="shared" si="25"/>
        <v>1</v>
      </c>
      <c r="J191" s="26">
        <v>0</v>
      </c>
      <c r="K191" s="26" t="b">
        <f t="shared" si="20"/>
        <v>0</v>
      </c>
      <c r="L191" s="26" t="b">
        <f t="shared" si="21"/>
        <v>0</v>
      </c>
      <c r="M191" t="b">
        <f t="shared" si="26"/>
        <v>0</v>
      </c>
      <c r="N191" t="b">
        <f t="shared" si="27"/>
        <v>0</v>
      </c>
    </row>
    <row r="192" spans="1:14">
      <c r="A192" s="29">
        <v>44752</v>
      </c>
      <c r="B192" s="30">
        <f t="shared" si="19"/>
        <v>7</v>
      </c>
      <c r="C192" s="30">
        <f t="shared" si="22"/>
        <v>10</v>
      </c>
      <c r="D192" s="26">
        <f>MATCH(WEEKDAY(A192),そのた定義!A:A,0)</f>
        <v>2</v>
      </c>
      <c r="E192" s="32" t="str">
        <f t="shared" ca="1" si="23"/>
        <v>日</v>
      </c>
      <c r="F192" s="26">
        <f t="shared" si="24"/>
        <v>1</v>
      </c>
      <c r="G192" s="26">
        <f>IF(ISNA(MATCH(A192,祝日定義!E:E,0)),0,1)</f>
        <v>0</v>
      </c>
      <c r="H192" s="26">
        <f>IF(ISNA(MATCH(B192&amp;"/"&amp;C192,そのた定義!E:E,0)), 0, 1)</f>
        <v>0</v>
      </c>
      <c r="I192" s="23" t="b">
        <f t="shared" si="25"/>
        <v>1</v>
      </c>
      <c r="J192" s="26">
        <v>0</v>
      </c>
      <c r="K192" s="26" t="b">
        <f t="shared" si="20"/>
        <v>0</v>
      </c>
      <c r="L192" s="26" t="b">
        <f t="shared" si="21"/>
        <v>0</v>
      </c>
      <c r="M192" t="b">
        <f t="shared" si="26"/>
        <v>0</v>
      </c>
      <c r="N192" t="b">
        <f t="shared" si="27"/>
        <v>0</v>
      </c>
    </row>
    <row r="193" spans="1:14">
      <c r="A193" s="29">
        <v>44753</v>
      </c>
      <c r="B193" s="30">
        <f t="shared" si="19"/>
        <v>7</v>
      </c>
      <c r="C193" s="30">
        <f t="shared" si="22"/>
        <v>11</v>
      </c>
      <c r="D193" s="26">
        <f>MATCH(WEEKDAY(A193),そのた定義!A:A,0)</f>
        <v>3</v>
      </c>
      <c r="E193" s="26" t="str">
        <f t="shared" ca="1" si="23"/>
        <v>月</v>
      </c>
      <c r="F193" s="26">
        <f t="shared" si="24"/>
        <v>0</v>
      </c>
      <c r="G193" s="26">
        <f>IF(ISNA(MATCH(A193,祝日定義!E:E,0)),0,1)</f>
        <v>0</v>
      </c>
      <c r="H193" s="26">
        <f>IF(ISNA(MATCH(B193&amp;"/"&amp;C193,そのた定義!E:E,0)), 0, 1)</f>
        <v>0</v>
      </c>
      <c r="I193" s="26" t="b">
        <f t="shared" si="25"/>
        <v>0</v>
      </c>
      <c r="J193" s="26">
        <v>2</v>
      </c>
      <c r="K193" s="26" t="b">
        <f t="shared" si="20"/>
        <v>0</v>
      </c>
      <c r="L193" s="26" t="b">
        <f t="shared" si="21"/>
        <v>0</v>
      </c>
      <c r="M193" t="b">
        <f t="shared" si="26"/>
        <v>0</v>
      </c>
      <c r="N193" t="b">
        <f t="shared" si="27"/>
        <v>0</v>
      </c>
    </row>
    <row r="194" spans="1:14">
      <c r="A194" s="29">
        <v>44754</v>
      </c>
      <c r="B194" s="30">
        <f t="shared" ref="B194:B257" si="28">MONTH(A194)</f>
        <v>7</v>
      </c>
      <c r="C194" s="30">
        <f t="shared" si="22"/>
        <v>12</v>
      </c>
      <c r="D194" s="26">
        <f>MATCH(WEEKDAY(A194),そのた定義!A:A,0)</f>
        <v>4</v>
      </c>
      <c r="E194" s="26" t="str">
        <f t="shared" ca="1" si="23"/>
        <v>火</v>
      </c>
      <c r="F194" s="26">
        <f t="shared" si="24"/>
        <v>0</v>
      </c>
      <c r="G194" s="26">
        <f>IF(ISNA(MATCH(A194,祝日定義!E:E,0)),0,1)</f>
        <v>0</v>
      </c>
      <c r="H194" s="26">
        <f>IF(ISNA(MATCH(B194&amp;"/"&amp;C194,そのた定義!E:E,0)), 0, 1)</f>
        <v>0</v>
      </c>
      <c r="I194" s="26" t="b">
        <f t="shared" si="25"/>
        <v>0</v>
      </c>
      <c r="J194" s="26">
        <v>0</v>
      </c>
      <c r="K194" s="26" t="b">
        <f t="shared" ref="K194:K257" si="29">AND(C194&gt;25,DAY(A194-J194)&lt;=25)</f>
        <v>0</v>
      </c>
      <c r="L194" s="26" t="b">
        <f t="shared" ref="L194:L257" si="30">C194=25</f>
        <v>0</v>
      </c>
      <c r="M194" t="b">
        <f t="shared" si="26"/>
        <v>0</v>
      </c>
      <c r="N194" t="b">
        <f t="shared" si="27"/>
        <v>0</v>
      </c>
    </row>
    <row r="195" spans="1:14">
      <c r="A195" s="29">
        <v>44755</v>
      </c>
      <c r="B195" s="30">
        <f t="shared" si="28"/>
        <v>7</v>
      </c>
      <c r="C195" s="30">
        <f t="shared" ref="C195:C258" si="31">DAY(A195)</f>
        <v>13</v>
      </c>
      <c r="D195" s="26">
        <f>MATCH(WEEKDAY(A195),そのた定義!A:A,0)</f>
        <v>5</v>
      </c>
      <c r="E195" s="26" t="str">
        <f t="shared" ref="E195:E258" ca="1" si="32">INDIRECT("そのた定義!"&amp;"B"&amp;D195)</f>
        <v>水</v>
      </c>
      <c r="F195" s="26">
        <f t="shared" ref="F195:F258" si="33">IF(OR(D195=8,D195=2),1,0)</f>
        <v>0</v>
      </c>
      <c r="G195" s="26">
        <f>IF(ISNA(MATCH(A195,祝日定義!E:E,0)),0,1)</f>
        <v>0</v>
      </c>
      <c r="H195" s="26">
        <f>IF(ISNA(MATCH(B195&amp;"/"&amp;C195,そのた定義!E:E,0)), 0, 1)</f>
        <v>0</v>
      </c>
      <c r="I195" s="26" t="b">
        <f t="shared" ref="I195:I258" si="34">SUM(F195:H195)&gt;0</f>
        <v>0</v>
      </c>
      <c r="J195" s="26">
        <v>0</v>
      </c>
      <c r="K195" s="26" t="b">
        <f t="shared" si="29"/>
        <v>0</v>
      </c>
      <c r="L195" s="26" t="b">
        <f t="shared" si="30"/>
        <v>0</v>
      </c>
      <c r="M195" t="b">
        <f t="shared" ref="M195:M258" si="35">B195&lt;&gt;MONTH(A195-J195)</f>
        <v>0</v>
      </c>
      <c r="N195" t="b">
        <f t="shared" ref="N195:N258" si="36">B195&lt;&gt;MONTH(A195+1)</f>
        <v>0</v>
      </c>
    </row>
    <row r="196" spans="1:14">
      <c r="A196" s="29">
        <v>44756</v>
      </c>
      <c r="B196" s="30">
        <f t="shared" si="28"/>
        <v>7</v>
      </c>
      <c r="C196" s="30">
        <f t="shared" si="31"/>
        <v>14</v>
      </c>
      <c r="D196" s="26">
        <f>MATCH(WEEKDAY(A196),そのた定義!A:A,0)</f>
        <v>6</v>
      </c>
      <c r="E196" s="26" t="str">
        <f t="shared" ca="1" si="32"/>
        <v>木</v>
      </c>
      <c r="F196" s="26">
        <f t="shared" si="33"/>
        <v>0</v>
      </c>
      <c r="G196" s="26">
        <f>IF(ISNA(MATCH(A196,祝日定義!E:E,0)),0,1)</f>
        <v>0</v>
      </c>
      <c r="H196" s="26">
        <f>IF(ISNA(MATCH(B196&amp;"/"&amp;C196,そのた定義!E:E,0)), 0, 1)</f>
        <v>0</v>
      </c>
      <c r="I196" s="26" t="b">
        <f t="shared" si="34"/>
        <v>0</v>
      </c>
      <c r="J196" s="26">
        <v>0</v>
      </c>
      <c r="K196" s="26" t="b">
        <f t="shared" si="29"/>
        <v>0</v>
      </c>
      <c r="L196" s="26" t="b">
        <f t="shared" si="30"/>
        <v>0</v>
      </c>
      <c r="M196" t="b">
        <f t="shared" si="35"/>
        <v>0</v>
      </c>
      <c r="N196" t="b">
        <f t="shared" si="36"/>
        <v>0</v>
      </c>
    </row>
    <row r="197" spans="1:14">
      <c r="A197" s="29">
        <v>44757</v>
      </c>
      <c r="B197" s="30">
        <f t="shared" si="28"/>
        <v>7</v>
      </c>
      <c r="C197" s="30">
        <f t="shared" si="31"/>
        <v>15</v>
      </c>
      <c r="D197" s="26">
        <f>MATCH(WEEKDAY(A197),そのた定義!A:A,0)</f>
        <v>7</v>
      </c>
      <c r="E197" s="26" t="str">
        <f t="shared" ca="1" si="32"/>
        <v>金</v>
      </c>
      <c r="F197" s="26">
        <f t="shared" si="33"/>
        <v>0</v>
      </c>
      <c r="G197" s="26">
        <f>IF(ISNA(MATCH(A197,祝日定義!E:E,0)),0,1)</f>
        <v>0</v>
      </c>
      <c r="H197" s="26">
        <f>IF(ISNA(MATCH(B197&amp;"/"&amp;C197,そのた定義!E:E,0)), 0, 1)</f>
        <v>0</v>
      </c>
      <c r="I197" s="26" t="b">
        <f t="shared" si="34"/>
        <v>0</v>
      </c>
      <c r="J197" s="26">
        <v>0</v>
      </c>
      <c r="K197" s="26" t="b">
        <f t="shared" si="29"/>
        <v>0</v>
      </c>
      <c r="L197" s="26" t="b">
        <f t="shared" si="30"/>
        <v>0</v>
      </c>
      <c r="M197" t="b">
        <f t="shared" si="35"/>
        <v>0</v>
      </c>
      <c r="N197" t="b">
        <f t="shared" si="36"/>
        <v>0</v>
      </c>
    </row>
    <row r="198" spans="1:14">
      <c r="A198" s="29">
        <v>44758</v>
      </c>
      <c r="B198" s="30">
        <f t="shared" si="28"/>
        <v>7</v>
      </c>
      <c r="C198" s="30">
        <f t="shared" si="31"/>
        <v>16</v>
      </c>
      <c r="D198" s="26">
        <f>MATCH(WEEKDAY(A198),そのた定義!A:A,0)</f>
        <v>8</v>
      </c>
      <c r="E198" s="33" t="str">
        <f t="shared" ca="1" si="32"/>
        <v>土</v>
      </c>
      <c r="F198" s="26">
        <f t="shared" si="33"/>
        <v>1</v>
      </c>
      <c r="G198" s="26">
        <f>IF(ISNA(MATCH(A198,祝日定義!E:E,0)),0,1)</f>
        <v>0</v>
      </c>
      <c r="H198" s="26">
        <f>IF(ISNA(MATCH(B198&amp;"/"&amp;C198,そのた定義!E:E,0)), 0, 1)</f>
        <v>0</v>
      </c>
      <c r="I198" s="23" t="b">
        <f t="shared" si="34"/>
        <v>1</v>
      </c>
      <c r="J198" s="26">
        <v>0</v>
      </c>
      <c r="K198" s="26" t="b">
        <f t="shared" si="29"/>
        <v>0</v>
      </c>
      <c r="L198" s="26" t="b">
        <f t="shared" si="30"/>
        <v>0</v>
      </c>
      <c r="M198" t="b">
        <f t="shared" si="35"/>
        <v>0</v>
      </c>
      <c r="N198" t="b">
        <f t="shared" si="36"/>
        <v>0</v>
      </c>
    </row>
    <row r="199" spans="1:14">
      <c r="A199" s="29">
        <v>44759</v>
      </c>
      <c r="B199" s="30">
        <f t="shared" si="28"/>
        <v>7</v>
      </c>
      <c r="C199" s="30">
        <f t="shared" si="31"/>
        <v>17</v>
      </c>
      <c r="D199" s="26">
        <f>MATCH(WEEKDAY(A199),そのた定義!A:A,0)</f>
        <v>2</v>
      </c>
      <c r="E199" s="32" t="str">
        <f t="shared" ca="1" si="32"/>
        <v>日</v>
      </c>
      <c r="F199" s="26">
        <f t="shared" si="33"/>
        <v>1</v>
      </c>
      <c r="G199" s="26">
        <f>IF(ISNA(MATCH(A199,祝日定義!E:E,0)),0,1)</f>
        <v>0</v>
      </c>
      <c r="H199" s="26">
        <f>IF(ISNA(MATCH(B199&amp;"/"&amp;C199,そのた定義!E:E,0)), 0, 1)</f>
        <v>0</v>
      </c>
      <c r="I199" s="23" t="b">
        <f t="shared" si="34"/>
        <v>1</v>
      </c>
      <c r="J199" s="26">
        <v>0</v>
      </c>
      <c r="K199" s="26" t="b">
        <f t="shared" si="29"/>
        <v>0</v>
      </c>
      <c r="L199" s="26" t="b">
        <f t="shared" si="30"/>
        <v>0</v>
      </c>
      <c r="M199" t="b">
        <f t="shared" si="35"/>
        <v>0</v>
      </c>
      <c r="N199" t="b">
        <f t="shared" si="36"/>
        <v>0</v>
      </c>
    </row>
    <row r="200" spans="1:14">
      <c r="A200" s="29">
        <v>44760</v>
      </c>
      <c r="B200" s="30">
        <f t="shared" si="28"/>
        <v>7</v>
      </c>
      <c r="C200" s="30">
        <f t="shared" si="31"/>
        <v>18</v>
      </c>
      <c r="D200" s="26">
        <f>MATCH(WEEKDAY(A200),そのた定義!A:A,0)</f>
        <v>3</v>
      </c>
      <c r="E200" s="31" t="str">
        <f t="shared" ca="1" si="32"/>
        <v>月</v>
      </c>
      <c r="F200" s="26">
        <f t="shared" si="33"/>
        <v>0</v>
      </c>
      <c r="G200" s="26">
        <f>IF(ISNA(MATCH(A200,祝日定義!E:E,0)),0,1)</f>
        <v>1</v>
      </c>
      <c r="H200" s="26">
        <f>IF(ISNA(MATCH(B200&amp;"/"&amp;C200,そのた定義!E:E,0)), 0, 1)</f>
        <v>0</v>
      </c>
      <c r="I200" s="23" t="b">
        <f t="shared" si="34"/>
        <v>1</v>
      </c>
      <c r="J200" s="26">
        <v>0</v>
      </c>
      <c r="K200" s="26" t="b">
        <f t="shared" si="29"/>
        <v>0</v>
      </c>
      <c r="L200" s="26" t="b">
        <f t="shared" si="30"/>
        <v>0</v>
      </c>
      <c r="M200" t="b">
        <f t="shared" si="35"/>
        <v>0</v>
      </c>
      <c r="N200" t="b">
        <f t="shared" si="36"/>
        <v>0</v>
      </c>
    </row>
    <row r="201" spans="1:14">
      <c r="A201" s="29">
        <v>44761</v>
      </c>
      <c r="B201" s="30">
        <f t="shared" si="28"/>
        <v>7</v>
      </c>
      <c r="C201" s="30">
        <f t="shared" si="31"/>
        <v>19</v>
      </c>
      <c r="D201" s="26">
        <f>MATCH(WEEKDAY(A201),そのた定義!A:A,0)</f>
        <v>4</v>
      </c>
      <c r="E201" s="26" t="str">
        <f t="shared" ca="1" si="32"/>
        <v>火</v>
      </c>
      <c r="F201" s="26">
        <f t="shared" si="33"/>
        <v>0</v>
      </c>
      <c r="G201" s="26">
        <f>IF(ISNA(MATCH(A201,祝日定義!E:E,0)),0,1)</f>
        <v>0</v>
      </c>
      <c r="H201" s="26">
        <f>IF(ISNA(MATCH(B201&amp;"/"&amp;C201,そのた定義!E:E,0)), 0, 1)</f>
        <v>0</v>
      </c>
      <c r="I201" s="26" t="b">
        <f t="shared" si="34"/>
        <v>0</v>
      </c>
      <c r="J201" s="26">
        <v>3</v>
      </c>
      <c r="K201" s="26" t="b">
        <f t="shared" si="29"/>
        <v>0</v>
      </c>
      <c r="L201" s="26" t="b">
        <f t="shared" si="30"/>
        <v>0</v>
      </c>
      <c r="M201" t="b">
        <f t="shared" si="35"/>
        <v>0</v>
      </c>
      <c r="N201" t="b">
        <f t="shared" si="36"/>
        <v>0</v>
      </c>
    </row>
    <row r="202" spans="1:14">
      <c r="A202" s="29">
        <v>44762</v>
      </c>
      <c r="B202" s="30">
        <f t="shared" si="28"/>
        <v>7</v>
      </c>
      <c r="C202" s="30">
        <f t="shared" si="31"/>
        <v>20</v>
      </c>
      <c r="D202" s="26">
        <f>MATCH(WEEKDAY(A202),そのた定義!A:A,0)</f>
        <v>5</v>
      </c>
      <c r="E202" s="26" t="str">
        <f t="shared" ca="1" si="32"/>
        <v>水</v>
      </c>
      <c r="F202" s="26">
        <f t="shared" si="33"/>
        <v>0</v>
      </c>
      <c r="G202" s="26">
        <f>IF(ISNA(MATCH(A202,祝日定義!E:E,0)),0,1)</f>
        <v>0</v>
      </c>
      <c r="H202" s="26">
        <f>IF(ISNA(MATCH(B202&amp;"/"&amp;C202,そのた定義!E:E,0)), 0, 1)</f>
        <v>0</v>
      </c>
      <c r="I202" s="26" t="b">
        <f t="shared" si="34"/>
        <v>0</v>
      </c>
      <c r="J202" s="26">
        <v>0</v>
      </c>
      <c r="K202" s="26" t="b">
        <f t="shared" si="29"/>
        <v>0</v>
      </c>
      <c r="L202" s="26" t="b">
        <f t="shared" si="30"/>
        <v>0</v>
      </c>
      <c r="M202" t="b">
        <f t="shared" si="35"/>
        <v>0</v>
      </c>
      <c r="N202" t="b">
        <f t="shared" si="36"/>
        <v>0</v>
      </c>
    </row>
    <row r="203" spans="1:14">
      <c r="A203" s="29">
        <v>44763</v>
      </c>
      <c r="B203" s="30">
        <f t="shared" si="28"/>
        <v>7</v>
      </c>
      <c r="C203" s="30">
        <f t="shared" si="31"/>
        <v>21</v>
      </c>
      <c r="D203" s="26">
        <f>MATCH(WEEKDAY(A203),そのた定義!A:A,0)</f>
        <v>6</v>
      </c>
      <c r="E203" s="26" t="str">
        <f t="shared" ca="1" si="32"/>
        <v>木</v>
      </c>
      <c r="F203" s="26">
        <f t="shared" si="33"/>
        <v>0</v>
      </c>
      <c r="G203" s="26">
        <f>IF(ISNA(MATCH(A203,祝日定義!E:E,0)),0,1)</f>
        <v>0</v>
      </c>
      <c r="H203" s="26">
        <f>IF(ISNA(MATCH(B203&amp;"/"&amp;C203,そのた定義!E:E,0)), 0, 1)</f>
        <v>0</v>
      </c>
      <c r="I203" s="26" t="b">
        <f t="shared" si="34"/>
        <v>0</v>
      </c>
      <c r="J203" s="26">
        <v>0</v>
      </c>
      <c r="K203" s="26" t="b">
        <f t="shared" si="29"/>
        <v>0</v>
      </c>
      <c r="L203" s="26" t="b">
        <f t="shared" si="30"/>
        <v>0</v>
      </c>
      <c r="M203" t="b">
        <f t="shared" si="35"/>
        <v>0</v>
      </c>
      <c r="N203" t="b">
        <f t="shared" si="36"/>
        <v>0</v>
      </c>
    </row>
    <row r="204" spans="1:14">
      <c r="A204" s="29">
        <v>44764</v>
      </c>
      <c r="B204" s="30">
        <f t="shared" si="28"/>
        <v>7</v>
      </c>
      <c r="C204" s="30">
        <f t="shared" si="31"/>
        <v>22</v>
      </c>
      <c r="D204" s="26">
        <f>MATCH(WEEKDAY(A204),そのた定義!A:A,0)</f>
        <v>7</v>
      </c>
      <c r="E204" s="26" t="str">
        <f t="shared" ca="1" si="32"/>
        <v>金</v>
      </c>
      <c r="F204" s="26">
        <f t="shared" si="33"/>
        <v>0</v>
      </c>
      <c r="G204" s="26">
        <f>IF(ISNA(MATCH(A204,祝日定義!E:E,0)),0,1)</f>
        <v>0</v>
      </c>
      <c r="H204" s="26">
        <f>IF(ISNA(MATCH(B204&amp;"/"&amp;C204,そのた定義!E:E,0)), 0, 1)</f>
        <v>0</v>
      </c>
      <c r="I204" s="26" t="b">
        <f t="shared" si="34"/>
        <v>0</v>
      </c>
      <c r="J204" s="26">
        <v>0</v>
      </c>
      <c r="K204" s="26" t="b">
        <f t="shared" si="29"/>
        <v>0</v>
      </c>
      <c r="L204" s="26" t="b">
        <f t="shared" si="30"/>
        <v>0</v>
      </c>
      <c r="M204" t="b">
        <f t="shared" si="35"/>
        <v>0</v>
      </c>
      <c r="N204" t="b">
        <f t="shared" si="36"/>
        <v>0</v>
      </c>
    </row>
    <row r="205" spans="1:14">
      <c r="A205" s="29">
        <v>44765</v>
      </c>
      <c r="B205" s="30">
        <f t="shared" si="28"/>
        <v>7</v>
      </c>
      <c r="C205" s="30">
        <f t="shared" si="31"/>
        <v>23</v>
      </c>
      <c r="D205" s="26">
        <f>MATCH(WEEKDAY(A205),そのた定義!A:A,0)</f>
        <v>8</v>
      </c>
      <c r="E205" s="33" t="str">
        <f t="shared" ca="1" si="32"/>
        <v>土</v>
      </c>
      <c r="F205" s="26">
        <f t="shared" si="33"/>
        <v>1</v>
      </c>
      <c r="G205" s="26">
        <f>IF(ISNA(MATCH(A205,祝日定義!E:E,0)),0,1)</f>
        <v>0</v>
      </c>
      <c r="H205" s="26">
        <f>IF(ISNA(MATCH(B205&amp;"/"&amp;C205,そのた定義!E:E,0)), 0, 1)</f>
        <v>0</v>
      </c>
      <c r="I205" s="23" t="b">
        <f t="shared" si="34"/>
        <v>1</v>
      </c>
      <c r="J205" s="26">
        <v>0</v>
      </c>
      <c r="K205" s="26" t="b">
        <f t="shared" si="29"/>
        <v>0</v>
      </c>
      <c r="L205" s="26" t="b">
        <f t="shared" si="30"/>
        <v>0</v>
      </c>
      <c r="M205" t="b">
        <f t="shared" si="35"/>
        <v>0</v>
      </c>
      <c r="N205" t="b">
        <f t="shared" si="36"/>
        <v>0</v>
      </c>
    </row>
    <row r="206" spans="1:14">
      <c r="A206" s="29">
        <v>44766</v>
      </c>
      <c r="B206" s="30">
        <f t="shared" si="28"/>
        <v>7</v>
      </c>
      <c r="C206" s="30">
        <f t="shared" si="31"/>
        <v>24</v>
      </c>
      <c r="D206" s="26">
        <f>MATCH(WEEKDAY(A206),そのた定義!A:A,0)</f>
        <v>2</v>
      </c>
      <c r="E206" s="32" t="str">
        <f t="shared" ca="1" si="32"/>
        <v>日</v>
      </c>
      <c r="F206" s="26">
        <f t="shared" si="33"/>
        <v>1</v>
      </c>
      <c r="G206" s="26">
        <f>IF(ISNA(MATCH(A206,祝日定義!E:E,0)),0,1)</f>
        <v>0</v>
      </c>
      <c r="H206" s="26">
        <f>IF(ISNA(MATCH(B206&amp;"/"&amp;C206,そのた定義!E:E,0)), 0, 1)</f>
        <v>0</v>
      </c>
      <c r="I206" s="23" t="b">
        <f t="shared" si="34"/>
        <v>1</v>
      </c>
      <c r="J206" s="26">
        <v>0</v>
      </c>
      <c r="K206" s="26" t="b">
        <f t="shared" si="29"/>
        <v>0</v>
      </c>
      <c r="L206" s="26" t="b">
        <f t="shared" si="30"/>
        <v>0</v>
      </c>
      <c r="M206" t="b">
        <f t="shared" si="35"/>
        <v>0</v>
      </c>
      <c r="N206" t="b">
        <f t="shared" si="36"/>
        <v>0</v>
      </c>
    </row>
    <row r="207" spans="1:14">
      <c r="A207" s="29">
        <v>44767</v>
      </c>
      <c r="B207" s="30">
        <f t="shared" si="28"/>
        <v>7</v>
      </c>
      <c r="C207" s="30">
        <f t="shared" si="31"/>
        <v>25</v>
      </c>
      <c r="D207" s="26">
        <f>MATCH(WEEKDAY(A207),そのた定義!A:A,0)</f>
        <v>3</v>
      </c>
      <c r="E207" s="26" t="str">
        <f t="shared" ca="1" si="32"/>
        <v>月</v>
      </c>
      <c r="F207" s="26">
        <f t="shared" si="33"/>
        <v>0</v>
      </c>
      <c r="G207" s="26">
        <f>IF(ISNA(MATCH(A207,祝日定義!E:E,0)),0,1)</f>
        <v>0</v>
      </c>
      <c r="H207" s="26">
        <f>IF(ISNA(MATCH(B207&amp;"/"&amp;C207,そのた定義!E:E,0)), 0, 1)</f>
        <v>0</v>
      </c>
      <c r="I207" s="26" t="b">
        <f t="shared" si="34"/>
        <v>0</v>
      </c>
      <c r="J207" s="26">
        <v>2</v>
      </c>
      <c r="K207" s="26" t="b">
        <f t="shared" si="29"/>
        <v>0</v>
      </c>
      <c r="L207" s="23" t="b">
        <f t="shared" si="30"/>
        <v>1</v>
      </c>
      <c r="M207" t="b">
        <f t="shared" si="35"/>
        <v>0</v>
      </c>
      <c r="N207" t="b">
        <f t="shared" si="36"/>
        <v>0</v>
      </c>
    </row>
    <row r="208" spans="1:14">
      <c r="A208" s="29">
        <v>44768</v>
      </c>
      <c r="B208" s="30">
        <f t="shared" si="28"/>
        <v>7</v>
      </c>
      <c r="C208" s="30">
        <f t="shared" si="31"/>
        <v>26</v>
      </c>
      <c r="D208" s="26">
        <f>MATCH(WEEKDAY(A208),そのた定義!A:A,0)</f>
        <v>4</v>
      </c>
      <c r="E208" s="26" t="str">
        <f t="shared" ca="1" si="32"/>
        <v>火</v>
      </c>
      <c r="F208" s="26">
        <f t="shared" si="33"/>
        <v>0</v>
      </c>
      <c r="G208" s="26">
        <f>IF(ISNA(MATCH(A208,祝日定義!E:E,0)),0,1)</f>
        <v>0</v>
      </c>
      <c r="H208" s="26">
        <f>IF(ISNA(MATCH(B208&amp;"/"&amp;C208,そのた定義!E:E,0)), 0, 1)</f>
        <v>0</v>
      </c>
      <c r="I208" s="26" t="b">
        <f t="shared" si="34"/>
        <v>0</v>
      </c>
      <c r="J208" s="26">
        <v>0</v>
      </c>
      <c r="K208" s="26" t="b">
        <f t="shared" si="29"/>
        <v>0</v>
      </c>
      <c r="L208" s="26" t="b">
        <f t="shared" si="30"/>
        <v>0</v>
      </c>
      <c r="M208" t="b">
        <f t="shared" si="35"/>
        <v>0</v>
      </c>
      <c r="N208" t="b">
        <f t="shared" si="36"/>
        <v>0</v>
      </c>
    </row>
    <row r="209" spans="1:14">
      <c r="A209" s="29">
        <v>44769</v>
      </c>
      <c r="B209" s="30">
        <f t="shared" si="28"/>
        <v>7</v>
      </c>
      <c r="C209" s="30">
        <f t="shared" si="31"/>
        <v>27</v>
      </c>
      <c r="D209" s="26">
        <f>MATCH(WEEKDAY(A209),そのた定義!A:A,0)</f>
        <v>5</v>
      </c>
      <c r="E209" s="26" t="str">
        <f t="shared" ca="1" si="32"/>
        <v>水</v>
      </c>
      <c r="F209" s="26">
        <f t="shared" si="33"/>
        <v>0</v>
      </c>
      <c r="G209" s="26">
        <f>IF(ISNA(MATCH(A209,祝日定義!E:E,0)),0,1)</f>
        <v>0</v>
      </c>
      <c r="H209" s="26">
        <f>IF(ISNA(MATCH(B209&amp;"/"&amp;C209,そのた定義!E:E,0)), 0, 1)</f>
        <v>0</v>
      </c>
      <c r="I209" s="26" t="b">
        <f t="shared" si="34"/>
        <v>0</v>
      </c>
      <c r="J209" s="26">
        <v>0</v>
      </c>
      <c r="K209" s="26" t="b">
        <f t="shared" si="29"/>
        <v>0</v>
      </c>
      <c r="L209" s="26" t="b">
        <f t="shared" si="30"/>
        <v>0</v>
      </c>
      <c r="M209" t="b">
        <f t="shared" si="35"/>
        <v>0</v>
      </c>
      <c r="N209" t="b">
        <f t="shared" si="36"/>
        <v>0</v>
      </c>
    </row>
    <row r="210" spans="1:14">
      <c r="A210" s="29">
        <v>44770</v>
      </c>
      <c r="B210" s="30">
        <f t="shared" si="28"/>
        <v>7</v>
      </c>
      <c r="C210" s="30">
        <f t="shared" si="31"/>
        <v>28</v>
      </c>
      <c r="D210" s="26">
        <f>MATCH(WEEKDAY(A210),そのた定義!A:A,0)</f>
        <v>6</v>
      </c>
      <c r="E210" s="26" t="str">
        <f t="shared" ca="1" si="32"/>
        <v>木</v>
      </c>
      <c r="F210" s="26">
        <f t="shared" si="33"/>
        <v>0</v>
      </c>
      <c r="G210" s="26">
        <f>IF(ISNA(MATCH(A210,祝日定義!E:E,0)),0,1)</f>
        <v>0</v>
      </c>
      <c r="H210" s="26">
        <f>IF(ISNA(MATCH(B210&amp;"/"&amp;C210,そのた定義!E:E,0)), 0, 1)</f>
        <v>0</v>
      </c>
      <c r="I210" s="26" t="b">
        <f t="shared" si="34"/>
        <v>0</v>
      </c>
      <c r="J210" s="26">
        <v>0</v>
      </c>
      <c r="K210" s="26" t="b">
        <f t="shared" si="29"/>
        <v>0</v>
      </c>
      <c r="L210" s="26" t="b">
        <f t="shared" si="30"/>
        <v>0</v>
      </c>
      <c r="M210" t="b">
        <f t="shared" si="35"/>
        <v>0</v>
      </c>
      <c r="N210" t="b">
        <f t="shared" si="36"/>
        <v>0</v>
      </c>
    </row>
    <row r="211" spans="1:14">
      <c r="A211" s="29">
        <v>44771</v>
      </c>
      <c r="B211" s="30">
        <f t="shared" si="28"/>
        <v>7</v>
      </c>
      <c r="C211" s="30">
        <f t="shared" si="31"/>
        <v>29</v>
      </c>
      <c r="D211" s="26">
        <f>MATCH(WEEKDAY(A211),そのた定義!A:A,0)</f>
        <v>7</v>
      </c>
      <c r="E211" s="26" t="str">
        <f t="shared" ca="1" si="32"/>
        <v>金</v>
      </c>
      <c r="F211" s="26">
        <f t="shared" si="33"/>
        <v>0</v>
      </c>
      <c r="G211" s="26">
        <f>IF(ISNA(MATCH(A211,祝日定義!E:E,0)),0,1)</f>
        <v>0</v>
      </c>
      <c r="H211" s="26">
        <f>IF(ISNA(MATCH(B211&amp;"/"&amp;C211,そのた定義!E:E,0)), 0, 1)</f>
        <v>0</v>
      </c>
      <c r="I211" s="26" t="b">
        <f t="shared" si="34"/>
        <v>0</v>
      </c>
      <c r="J211" s="26">
        <v>0</v>
      </c>
      <c r="K211" s="26" t="b">
        <f t="shared" si="29"/>
        <v>0</v>
      </c>
      <c r="L211" s="26" t="b">
        <f t="shared" si="30"/>
        <v>0</v>
      </c>
      <c r="M211" t="b">
        <f t="shared" si="35"/>
        <v>0</v>
      </c>
      <c r="N211" t="b">
        <f t="shared" si="36"/>
        <v>0</v>
      </c>
    </row>
    <row r="212" spans="1:14">
      <c r="A212" s="29">
        <v>44772</v>
      </c>
      <c r="B212" s="30">
        <f t="shared" si="28"/>
        <v>7</v>
      </c>
      <c r="C212" s="30">
        <f t="shared" si="31"/>
        <v>30</v>
      </c>
      <c r="D212" s="26">
        <f>MATCH(WEEKDAY(A212),そのた定義!A:A,0)</f>
        <v>8</v>
      </c>
      <c r="E212" s="33" t="str">
        <f t="shared" ca="1" si="32"/>
        <v>土</v>
      </c>
      <c r="F212" s="26">
        <f t="shared" si="33"/>
        <v>1</v>
      </c>
      <c r="G212" s="26">
        <f>IF(ISNA(MATCH(A212,祝日定義!E:E,0)),0,1)</f>
        <v>0</v>
      </c>
      <c r="H212" s="26">
        <f>IF(ISNA(MATCH(B212&amp;"/"&amp;C212,そのた定義!E:E,0)), 0, 1)</f>
        <v>0</v>
      </c>
      <c r="I212" s="23" t="b">
        <f t="shared" si="34"/>
        <v>1</v>
      </c>
      <c r="J212" s="26">
        <v>0</v>
      </c>
      <c r="K212" s="26" t="b">
        <f t="shared" si="29"/>
        <v>0</v>
      </c>
      <c r="L212" s="26" t="b">
        <f t="shared" si="30"/>
        <v>0</v>
      </c>
      <c r="M212" t="b">
        <f t="shared" si="35"/>
        <v>0</v>
      </c>
      <c r="N212" t="b">
        <f t="shared" si="36"/>
        <v>0</v>
      </c>
    </row>
    <row r="213" spans="1:14">
      <c r="A213" s="29">
        <v>44773</v>
      </c>
      <c r="B213" s="30">
        <f t="shared" si="28"/>
        <v>7</v>
      </c>
      <c r="C213" s="30">
        <f t="shared" si="31"/>
        <v>31</v>
      </c>
      <c r="D213" s="26">
        <f>MATCH(WEEKDAY(A213),そのた定義!A:A,0)</f>
        <v>2</v>
      </c>
      <c r="E213" s="32" t="str">
        <f t="shared" ca="1" si="32"/>
        <v>日</v>
      </c>
      <c r="F213" s="26">
        <f t="shared" si="33"/>
        <v>1</v>
      </c>
      <c r="G213" s="26">
        <f>IF(ISNA(MATCH(A213,祝日定義!E:E,0)),0,1)</f>
        <v>0</v>
      </c>
      <c r="H213" s="26">
        <f>IF(ISNA(MATCH(B213&amp;"/"&amp;C213,そのた定義!E:E,0)), 0, 1)</f>
        <v>0</v>
      </c>
      <c r="I213" s="23" t="b">
        <f t="shared" si="34"/>
        <v>1</v>
      </c>
      <c r="J213" s="26">
        <v>0</v>
      </c>
      <c r="K213" s="26" t="b">
        <f t="shared" si="29"/>
        <v>0</v>
      </c>
      <c r="L213" s="26" t="b">
        <f t="shared" si="30"/>
        <v>0</v>
      </c>
      <c r="M213" t="b">
        <f t="shared" si="35"/>
        <v>0</v>
      </c>
      <c r="N213" t="b">
        <f t="shared" si="36"/>
        <v>1</v>
      </c>
    </row>
    <row r="214" spans="1:14">
      <c r="A214" s="29">
        <v>44774</v>
      </c>
      <c r="B214" s="30">
        <f t="shared" si="28"/>
        <v>8</v>
      </c>
      <c r="C214" s="30">
        <f t="shared" si="31"/>
        <v>1</v>
      </c>
      <c r="D214" s="26">
        <f>MATCH(WEEKDAY(A214),そのた定義!A:A,0)</f>
        <v>3</v>
      </c>
      <c r="E214" s="26" t="str">
        <f t="shared" ca="1" si="32"/>
        <v>月</v>
      </c>
      <c r="F214" s="26">
        <f t="shared" si="33"/>
        <v>0</v>
      </c>
      <c r="G214" s="26">
        <f>IF(ISNA(MATCH(A214,祝日定義!E:E,0)),0,1)</f>
        <v>0</v>
      </c>
      <c r="H214" s="26">
        <f>IF(ISNA(MATCH(B214&amp;"/"&amp;C214,そのた定義!E:E,0)), 0, 1)</f>
        <v>0</v>
      </c>
      <c r="I214" s="26" t="b">
        <f t="shared" si="34"/>
        <v>0</v>
      </c>
      <c r="J214" s="26">
        <v>2</v>
      </c>
      <c r="K214" s="26" t="b">
        <f t="shared" si="29"/>
        <v>0</v>
      </c>
      <c r="L214" s="26" t="b">
        <f t="shared" si="30"/>
        <v>0</v>
      </c>
      <c r="M214" t="b">
        <f t="shared" si="35"/>
        <v>1</v>
      </c>
      <c r="N214" t="b">
        <f t="shared" si="36"/>
        <v>0</v>
      </c>
    </row>
    <row r="215" spans="1:14">
      <c r="A215" s="29">
        <v>44775</v>
      </c>
      <c r="B215" s="30">
        <f t="shared" si="28"/>
        <v>8</v>
      </c>
      <c r="C215" s="30">
        <f t="shared" si="31"/>
        <v>2</v>
      </c>
      <c r="D215" s="26">
        <f>MATCH(WEEKDAY(A215),そのた定義!A:A,0)</f>
        <v>4</v>
      </c>
      <c r="E215" s="26" t="str">
        <f t="shared" ca="1" si="32"/>
        <v>火</v>
      </c>
      <c r="F215" s="26">
        <f t="shared" si="33"/>
        <v>0</v>
      </c>
      <c r="G215" s="26">
        <f>IF(ISNA(MATCH(A215,祝日定義!E:E,0)),0,1)</f>
        <v>0</v>
      </c>
      <c r="H215" s="26">
        <f>IF(ISNA(MATCH(B215&amp;"/"&amp;C215,そのた定義!E:E,0)), 0, 1)</f>
        <v>0</v>
      </c>
      <c r="I215" s="26" t="b">
        <f t="shared" si="34"/>
        <v>0</v>
      </c>
      <c r="J215" s="26">
        <v>0</v>
      </c>
      <c r="K215" s="26" t="b">
        <f t="shared" si="29"/>
        <v>0</v>
      </c>
      <c r="L215" s="26" t="b">
        <f t="shared" si="30"/>
        <v>0</v>
      </c>
      <c r="M215" t="b">
        <f t="shared" si="35"/>
        <v>0</v>
      </c>
      <c r="N215" t="b">
        <f t="shared" si="36"/>
        <v>0</v>
      </c>
    </row>
    <row r="216" spans="1:14">
      <c r="A216" s="29">
        <v>44776</v>
      </c>
      <c r="B216" s="30">
        <f t="shared" si="28"/>
        <v>8</v>
      </c>
      <c r="C216" s="30">
        <f t="shared" si="31"/>
        <v>3</v>
      </c>
      <c r="D216" s="26">
        <f>MATCH(WEEKDAY(A216),そのた定義!A:A,0)</f>
        <v>5</v>
      </c>
      <c r="E216" s="26" t="str">
        <f t="shared" ca="1" si="32"/>
        <v>水</v>
      </c>
      <c r="F216" s="26">
        <f t="shared" si="33"/>
        <v>0</v>
      </c>
      <c r="G216" s="26">
        <f>IF(ISNA(MATCH(A216,祝日定義!E:E,0)),0,1)</f>
        <v>0</v>
      </c>
      <c r="H216" s="26">
        <f>IF(ISNA(MATCH(B216&amp;"/"&amp;C216,そのた定義!E:E,0)), 0, 1)</f>
        <v>0</v>
      </c>
      <c r="I216" s="26" t="b">
        <f t="shared" si="34"/>
        <v>0</v>
      </c>
      <c r="J216" s="26">
        <v>0</v>
      </c>
      <c r="K216" s="26" t="b">
        <f t="shared" si="29"/>
        <v>0</v>
      </c>
      <c r="L216" s="26" t="b">
        <f t="shared" si="30"/>
        <v>0</v>
      </c>
      <c r="M216" t="b">
        <f t="shared" si="35"/>
        <v>0</v>
      </c>
      <c r="N216" t="b">
        <f t="shared" si="36"/>
        <v>0</v>
      </c>
    </row>
    <row r="217" spans="1:14">
      <c r="A217" s="29">
        <v>44777</v>
      </c>
      <c r="B217" s="30">
        <f t="shared" si="28"/>
        <v>8</v>
      </c>
      <c r="C217" s="30">
        <f t="shared" si="31"/>
        <v>4</v>
      </c>
      <c r="D217" s="26">
        <f>MATCH(WEEKDAY(A217),そのた定義!A:A,0)</f>
        <v>6</v>
      </c>
      <c r="E217" s="26" t="str">
        <f t="shared" ca="1" si="32"/>
        <v>木</v>
      </c>
      <c r="F217" s="26">
        <f t="shared" si="33"/>
        <v>0</v>
      </c>
      <c r="G217" s="26">
        <f>IF(ISNA(MATCH(A217,祝日定義!E:E,0)),0,1)</f>
        <v>0</v>
      </c>
      <c r="H217" s="26">
        <f>IF(ISNA(MATCH(B217&amp;"/"&amp;C217,そのた定義!E:E,0)), 0, 1)</f>
        <v>0</v>
      </c>
      <c r="I217" s="26" t="b">
        <f t="shared" si="34"/>
        <v>0</v>
      </c>
      <c r="J217" s="26">
        <v>0</v>
      </c>
      <c r="K217" s="26" t="b">
        <f t="shared" si="29"/>
        <v>0</v>
      </c>
      <c r="L217" s="26" t="b">
        <f t="shared" si="30"/>
        <v>0</v>
      </c>
      <c r="M217" t="b">
        <f t="shared" si="35"/>
        <v>0</v>
      </c>
      <c r="N217" t="b">
        <f t="shared" si="36"/>
        <v>0</v>
      </c>
    </row>
    <row r="218" spans="1:14">
      <c r="A218" s="29">
        <v>44778</v>
      </c>
      <c r="B218" s="30">
        <f t="shared" si="28"/>
        <v>8</v>
      </c>
      <c r="C218" s="30">
        <f t="shared" si="31"/>
        <v>5</v>
      </c>
      <c r="D218" s="26">
        <f>MATCH(WEEKDAY(A218),そのた定義!A:A,0)</f>
        <v>7</v>
      </c>
      <c r="E218" s="26" t="str">
        <f t="shared" ca="1" si="32"/>
        <v>金</v>
      </c>
      <c r="F218" s="26">
        <f t="shared" si="33"/>
        <v>0</v>
      </c>
      <c r="G218" s="26">
        <f>IF(ISNA(MATCH(A218,祝日定義!E:E,0)),0,1)</f>
        <v>0</v>
      </c>
      <c r="H218" s="26">
        <f>IF(ISNA(MATCH(B218&amp;"/"&amp;C218,そのた定義!E:E,0)), 0, 1)</f>
        <v>0</v>
      </c>
      <c r="I218" s="26" t="b">
        <f t="shared" si="34"/>
        <v>0</v>
      </c>
      <c r="J218" s="26">
        <v>0</v>
      </c>
      <c r="K218" s="26" t="b">
        <f t="shared" si="29"/>
        <v>0</v>
      </c>
      <c r="L218" s="26" t="b">
        <f t="shared" si="30"/>
        <v>0</v>
      </c>
      <c r="M218" t="b">
        <f t="shared" si="35"/>
        <v>0</v>
      </c>
      <c r="N218" t="b">
        <f t="shared" si="36"/>
        <v>0</v>
      </c>
    </row>
    <row r="219" spans="1:14">
      <c r="A219" s="29">
        <v>44779</v>
      </c>
      <c r="B219" s="30">
        <f t="shared" si="28"/>
        <v>8</v>
      </c>
      <c r="C219" s="30">
        <f t="shared" si="31"/>
        <v>6</v>
      </c>
      <c r="D219" s="26">
        <f>MATCH(WEEKDAY(A219),そのた定義!A:A,0)</f>
        <v>8</v>
      </c>
      <c r="E219" s="33" t="str">
        <f t="shared" ca="1" si="32"/>
        <v>土</v>
      </c>
      <c r="F219" s="26">
        <f t="shared" si="33"/>
        <v>1</v>
      </c>
      <c r="G219" s="26">
        <f>IF(ISNA(MATCH(A219,祝日定義!E:E,0)),0,1)</f>
        <v>0</v>
      </c>
      <c r="H219" s="26">
        <f>IF(ISNA(MATCH(B219&amp;"/"&amp;C219,そのた定義!E:E,0)), 0, 1)</f>
        <v>0</v>
      </c>
      <c r="I219" s="23" t="b">
        <f t="shared" si="34"/>
        <v>1</v>
      </c>
      <c r="J219" s="26">
        <v>0</v>
      </c>
      <c r="K219" s="26" t="b">
        <f t="shared" si="29"/>
        <v>0</v>
      </c>
      <c r="L219" s="26" t="b">
        <f t="shared" si="30"/>
        <v>0</v>
      </c>
      <c r="M219" t="b">
        <f t="shared" si="35"/>
        <v>0</v>
      </c>
      <c r="N219" t="b">
        <f t="shared" si="36"/>
        <v>0</v>
      </c>
    </row>
    <row r="220" spans="1:14">
      <c r="A220" s="29">
        <v>44780</v>
      </c>
      <c r="B220" s="30">
        <f t="shared" si="28"/>
        <v>8</v>
      </c>
      <c r="C220" s="30">
        <f t="shared" si="31"/>
        <v>7</v>
      </c>
      <c r="D220" s="26">
        <f>MATCH(WEEKDAY(A220),そのた定義!A:A,0)</f>
        <v>2</v>
      </c>
      <c r="E220" s="32" t="str">
        <f t="shared" ca="1" si="32"/>
        <v>日</v>
      </c>
      <c r="F220" s="26">
        <f t="shared" si="33"/>
        <v>1</v>
      </c>
      <c r="G220" s="26">
        <f>IF(ISNA(MATCH(A220,祝日定義!E:E,0)),0,1)</f>
        <v>0</v>
      </c>
      <c r="H220" s="26">
        <f>IF(ISNA(MATCH(B220&amp;"/"&amp;C220,そのた定義!E:E,0)), 0, 1)</f>
        <v>0</v>
      </c>
      <c r="I220" s="23" t="b">
        <f t="shared" si="34"/>
        <v>1</v>
      </c>
      <c r="J220" s="26">
        <v>0</v>
      </c>
      <c r="K220" s="26" t="b">
        <f t="shared" si="29"/>
        <v>0</v>
      </c>
      <c r="L220" s="26" t="b">
        <f t="shared" si="30"/>
        <v>0</v>
      </c>
      <c r="M220" t="b">
        <f t="shared" si="35"/>
        <v>0</v>
      </c>
      <c r="N220" t="b">
        <f t="shared" si="36"/>
        <v>0</v>
      </c>
    </row>
    <row r="221" spans="1:14">
      <c r="A221" s="29">
        <v>44781</v>
      </c>
      <c r="B221" s="30">
        <f t="shared" si="28"/>
        <v>8</v>
      </c>
      <c r="C221" s="30">
        <f t="shared" si="31"/>
        <v>8</v>
      </c>
      <c r="D221" s="26">
        <f>MATCH(WEEKDAY(A221),そのた定義!A:A,0)</f>
        <v>3</v>
      </c>
      <c r="E221" s="26" t="str">
        <f t="shared" ca="1" si="32"/>
        <v>月</v>
      </c>
      <c r="F221" s="26">
        <f t="shared" si="33"/>
        <v>0</v>
      </c>
      <c r="G221" s="26">
        <f>IF(ISNA(MATCH(A221,祝日定義!E:E,0)),0,1)</f>
        <v>0</v>
      </c>
      <c r="H221" s="26">
        <f>IF(ISNA(MATCH(B221&amp;"/"&amp;C221,そのた定義!E:E,0)), 0, 1)</f>
        <v>0</v>
      </c>
      <c r="I221" s="26" t="b">
        <f t="shared" si="34"/>
        <v>0</v>
      </c>
      <c r="J221" s="26">
        <v>2</v>
      </c>
      <c r="K221" s="26" t="b">
        <f t="shared" si="29"/>
        <v>0</v>
      </c>
      <c r="L221" s="26" t="b">
        <f t="shared" si="30"/>
        <v>0</v>
      </c>
      <c r="M221" t="b">
        <f t="shared" si="35"/>
        <v>0</v>
      </c>
      <c r="N221" t="b">
        <f t="shared" si="36"/>
        <v>0</v>
      </c>
    </row>
    <row r="222" spans="1:14">
      <c r="A222" s="29">
        <v>44782</v>
      </c>
      <c r="B222" s="30">
        <f t="shared" si="28"/>
        <v>8</v>
      </c>
      <c r="C222" s="30">
        <f t="shared" si="31"/>
        <v>9</v>
      </c>
      <c r="D222" s="26">
        <f>MATCH(WEEKDAY(A222),そのた定義!A:A,0)</f>
        <v>4</v>
      </c>
      <c r="E222" s="26" t="str">
        <f t="shared" ca="1" si="32"/>
        <v>火</v>
      </c>
      <c r="F222" s="26">
        <f t="shared" si="33"/>
        <v>0</v>
      </c>
      <c r="G222" s="26">
        <f>IF(ISNA(MATCH(A222,祝日定義!E:E,0)),0,1)</f>
        <v>0</v>
      </c>
      <c r="H222" s="26">
        <f>IF(ISNA(MATCH(B222&amp;"/"&amp;C222,そのた定義!E:E,0)), 0, 1)</f>
        <v>0</v>
      </c>
      <c r="I222" s="26" t="b">
        <f t="shared" si="34"/>
        <v>0</v>
      </c>
      <c r="J222" s="26">
        <v>0</v>
      </c>
      <c r="K222" s="26" t="b">
        <f t="shared" si="29"/>
        <v>0</v>
      </c>
      <c r="L222" s="26" t="b">
        <f t="shared" si="30"/>
        <v>0</v>
      </c>
      <c r="M222" t="b">
        <f t="shared" si="35"/>
        <v>0</v>
      </c>
      <c r="N222" t="b">
        <f t="shared" si="36"/>
        <v>0</v>
      </c>
    </row>
    <row r="223" spans="1:14">
      <c r="A223" s="29">
        <v>44783</v>
      </c>
      <c r="B223" s="30">
        <f t="shared" si="28"/>
        <v>8</v>
      </c>
      <c r="C223" s="30">
        <f t="shared" si="31"/>
        <v>10</v>
      </c>
      <c r="D223" s="26">
        <f>MATCH(WEEKDAY(A223),そのた定義!A:A,0)</f>
        <v>5</v>
      </c>
      <c r="E223" s="26" t="str">
        <f t="shared" ca="1" si="32"/>
        <v>水</v>
      </c>
      <c r="F223" s="26">
        <f t="shared" si="33"/>
        <v>0</v>
      </c>
      <c r="G223" s="26">
        <f>IF(ISNA(MATCH(A223,祝日定義!E:E,0)),0,1)</f>
        <v>0</v>
      </c>
      <c r="H223" s="26">
        <f>IF(ISNA(MATCH(B223&amp;"/"&amp;C223,そのた定義!E:E,0)), 0, 1)</f>
        <v>0</v>
      </c>
      <c r="I223" s="26" t="b">
        <f t="shared" si="34"/>
        <v>0</v>
      </c>
      <c r="J223" s="26">
        <v>0</v>
      </c>
      <c r="K223" s="26" t="b">
        <f t="shared" si="29"/>
        <v>0</v>
      </c>
      <c r="L223" s="26" t="b">
        <f t="shared" si="30"/>
        <v>0</v>
      </c>
      <c r="M223" t="b">
        <f t="shared" si="35"/>
        <v>0</v>
      </c>
      <c r="N223" t="b">
        <f t="shared" si="36"/>
        <v>0</v>
      </c>
    </row>
    <row r="224" spans="1:14">
      <c r="A224" s="29">
        <v>44784</v>
      </c>
      <c r="B224" s="30">
        <f t="shared" si="28"/>
        <v>8</v>
      </c>
      <c r="C224" s="30">
        <f t="shared" si="31"/>
        <v>11</v>
      </c>
      <c r="D224" s="26">
        <f>MATCH(WEEKDAY(A224),そのた定義!A:A,0)</f>
        <v>6</v>
      </c>
      <c r="E224" s="31" t="str">
        <f t="shared" ca="1" si="32"/>
        <v>木</v>
      </c>
      <c r="F224" s="26">
        <f t="shared" si="33"/>
        <v>0</v>
      </c>
      <c r="G224" s="26">
        <f>IF(ISNA(MATCH(A224,祝日定義!E:E,0)),0,1)</f>
        <v>1</v>
      </c>
      <c r="H224" s="26">
        <f>IF(ISNA(MATCH(B224&amp;"/"&amp;C224,そのた定義!E:E,0)), 0, 1)</f>
        <v>0</v>
      </c>
      <c r="I224" s="23" t="b">
        <f t="shared" si="34"/>
        <v>1</v>
      </c>
      <c r="J224" s="26">
        <v>0</v>
      </c>
      <c r="K224" s="26" t="b">
        <f t="shared" si="29"/>
        <v>0</v>
      </c>
      <c r="L224" s="26" t="b">
        <f t="shared" si="30"/>
        <v>0</v>
      </c>
      <c r="M224" t="b">
        <f t="shared" si="35"/>
        <v>0</v>
      </c>
      <c r="N224" t="b">
        <f t="shared" si="36"/>
        <v>0</v>
      </c>
    </row>
    <row r="225" spans="1:14">
      <c r="A225" s="29">
        <v>44785</v>
      </c>
      <c r="B225" s="30">
        <f t="shared" si="28"/>
        <v>8</v>
      </c>
      <c r="C225" s="30">
        <f t="shared" si="31"/>
        <v>12</v>
      </c>
      <c r="D225" s="26">
        <f>MATCH(WEEKDAY(A225),そのた定義!A:A,0)</f>
        <v>7</v>
      </c>
      <c r="E225" s="26" t="str">
        <f t="shared" ca="1" si="32"/>
        <v>金</v>
      </c>
      <c r="F225" s="26">
        <f t="shared" si="33"/>
        <v>0</v>
      </c>
      <c r="G225" s="26">
        <f>IF(ISNA(MATCH(A225,祝日定義!E:E,0)),0,1)</f>
        <v>0</v>
      </c>
      <c r="H225" s="26">
        <f>IF(ISNA(MATCH(B225&amp;"/"&amp;C225,そのた定義!E:E,0)), 0, 1)</f>
        <v>0</v>
      </c>
      <c r="I225" s="26" t="b">
        <f t="shared" si="34"/>
        <v>0</v>
      </c>
      <c r="J225" s="26">
        <v>1</v>
      </c>
      <c r="K225" s="26" t="b">
        <f t="shared" si="29"/>
        <v>0</v>
      </c>
      <c r="L225" s="26" t="b">
        <f t="shared" si="30"/>
        <v>0</v>
      </c>
      <c r="M225" t="b">
        <f t="shared" si="35"/>
        <v>0</v>
      </c>
      <c r="N225" t="b">
        <f t="shared" si="36"/>
        <v>0</v>
      </c>
    </row>
    <row r="226" spans="1:14">
      <c r="A226" s="29">
        <v>44786</v>
      </c>
      <c r="B226" s="30">
        <f t="shared" si="28"/>
        <v>8</v>
      </c>
      <c r="C226" s="30">
        <f t="shared" si="31"/>
        <v>13</v>
      </c>
      <c r="D226" s="26">
        <f>MATCH(WEEKDAY(A226),そのた定義!A:A,0)</f>
        <v>8</v>
      </c>
      <c r="E226" s="33" t="str">
        <f t="shared" ca="1" si="32"/>
        <v>土</v>
      </c>
      <c r="F226" s="26">
        <f t="shared" si="33"/>
        <v>1</v>
      </c>
      <c r="G226" s="26">
        <f>IF(ISNA(MATCH(A226,祝日定義!E:E,0)),0,1)</f>
        <v>0</v>
      </c>
      <c r="H226" s="26">
        <f>IF(ISNA(MATCH(B226&amp;"/"&amp;C226,そのた定義!E:E,0)), 0, 1)</f>
        <v>0</v>
      </c>
      <c r="I226" s="23" t="b">
        <f t="shared" si="34"/>
        <v>1</v>
      </c>
      <c r="J226" s="26">
        <v>0</v>
      </c>
      <c r="K226" s="26" t="b">
        <f t="shared" si="29"/>
        <v>0</v>
      </c>
      <c r="L226" s="26" t="b">
        <f t="shared" si="30"/>
        <v>0</v>
      </c>
      <c r="M226" t="b">
        <f t="shared" si="35"/>
        <v>0</v>
      </c>
      <c r="N226" t="b">
        <f t="shared" si="36"/>
        <v>0</v>
      </c>
    </row>
    <row r="227" spans="1:14">
      <c r="A227" s="29">
        <v>44787</v>
      </c>
      <c r="B227" s="30">
        <f t="shared" si="28"/>
        <v>8</v>
      </c>
      <c r="C227" s="30">
        <f t="shared" si="31"/>
        <v>14</v>
      </c>
      <c r="D227" s="26">
        <f>MATCH(WEEKDAY(A227),そのた定義!A:A,0)</f>
        <v>2</v>
      </c>
      <c r="E227" s="32" t="str">
        <f t="shared" ca="1" si="32"/>
        <v>日</v>
      </c>
      <c r="F227" s="26">
        <f t="shared" si="33"/>
        <v>1</v>
      </c>
      <c r="G227" s="26">
        <f>IF(ISNA(MATCH(A227,祝日定義!E:E,0)),0,1)</f>
        <v>0</v>
      </c>
      <c r="H227" s="26">
        <f>IF(ISNA(MATCH(B227&amp;"/"&amp;C227,そのた定義!E:E,0)), 0, 1)</f>
        <v>0</v>
      </c>
      <c r="I227" s="23" t="b">
        <f t="shared" si="34"/>
        <v>1</v>
      </c>
      <c r="J227" s="26">
        <v>0</v>
      </c>
      <c r="K227" s="26" t="b">
        <f t="shared" si="29"/>
        <v>0</v>
      </c>
      <c r="L227" s="26" t="b">
        <f t="shared" si="30"/>
        <v>0</v>
      </c>
      <c r="M227" t="b">
        <f t="shared" si="35"/>
        <v>0</v>
      </c>
      <c r="N227" t="b">
        <f t="shared" si="36"/>
        <v>0</v>
      </c>
    </row>
    <row r="228" spans="1:14">
      <c r="A228" s="29">
        <v>44788</v>
      </c>
      <c r="B228" s="30">
        <f t="shared" si="28"/>
        <v>8</v>
      </c>
      <c r="C228" s="30">
        <f t="shared" si="31"/>
        <v>15</v>
      </c>
      <c r="D228" s="26">
        <f>MATCH(WEEKDAY(A228),そのた定義!A:A,0)</f>
        <v>3</v>
      </c>
      <c r="E228" s="26" t="str">
        <f t="shared" ca="1" si="32"/>
        <v>月</v>
      </c>
      <c r="F228" s="26">
        <f t="shared" si="33"/>
        <v>0</v>
      </c>
      <c r="G228" s="26">
        <f>IF(ISNA(MATCH(A228,祝日定義!E:E,0)),0,1)</f>
        <v>0</v>
      </c>
      <c r="H228" s="26">
        <f>IF(ISNA(MATCH(B228&amp;"/"&amp;C228,そのた定義!E:E,0)), 0, 1)</f>
        <v>0</v>
      </c>
      <c r="I228" s="26" t="b">
        <f t="shared" si="34"/>
        <v>0</v>
      </c>
      <c r="J228" s="26">
        <v>2</v>
      </c>
      <c r="K228" s="26" t="b">
        <f t="shared" si="29"/>
        <v>0</v>
      </c>
      <c r="L228" s="26" t="b">
        <f t="shared" si="30"/>
        <v>0</v>
      </c>
      <c r="M228" t="b">
        <f t="shared" si="35"/>
        <v>0</v>
      </c>
      <c r="N228" t="b">
        <f t="shared" si="36"/>
        <v>0</v>
      </c>
    </row>
    <row r="229" spans="1:14">
      <c r="A229" s="29">
        <v>44789</v>
      </c>
      <c r="B229" s="30">
        <f t="shared" si="28"/>
        <v>8</v>
      </c>
      <c r="C229" s="30">
        <f t="shared" si="31"/>
        <v>16</v>
      </c>
      <c r="D229" s="26">
        <f>MATCH(WEEKDAY(A229),そのた定義!A:A,0)</f>
        <v>4</v>
      </c>
      <c r="E229" s="26" t="str">
        <f t="shared" ca="1" si="32"/>
        <v>火</v>
      </c>
      <c r="F229" s="26">
        <f t="shared" si="33"/>
        <v>0</v>
      </c>
      <c r="G229" s="26">
        <f>IF(ISNA(MATCH(A229,祝日定義!E:E,0)),0,1)</f>
        <v>0</v>
      </c>
      <c r="H229" s="26">
        <f>IF(ISNA(MATCH(B229&amp;"/"&amp;C229,そのた定義!E:E,0)), 0, 1)</f>
        <v>0</v>
      </c>
      <c r="I229" s="26" t="b">
        <f t="shared" si="34"/>
        <v>0</v>
      </c>
      <c r="J229" s="26">
        <v>0</v>
      </c>
      <c r="K229" s="26" t="b">
        <f t="shared" si="29"/>
        <v>0</v>
      </c>
      <c r="L229" s="26" t="b">
        <f t="shared" si="30"/>
        <v>0</v>
      </c>
      <c r="M229" t="b">
        <f t="shared" si="35"/>
        <v>0</v>
      </c>
      <c r="N229" t="b">
        <f t="shared" si="36"/>
        <v>0</v>
      </c>
    </row>
    <row r="230" spans="1:14">
      <c r="A230" s="29">
        <v>44790</v>
      </c>
      <c r="B230" s="30">
        <f t="shared" si="28"/>
        <v>8</v>
      </c>
      <c r="C230" s="30">
        <f t="shared" si="31"/>
        <v>17</v>
      </c>
      <c r="D230" s="26">
        <f>MATCH(WEEKDAY(A230),そのた定義!A:A,0)</f>
        <v>5</v>
      </c>
      <c r="E230" s="26" t="str">
        <f t="shared" ca="1" si="32"/>
        <v>水</v>
      </c>
      <c r="F230" s="26">
        <f t="shared" si="33"/>
        <v>0</v>
      </c>
      <c r="G230" s="26">
        <f>IF(ISNA(MATCH(A230,祝日定義!E:E,0)),0,1)</f>
        <v>0</v>
      </c>
      <c r="H230" s="26">
        <f>IF(ISNA(MATCH(B230&amp;"/"&amp;C230,そのた定義!E:E,0)), 0, 1)</f>
        <v>0</v>
      </c>
      <c r="I230" s="26" t="b">
        <f t="shared" si="34"/>
        <v>0</v>
      </c>
      <c r="J230" s="26">
        <v>0</v>
      </c>
      <c r="K230" s="26" t="b">
        <f t="shared" si="29"/>
        <v>0</v>
      </c>
      <c r="L230" s="26" t="b">
        <f t="shared" si="30"/>
        <v>0</v>
      </c>
      <c r="M230" t="b">
        <f t="shared" si="35"/>
        <v>0</v>
      </c>
      <c r="N230" t="b">
        <f t="shared" si="36"/>
        <v>0</v>
      </c>
    </row>
    <row r="231" spans="1:14">
      <c r="A231" s="29">
        <v>44791</v>
      </c>
      <c r="B231" s="30">
        <f t="shared" si="28"/>
        <v>8</v>
      </c>
      <c r="C231" s="30">
        <f t="shared" si="31"/>
        <v>18</v>
      </c>
      <c r="D231" s="26">
        <f>MATCH(WEEKDAY(A231),そのた定義!A:A,0)</f>
        <v>6</v>
      </c>
      <c r="E231" s="26" t="str">
        <f t="shared" ca="1" si="32"/>
        <v>木</v>
      </c>
      <c r="F231" s="26">
        <f t="shared" si="33"/>
        <v>0</v>
      </c>
      <c r="G231" s="26">
        <f>IF(ISNA(MATCH(A231,祝日定義!E:E,0)),0,1)</f>
        <v>0</v>
      </c>
      <c r="H231" s="26">
        <f>IF(ISNA(MATCH(B231&amp;"/"&amp;C231,そのた定義!E:E,0)), 0, 1)</f>
        <v>0</v>
      </c>
      <c r="I231" s="26" t="b">
        <f t="shared" si="34"/>
        <v>0</v>
      </c>
      <c r="J231" s="26">
        <v>0</v>
      </c>
      <c r="K231" s="26" t="b">
        <f t="shared" si="29"/>
        <v>0</v>
      </c>
      <c r="L231" s="26" t="b">
        <f t="shared" si="30"/>
        <v>0</v>
      </c>
      <c r="M231" t="b">
        <f t="shared" si="35"/>
        <v>0</v>
      </c>
      <c r="N231" t="b">
        <f t="shared" si="36"/>
        <v>0</v>
      </c>
    </row>
    <row r="232" spans="1:14">
      <c r="A232" s="29">
        <v>44792</v>
      </c>
      <c r="B232" s="30">
        <f t="shared" si="28"/>
        <v>8</v>
      </c>
      <c r="C232" s="30">
        <f t="shared" si="31"/>
        <v>19</v>
      </c>
      <c r="D232" s="26">
        <f>MATCH(WEEKDAY(A232),そのた定義!A:A,0)</f>
        <v>7</v>
      </c>
      <c r="E232" s="26" t="str">
        <f t="shared" ca="1" si="32"/>
        <v>金</v>
      </c>
      <c r="F232" s="26">
        <f t="shared" si="33"/>
        <v>0</v>
      </c>
      <c r="G232" s="26">
        <f>IF(ISNA(MATCH(A232,祝日定義!E:E,0)),0,1)</f>
        <v>0</v>
      </c>
      <c r="H232" s="26">
        <f>IF(ISNA(MATCH(B232&amp;"/"&amp;C232,そのた定義!E:E,0)), 0, 1)</f>
        <v>0</v>
      </c>
      <c r="I232" s="26" t="b">
        <f t="shared" si="34"/>
        <v>0</v>
      </c>
      <c r="J232" s="26">
        <v>0</v>
      </c>
      <c r="K232" s="26" t="b">
        <f t="shared" si="29"/>
        <v>0</v>
      </c>
      <c r="L232" s="26" t="b">
        <f t="shared" si="30"/>
        <v>0</v>
      </c>
      <c r="M232" t="b">
        <f t="shared" si="35"/>
        <v>0</v>
      </c>
      <c r="N232" t="b">
        <f t="shared" si="36"/>
        <v>0</v>
      </c>
    </row>
    <row r="233" spans="1:14">
      <c r="A233" s="29">
        <v>44793</v>
      </c>
      <c r="B233" s="30">
        <f t="shared" si="28"/>
        <v>8</v>
      </c>
      <c r="C233" s="30">
        <f t="shared" si="31"/>
        <v>20</v>
      </c>
      <c r="D233" s="26">
        <f>MATCH(WEEKDAY(A233),そのた定義!A:A,0)</f>
        <v>8</v>
      </c>
      <c r="E233" s="33" t="str">
        <f t="shared" ca="1" si="32"/>
        <v>土</v>
      </c>
      <c r="F233" s="26">
        <f t="shared" si="33"/>
        <v>1</v>
      </c>
      <c r="G233" s="26">
        <f>IF(ISNA(MATCH(A233,祝日定義!E:E,0)),0,1)</f>
        <v>0</v>
      </c>
      <c r="H233" s="26">
        <f>IF(ISNA(MATCH(B233&amp;"/"&amp;C233,そのた定義!E:E,0)), 0, 1)</f>
        <v>0</v>
      </c>
      <c r="I233" s="23" t="b">
        <f t="shared" si="34"/>
        <v>1</v>
      </c>
      <c r="J233" s="26">
        <v>0</v>
      </c>
      <c r="K233" s="26" t="b">
        <f t="shared" si="29"/>
        <v>0</v>
      </c>
      <c r="L233" s="26" t="b">
        <f t="shared" si="30"/>
        <v>0</v>
      </c>
      <c r="M233" t="b">
        <f t="shared" si="35"/>
        <v>0</v>
      </c>
      <c r="N233" t="b">
        <f t="shared" si="36"/>
        <v>0</v>
      </c>
    </row>
    <row r="234" spans="1:14">
      <c r="A234" s="29">
        <v>44794</v>
      </c>
      <c r="B234" s="30">
        <f t="shared" si="28"/>
        <v>8</v>
      </c>
      <c r="C234" s="30">
        <f t="shared" si="31"/>
        <v>21</v>
      </c>
      <c r="D234" s="26">
        <f>MATCH(WEEKDAY(A234),そのた定義!A:A,0)</f>
        <v>2</v>
      </c>
      <c r="E234" s="32" t="str">
        <f t="shared" ca="1" si="32"/>
        <v>日</v>
      </c>
      <c r="F234" s="26">
        <f t="shared" si="33"/>
        <v>1</v>
      </c>
      <c r="G234" s="26">
        <f>IF(ISNA(MATCH(A234,祝日定義!E:E,0)),0,1)</f>
        <v>0</v>
      </c>
      <c r="H234" s="26">
        <f>IF(ISNA(MATCH(B234&amp;"/"&amp;C234,そのた定義!E:E,0)), 0, 1)</f>
        <v>0</v>
      </c>
      <c r="I234" s="23" t="b">
        <f t="shared" si="34"/>
        <v>1</v>
      </c>
      <c r="J234" s="26">
        <v>0</v>
      </c>
      <c r="K234" s="26" t="b">
        <f t="shared" si="29"/>
        <v>0</v>
      </c>
      <c r="L234" s="26" t="b">
        <f t="shared" si="30"/>
        <v>0</v>
      </c>
      <c r="M234" t="b">
        <f t="shared" si="35"/>
        <v>0</v>
      </c>
      <c r="N234" t="b">
        <f t="shared" si="36"/>
        <v>0</v>
      </c>
    </row>
    <row r="235" spans="1:14">
      <c r="A235" s="29">
        <v>44795</v>
      </c>
      <c r="B235" s="30">
        <f t="shared" si="28"/>
        <v>8</v>
      </c>
      <c r="C235" s="30">
        <f t="shared" si="31"/>
        <v>22</v>
      </c>
      <c r="D235" s="26">
        <f>MATCH(WEEKDAY(A235),そのた定義!A:A,0)</f>
        <v>3</v>
      </c>
      <c r="E235" s="26" t="str">
        <f t="shared" ca="1" si="32"/>
        <v>月</v>
      </c>
      <c r="F235" s="26">
        <f t="shared" si="33"/>
        <v>0</v>
      </c>
      <c r="G235" s="26">
        <f>IF(ISNA(MATCH(A235,祝日定義!E:E,0)),0,1)</f>
        <v>0</v>
      </c>
      <c r="H235" s="26">
        <f>IF(ISNA(MATCH(B235&amp;"/"&amp;C235,そのた定義!E:E,0)), 0, 1)</f>
        <v>0</v>
      </c>
      <c r="I235" s="26" t="b">
        <f t="shared" si="34"/>
        <v>0</v>
      </c>
      <c r="J235" s="26">
        <v>2</v>
      </c>
      <c r="K235" s="26" t="b">
        <f t="shared" si="29"/>
        <v>0</v>
      </c>
      <c r="L235" s="26" t="b">
        <f t="shared" si="30"/>
        <v>0</v>
      </c>
      <c r="M235" t="b">
        <f t="shared" si="35"/>
        <v>0</v>
      </c>
      <c r="N235" t="b">
        <f t="shared" si="36"/>
        <v>0</v>
      </c>
    </row>
    <row r="236" spans="1:14">
      <c r="A236" s="29">
        <v>44796</v>
      </c>
      <c r="B236" s="30">
        <f t="shared" si="28"/>
        <v>8</v>
      </c>
      <c r="C236" s="30">
        <f t="shared" si="31"/>
        <v>23</v>
      </c>
      <c r="D236" s="26">
        <f>MATCH(WEEKDAY(A236),そのた定義!A:A,0)</f>
        <v>4</v>
      </c>
      <c r="E236" s="26" t="str">
        <f t="shared" ca="1" si="32"/>
        <v>火</v>
      </c>
      <c r="F236" s="26">
        <f t="shared" si="33"/>
        <v>0</v>
      </c>
      <c r="G236" s="26">
        <f>IF(ISNA(MATCH(A236,祝日定義!E:E,0)),0,1)</f>
        <v>0</v>
      </c>
      <c r="H236" s="26">
        <f>IF(ISNA(MATCH(B236&amp;"/"&amp;C236,そのた定義!E:E,0)), 0, 1)</f>
        <v>0</v>
      </c>
      <c r="I236" s="26" t="b">
        <f t="shared" si="34"/>
        <v>0</v>
      </c>
      <c r="J236" s="26">
        <v>0</v>
      </c>
      <c r="K236" s="26" t="b">
        <f t="shared" si="29"/>
        <v>0</v>
      </c>
      <c r="L236" s="26" t="b">
        <f t="shared" si="30"/>
        <v>0</v>
      </c>
      <c r="M236" t="b">
        <f t="shared" si="35"/>
        <v>0</v>
      </c>
      <c r="N236" t="b">
        <f t="shared" si="36"/>
        <v>0</v>
      </c>
    </row>
    <row r="237" spans="1:14">
      <c r="A237" s="29">
        <v>44797</v>
      </c>
      <c r="B237" s="30">
        <f t="shared" si="28"/>
        <v>8</v>
      </c>
      <c r="C237" s="30">
        <f t="shared" si="31"/>
        <v>24</v>
      </c>
      <c r="D237" s="26">
        <f>MATCH(WEEKDAY(A237),そのた定義!A:A,0)</f>
        <v>5</v>
      </c>
      <c r="E237" s="26" t="str">
        <f t="shared" ca="1" si="32"/>
        <v>水</v>
      </c>
      <c r="F237" s="26">
        <f t="shared" si="33"/>
        <v>0</v>
      </c>
      <c r="G237" s="26">
        <f>IF(ISNA(MATCH(A237,祝日定義!E:E,0)),0,1)</f>
        <v>0</v>
      </c>
      <c r="H237" s="26">
        <f>IF(ISNA(MATCH(B237&amp;"/"&amp;C237,そのた定義!E:E,0)), 0, 1)</f>
        <v>0</v>
      </c>
      <c r="I237" s="26" t="b">
        <f t="shared" si="34"/>
        <v>0</v>
      </c>
      <c r="J237" s="26">
        <v>0</v>
      </c>
      <c r="K237" s="26" t="b">
        <f t="shared" si="29"/>
        <v>0</v>
      </c>
      <c r="L237" s="26" t="b">
        <f t="shared" si="30"/>
        <v>0</v>
      </c>
      <c r="M237" t="b">
        <f t="shared" si="35"/>
        <v>0</v>
      </c>
      <c r="N237" t="b">
        <f t="shared" si="36"/>
        <v>0</v>
      </c>
    </row>
    <row r="238" spans="1:14">
      <c r="A238" s="29">
        <v>44798</v>
      </c>
      <c r="B238" s="30">
        <f t="shared" si="28"/>
        <v>8</v>
      </c>
      <c r="C238" s="30">
        <f t="shared" si="31"/>
        <v>25</v>
      </c>
      <c r="D238" s="26">
        <f>MATCH(WEEKDAY(A238),そのた定義!A:A,0)</f>
        <v>6</v>
      </c>
      <c r="E238" s="26" t="str">
        <f t="shared" ca="1" si="32"/>
        <v>木</v>
      </c>
      <c r="F238" s="26">
        <f t="shared" si="33"/>
        <v>0</v>
      </c>
      <c r="G238" s="26">
        <f>IF(ISNA(MATCH(A238,祝日定義!E:E,0)),0,1)</f>
        <v>0</v>
      </c>
      <c r="H238" s="26">
        <f>IF(ISNA(MATCH(B238&amp;"/"&amp;C238,そのた定義!E:E,0)), 0, 1)</f>
        <v>0</v>
      </c>
      <c r="I238" s="26" t="b">
        <f t="shared" si="34"/>
        <v>0</v>
      </c>
      <c r="J238" s="26">
        <v>0</v>
      </c>
      <c r="K238" s="26" t="b">
        <f t="shared" si="29"/>
        <v>0</v>
      </c>
      <c r="L238" s="23" t="b">
        <f t="shared" si="30"/>
        <v>1</v>
      </c>
      <c r="M238" t="b">
        <f t="shared" si="35"/>
        <v>0</v>
      </c>
      <c r="N238" t="b">
        <f t="shared" si="36"/>
        <v>0</v>
      </c>
    </row>
    <row r="239" spans="1:14">
      <c r="A239" s="29">
        <v>44799</v>
      </c>
      <c r="B239" s="30">
        <f t="shared" si="28"/>
        <v>8</v>
      </c>
      <c r="C239" s="30">
        <f t="shared" si="31"/>
        <v>26</v>
      </c>
      <c r="D239" s="26">
        <f>MATCH(WEEKDAY(A239),そのた定義!A:A,0)</f>
        <v>7</v>
      </c>
      <c r="E239" s="26" t="str">
        <f t="shared" ca="1" si="32"/>
        <v>金</v>
      </c>
      <c r="F239" s="26">
        <f t="shared" si="33"/>
        <v>0</v>
      </c>
      <c r="G239" s="26">
        <f>IF(ISNA(MATCH(A239,祝日定義!E:E,0)),0,1)</f>
        <v>0</v>
      </c>
      <c r="H239" s="26">
        <f>IF(ISNA(MATCH(B239&amp;"/"&amp;C239,そのた定義!E:E,0)), 0, 1)</f>
        <v>0</v>
      </c>
      <c r="I239" s="26" t="b">
        <f t="shared" si="34"/>
        <v>0</v>
      </c>
      <c r="J239" s="26">
        <v>0</v>
      </c>
      <c r="K239" s="26" t="b">
        <f t="shared" si="29"/>
        <v>0</v>
      </c>
      <c r="L239" s="26" t="b">
        <f t="shared" si="30"/>
        <v>0</v>
      </c>
      <c r="M239" t="b">
        <f t="shared" si="35"/>
        <v>0</v>
      </c>
      <c r="N239" t="b">
        <f t="shared" si="36"/>
        <v>0</v>
      </c>
    </row>
    <row r="240" spans="1:14">
      <c r="A240" s="29">
        <v>44800</v>
      </c>
      <c r="B240" s="30">
        <f t="shared" si="28"/>
        <v>8</v>
      </c>
      <c r="C240" s="30">
        <f t="shared" si="31"/>
        <v>27</v>
      </c>
      <c r="D240" s="26">
        <f>MATCH(WEEKDAY(A240),そのた定義!A:A,0)</f>
        <v>8</v>
      </c>
      <c r="E240" s="33" t="str">
        <f t="shared" ca="1" si="32"/>
        <v>土</v>
      </c>
      <c r="F240" s="26">
        <f t="shared" si="33"/>
        <v>1</v>
      </c>
      <c r="G240" s="26">
        <f>IF(ISNA(MATCH(A240,祝日定義!E:E,0)),0,1)</f>
        <v>0</v>
      </c>
      <c r="H240" s="26">
        <f>IF(ISNA(MATCH(B240&amp;"/"&amp;C240,そのた定義!E:E,0)), 0, 1)</f>
        <v>0</v>
      </c>
      <c r="I240" s="23" t="b">
        <f t="shared" si="34"/>
        <v>1</v>
      </c>
      <c r="J240" s="26">
        <v>0</v>
      </c>
      <c r="K240" s="26" t="b">
        <f t="shared" si="29"/>
        <v>0</v>
      </c>
      <c r="L240" s="26" t="b">
        <f t="shared" si="30"/>
        <v>0</v>
      </c>
      <c r="M240" t="b">
        <f t="shared" si="35"/>
        <v>0</v>
      </c>
      <c r="N240" t="b">
        <f t="shared" si="36"/>
        <v>0</v>
      </c>
    </row>
    <row r="241" spans="1:14">
      <c r="A241" s="29">
        <v>44801</v>
      </c>
      <c r="B241" s="30">
        <f t="shared" si="28"/>
        <v>8</v>
      </c>
      <c r="C241" s="30">
        <f t="shared" si="31"/>
        <v>28</v>
      </c>
      <c r="D241" s="26">
        <f>MATCH(WEEKDAY(A241),そのた定義!A:A,0)</f>
        <v>2</v>
      </c>
      <c r="E241" s="32" t="str">
        <f t="shared" ca="1" si="32"/>
        <v>日</v>
      </c>
      <c r="F241" s="26">
        <f t="shared" si="33"/>
        <v>1</v>
      </c>
      <c r="G241" s="26">
        <f>IF(ISNA(MATCH(A241,祝日定義!E:E,0)),0,1)</f>
        <v>0</v>
      </c>
      <c r="H241" s="26">
        <f>IF(ISNA(MATCH(B241&amp;"/"&amp;C241,そのた定義!E:E,0)), 0, 1)</f>
        <v>0</v>
      </c>
      <c r="I241" s="23" t="b">
        <f t="shared" si="34"/>
        <v>1</v>
      </c>
      <c r="J241" s="26">
        <v>0</v>
      </c>
      <c r="K241" s="26" t="b">
        <f t="shared" si="29"/>
        <v>0</v>
      </c>
      <c r="L241" s="26" t="b">
        <f t="shared" si="30"/>
        <v>0</v>
      </c>
      <c r="M241" t="b">
        <f t="shared" si="35"/>
        <v>0</v>
      </c>
      <c r="N241" t="b">
        <f t="shared" si="36"/>
        <v>0</v>
      </c>
    </row>
    <row r="242" spans="1:14">
      <c r="A242" s="29">
        <v>44802</v>
      </c>
      <c r="B242" s="30">
        <f t="shared" si="28"/>
        <v>8</v>
      </c>
      <c r="C242" s="30">
        <f t="shared" si="31"/>
        <v>29</v>
      </c>
      <c r="D242" s="26">
        <f>MATCH(WEEKDAY(A242),そのた定義!A:A,0)</f>
        <v>3</v>
      </c>
      <c r="E242" s="26" t="str">
        <f t="shared" ca="1" si="32"/>
        <v>月</v>
      </c>
      <c r="F242" s="26">
        <f t="shared" si="33"/>
        <v>0</v>
      </c>
      <c r="G242" s="26">
        <f>IF(ISNA(MATCH(A242,祝日定義!E:E,0)),0,1)</f>
        <v>0</v>
      </c>
      <c r="H242" s="26">
        <f>IF(ISNA(MATCH(B242&amp;"/"&amp;C242,そのた定義!E:E,0)), 0, 1)</f>
        <v>0</v>
      </c>
      <c r="I242" s="26" t="b">
        <f t="shared" si="34"/>
        <v>0</v>
      </c>
      <c r="J242" s="26">
        <v>2</v>
      </c>
      <c r="K242" s="26" t="b">
        <f t="shared" si="29"/>
        <v>0</v>
      </c>
      <c r="L242" s="26" t="b">
        <f t="shared" si="30"/>
        <v>0</v>
      </c>
      <c r="M242" t="b">
        <f t="shared" si="35"/>
        <v>0</v>
      </c>
      <c r="N242" t="b">
        <f t="shared" si="36"/>
        <v>0</v>
      </c>
    </row>
    <row r="243" spans="1:14">
      <c r="A243" s="29">
        <v>44803</v>
      </c>
      <c r="B243" s="30">
        <f t="shared" si="28"/>
        <v>8</v>
      </c>
      <c r="C243" s="30">
        <f t="shared" si="31"/>
        <v>30</v>
      </c>
      <c r="D243" s="26">
        <f>MATCH(WEEKDAY(A243),そのた定義!A:A,0)</f>
        <v>4</v>
      </c>
      <c r="E243" s="26" t="str">
        <f t="shared" ca="1" si="32"/>
        <v>火</v>
      </c>
      <c r="F243" s="26">
        <f t="shared" si="33"/>
        <v>0</v>
      </c>
      <c r="G243" s="26">
        <f>IF(ISNA(MATCH(A243,祝日定義!E:E,0)),0,1)</f>
        <v>0</v>
      </c>
      <c r="H243" s="26">
        <f>IF(ISNA(MATCH(B243&amp;"/"&amp;C243,そのた定義!E:E,0)), 0, 1)</f>
        <v>0</v>
      </c>
      <c r="I243" s="26" t="b">
        <f t="shared" si="34"/>
        <v>0</v>
      </c>
      <c r="J243" s="26">
        <v>0</v>
      </c>
      <c r="K243" s="26" t="b">
        <f t="shared" si="29"/>
        <v>0</v>
      </c>
      <c r="L243" s="26" t="b">
        <f t="shared" si="30"/>
        <v>0</v>
      </c>
      <c r="M243" t="b">
        <f t="shared" si="35"/>
        <v>0</v>
      </c>
      <c r="N243" t="b">
        <f t="shared" si="36"/>
        <v>0</v>
      </c>
    </row>
    <row r="244" spans="1:14">
      <c r="A244" s="29">
        <v>44804</v>
      </c>
      <c r="B244" s="30">
        <f t="shared" si="28"/>
        <v>8</v>
      </c>
      <c r="C244" s="30">
        <f t="shared" si="31"/>
        <v>31</v>
      </c>
      <c r="D244" s="26">
        <f>MATCH(WEEKDAY(A244),そのた定義!A:A,0)</f>
        <v>5</v>
      </c>
      <c r="E244" s="26" t="str">
        <f t="shared" ca="1" si="32"/>
        <v>水</v>
      </c>
      <c r="F244" s="26">
        <f t="shared" si="33"/>
        <v>0</v>
      </c>
      <c r="G244" s="26">
        <f>IF(ISNA(MATCH(A244,祝日定義!E:E,0)),0,1)</f>
        <v>0</v>
      </c>
      <c r="H244" s="26">
        <f>IF(ISNA(MATCH(B244&amp;"/"&amp;C244,そのた定義!E:E,0)), 0, 1)</f>
        <v>0</v>
      </c>
      <c r="I244" s="26" t="b">
        <f t="shared" si="34"/>
        <v>0</v>
      </c>
      <c r="J244" s="26">
        <v>0</v>
      </c>
      <c r="K244" s="26" t="b">
        <f t="shared" si="29"/>
        <v>0</v>
      </c>
      <c r="L244" s="26" t="b">
        <f t="shared" si="30"/>
        <v>0</v>
      </c>
      <c r="M244" t="b">
        <f t="shared" si="35"/>
        <v>0</v>
      </c>
      <c r="N244" t="b">
        <f t="shared" si="36"/>
        <v>1</v>
      </c>
    </row>
    <row r="245" spans="1:14">
      <c r="A245" s="29">
        <v>44805</v>
      </c>
      <c r="B245" s="30">
        <f t="shared" si="28"/>
        <v>9</v>
      </c>
      <c r="C245" s="30">
        <f t="shared" si="31"/>
        <v>1</v>
      </c>
      <c r="D245" s="26">
        <f>MATCH(WEEKDAY(A245),そのた定義!A:A,0)</f>
        <v>6</v>
      </c>
      <c r="E245" s="26" t="str">
        <f t="shared" ca="1" si="32"/>
        <v>木</v>
      </c>
      <c r="F245" s="26">
        <f t="shared" si="33"/>
        <v>0</v>
      </c>
      <c r="G245" s="26">
        <f>IF(ISNA(MATCH(A245,祝日定義!E:E,0)),0,1)</f>
        <v>0</v>
      </c>
      <c r="H245" s="26">
        <f>IF(ISNA(MATCH(B245&amp;"/"&amp;C245,そのた定義!E:E,0)), 0, 1)</f>
        <v>0</v>
      </c>
      <c r="I245" s="26" t="b">
        <f t="shared" si="34"/>
        <v>0</v>
      </c>
      <c r="J245" s="26">
        <v>0</v>
      </c>
      <c r="K245" s="26" t="b">
        <f t="shared" si="29"/>
        <v>0</v>
      </c>
      <c r="L245" s="26" t="b">
        <f t="shared" si="30"/>
        <v>0</v>
      </c>
      <c r="M245" t="b">
        <f t="shared" si="35"/>
        <v>0</v>
      </c>
      <c r="N245" t="b">
        <f t="shared" si="36"/>
        <v>0</v>
      </c>
    </row>
    <row r="246" spans="1:14">
      <c r="A246" s="29">
        <v>44806</v>
      </c>
      <c r="B246" s="30">
        <f t="shared" si="28"/>
        <v>9</v>
      </c>
      <c r="C246" s="30">
        <f t="shared" si="31"/>
        <v>2</v>
      </c>
      <c r="D246" s="26">
        <f>MATCH(WEEKDAY(A246),そのた定義!A:A,0)</f>
        <v>7</v>
      </c>
      <c r="E246" s="26" t="str">
        <f t="shared" ca="1" si="32"/>
        <v>金</v>
      </c>
      <c r="F246" s="26">
        <f t="shared" si="33"/>
        <v>0</v>
      </c>
      <c r="G246" s="26">
        <f>IF(ISNA(MATCH(A246,祝日定義!E:E,0)),0,1)</f>
        <v>0</v>
      </c>
      <c r="H246" s="26">
        <f>IF(ISNA(MATCH(B246&amp;"/"&amp;C246,そのた定義!E:E,0)), 0, 1)</f>
        <v>0</v>
      </c>
      <c r="I246" s="26" t="b">
        <f t="shared" si="34"/>
        <v>0</v>
      </c>
      <c r="J246" s="26">
        <v>0</v>
      </c>
      <c r="K246" s="26" t="b">
        <f t="shared" si="29"/>
        <v>0</v>
      </c>
      <c r="L246" s="26" t="b">
        <f t="shared" si="30"/>
        <v>0</v>
      </c>
      <c r="M246" t="b">
        <f t="shared" si="35"/>
        <v>0</v>
      </c>
      <c r="N246" t="b">
        <f t="shared" si="36"/>
        <v>0</v>
      </c>
    </row>
    <row r="247" spans="1:14">
      <c r="A247" s="29">
        <v>44807</v>
      </c>
      <c r="B247" s="30">
        <f t="shared" si="28"/>
        <v>9</v>
      </c>
      <c r="C247" s="30">
        <f t="shared" si="31"/>
        <v>3</v>
      </c>
      <c r="D247" s="26">
        <f>MATCH(WEEKDAY(A247),そのた定義!A:A,0)</f>
        <v>8</v>
      </c>
      <c r="E247" s="33" t="str">
        <f t="shared" ca="1" si="32"/>
        <v>土</v>
      </c>
      <c r="F247" s="26">
        <f t="shared" si="33"/>
        <v>1</v>
      </c>
      <c r="G247" s="26">
        <f>IF(ISNA(MATCH(A247,祝日定義!E:E,0)),0,1)</f>
        <v>0</v>
      </c>
      <c r="H247" s="26">
        <f>IF(ISNA(MATCH(B247&amp;"/"&amp;C247,そのた定義!E:E,0)), 0, 1)</f>
        <v>0</v>
      </c>
      <c r="I247" s="23" t="b">
        <f t="shared" si="34"/>
        <v>1</v>
      </c>
      <c r="J247" s="26">
        <v>0</v>
      </c>
      <c r="K247" s="26" t="b">
        <f t="shared" si="29"/>
        <v>0</v>
      </c>
      <c r="L247" s="26" t="b">
        <f t="shared" si="30"/>
        <v>0</v>
      </c>
      <c r="M247" t="b">
        <f t="shared" si="35"/>
        <v>0</v>
      </c>
      <c r="N247" t="b">
        <f t="shared" si="36"/>
        <v>0</v>
      </c>
    </row>
    <row r="248" spans="1:14">
      <c r="A248" s="29">
        <v>44808</v>
      </c>
      <c r="B248" s="30">
        <f t="shared" si="28"/>
        <v>9</v>
      </c>
      <c r="C248" s="30">
        <f t="shared" si="31"/>
        <v>4</v>
      </c>
      <c r="D248" s="26">
        <f>MATCH(WEEKDAY(A248),そのた定義!A:A,0)</f>
        <v>2</v>
      </c>
      <c r="E248" s="32" t="str">
        <f t="shared" ca="1" si="32"/>
        <v>日</v>
      </c>
      <c r="F248" s="26">
        <f t="shared" si="33"/>
        <v>1</v>
      </c>
      <c r="G248" s="26">
        <f>IF(ISNA(MATCH(A248,祝日定義!E:E,0)),0,1)</f>
        <v>0</v>
      </c>
      <c r="H248" s="26">
        <f>IF(ISNA(MATCH(B248&amp;"/"&amp;C248,そのた定義!E:E,0)), 0, 1)</f>
        <v>0</v>
      </c>
      <c r="I248" s="23" t="b">
        <f t="shared" si="34"/>
        <v>1</v>
      </c>
      <c r="J248" s="26">
        <v>0</v>
      </c>
      <c r="K248" s="26" t="b">
        <f t="shared" si="29"/>
        <v>0</v>
      </c>
      <c r="L248" s="26" t="b">
        <f t="shared" si="30"/>
        <v>0</v>
      </c>
      <c r="M248" t="b">
        <f t="shared" si="35"/>
        <v>0</v>
      </c>
      <c r="N248" t="b">
        <f t="shared" si="36"/>
        <v>0</v>
      </c>
    </row>
    <row r="249" spans="1:14">
      <c r="A249" s="29">
        <v>44809</v>
      </c>
      <c r="B249" s="30">
        <f t="shared" si="28"/>
        <v>9</v>
      </c>
      <c r="C249" s="30">
        <f t="shared" si="31"/>
        <v>5</v>
      </c>
      <c r="D249" s="26">
        <f>MATCH(WEEKDAY(A249),そのた定義!A:A,0)</f>
        <v>3</v>
      </c>
      <c r="E249" s="26" t="str">
        <f t="shared" ca="1" si="32"/>
        <v>月</v>
      </c>
      <c r="F249" s="26">
        <f t="shared" si="33"/>
        <v>0</v>
      </c>
      <c r="G249" s="26">
        <f>IF(ISNA(MATCH(A249,祝日定義!E:E,0)),0,1)</f>
        <v>0</v>
      </c>
      <c r="H249" s="26">
        <f>IF(ISNA(MATCH(B249&amp;"/"&amp;C249,そのた定義!E:E,0)), 0, 1)</f>
        <v>0</v>
      </c>
      <c r="I249" s="26" t="b">
        <f t="shared" si="34"/>
        <v>0</v>
      </c>
      <c r="J249" s="26">
        <v>2</v>
      </c>
      <c r="K249" s="26" t="b">
        <f t="shared" si="29"/>
        <v>0</v>
      </c>
      <c r="L249" s="26" t="b">
        <f t="shared" si="30"/>
        <v>0</v>
      </c>
      <c r="M249" t="b">
        <f t="shared" si="35"/>
        <v>0</v>
      </c>
      <c r="N249" t="b">
        <f t="shared" si="36"/>
        <v>0</v>
      </c>
    </row>
    <row r="250" spans="1:14">
      <c r="A250" s="29">
        <v>44810</v>
      </c>
      <c r="B250" s="30">
        <f t="shared" si="28"/>
        <v>9</v>
      </c>
      <c r="C250" s="30">
        <f t="shared" si="31"/>
        <v>6</v>
      </c>
      <c r="D250" s="26">
        <f>MATCH(WEEKDAY(A250),そのた定義!A:A,0)</f>
        <v>4</v>
      </c>
      <c r="E250" s="26" t="str">
        <f t="shared" ca="1" si="32"/>
        <v>火</v>
      </c>
      <c r="F250" s="26">
        <f t="shared" si="33"/>
        <v>0</v>
      </c>
      <c r="G250" s="26">
        <f>IF(ISNA(MATCH(A250,祝日定義!E:E,0)),0,1)</f>
        <v>0</v>
      </c>
      <c r="H250" s="26">
        <f>IF(ISNA(MATCH(B250&amp;"/"&amp;C250,そのた定義!E:E,0)), 0, 1)</f>
        <v>0</v>
      </c>
      <c r="I250" s="26" t="b">
        <f t="shared" si="34"/>
        <v>0</v>
      </c>
      <c r="J250" s="26">
        <v>0</v>
      </c>
      <c r="K250" s="26" t="b">
        <f t="shared" si="29"/>
        <v>0</v>
      </c>
      <c r="L250" s="26" t="b">
        <f t="shared" si="30"/>
        <v>0</v>
      </c>
      <c r="M250" t="b">
        <f t="shared" si="35"/>
        <v>0</v>
      </c>
      <c r="N250" t="b">
        <f t="shared" si="36"/>
        <v>0</v>
      </c>
    </row>
    <row r="251" spans="1:14">
      <c r="A251" s="29">
        <v>44811</v>
      </c>
      <c r="B251" s="30">
        <f t="shared" si="28"/>
        <v>9</v>
      </c>
      <c r="C251" s="30">
        <f t="shared" si="31"/>
        <v>7</v>
      </c>
      <c r="D251" s="26">
        <f>MATCH(WEEKDAY(A251),そのた定義!A:A,0)</f>
        <v>5</v>
      </c>
      <c r="E251" s="26" t="str">
        <f t="shared" ca="1" si="32"/>
        <v>水</v>
      </c>
      <c r="F251" s="26">
        <f t="shared" si="33"/>
        <v>0</v>
      </c>
      <c r="G251" s="26">
        <f>IF(ISNA(MATCH(A251,祝日定義!E:E,0)),0,1)</f>
        <v>0</v>
      </c>
      <c r="H251" s="26">
        <f>IF(ISNA(MATCH(B251&amp;"/"&amp;C251,そのた定義!E:E,0)), 0, 1)</f>
        <v>0</v>
      </c>
      <c r="I251" s="26" t="b">
        <f t="shared" si="34"/>
        <v>0</v>
      </c>
      <c r="J251" s="26">
        <v>0</v>
      </c>
      <c r="K251" s="26" t="b">
        <f t="shared" si="29"/>
        <v>0</v>
      </c>
      <c r="L251" s="26" t="b">
        <f t="shared" si="30"/>
        <v>0</v>
      </c>
      <c r="M251" t="b">
        <f t="shared" si="35"/>
        <v>0</v>
      </c>
      <c r="N251" t="b">
        <f t="shared" si="36"/>
        <v>0</v>
      </c>
    </row>
    <row r="252" spans="1:14">
      <c r="A252" s="29">
        <v>44812</v>
      </c>
      <c r="B252" s="30">
        <f t="shared" si="28"/>
        <v>9</v>
      </c>
      <c r="C252" s="30">
        <f t="shared" si="31"/>
        <v>8</v>
      </c>
      <c r="D252" s="26">
        <f>MATCH(WEEKDAY(A252),そのた定義!A:A,0)</f>
        <v>6</v>
      </c>
      <c r="E252" s="26" t="str">
        <f t="shared" ca="1" si="32"/>
        <v>木</v>
      </c>
      <c r="F252" s="26">
        <f t="shared" si="33"/>
        <v>0</v>
      </c>
      <c r="G252" s="26">
        <f>IF(ISNA(MATCH(A252,祝日定義!E:E,0)),0,1)</f>
        <v>0</v>
      </c>
      <c r="H252" s="26">
        <f>IF(ISNA(MATCH(B252&amp;"/"&amp;C252,そのた定義!E:E,0)), 0, 1)</f>
        <v>0</v>
      </c>
      <c r="I252" s="26" t="b">
        <f t="shared" si="34"/>
        <v>0</v>
      </c>
      <c r="J252" s="26">
        <v>0</v>
      </c>
      <c r="K252" s="26" t="b">
        <f t="shared" si="29"/>
        <v>0</v>
      </c>
      <c r="L252" s="26" t="b">
        <f t="shared" si="30"/>
        <v>0</v>
      </c>
      <c r="M252" t="b">
        <f t="shared" si="35"/>
        <v>0</v>
      </c>
      <c r="N252" t="b">
        <f t="shared" si="36"/>
        <v>0</v>
      </c>
    </row>
    <row r="253" spans="1:14">
      <c r="A253" s="29">
        <v>44813</v>
      </c>
      <c r="B253" s="30">
        <f t="shared" si="28"/>
        <v>9</v>
      </c>
      <c r="C253" s="30">
        <f t="shared" si="31"/>
        <v>9</v>
      </c>
      <c r="D253" s="26">
        <f>MATCH(WEEKDAY(A253),そのた定義!A:A,0)</f>
        <v>7</v>
      </c>
      <c r="E253" s="26" t="str">
        <f t="shared" ca="1" si="32"/>
        <v>金</v>
      </c>
      <c r="F253" s="26">
        <f t="shared" si="33"/>
        <v>0</v>
      </c>
      <c r="G253" s="26">
        <f>IF(ISNA(MATCH(A253,祝日定義!E:E,0)),0,1)</f>
        <v>0</v>
      </c>
      <c r="H253" s="26">
        <f>IF(ISNA(MATCH(B253&amp;"/"&amp;C253,そのた定義!E:E,0)), 0, 1)</f>
        <v>0</v>
      </c>
      <c r="I253" s="26" t="b">
        <f t="shared" si="34"/>
        <v>0</v>
      </c>
      <c r="J253" s="26">
        <v>0</v>
      </c>
      <c r="K253" s="26" t="b">
        <f t="shared" si="29"/>
        <v>0</v>
      </c>
      <c r="L253" s="26" t="b">
        <f t="shared" si="30"/>
        <v>0</v>
      </c>
      <c r="M253" t="b">
        <f t="shared" si="35"/>
        <v>0</v>
      </c>
      <c r="N253" t="b">
        <f t="shared" si="36"/>
        <v>0</v>
      </c>
    </row>
    <row r="254" spans="1:14">
      <c r="A254" s="29">
        <v>44814</v>
      </c>
      <c r="B254" s="30">
        <f t="shared" si="28"/>
        <v>9</v>
      </c>
      <c r="C254" s="30">
        <f t="shared" si="31"/>
        <v>10</v>
      </c>
      <c r="D254" s="26">
        <f>MATCH(WEEKDAY(A254),そのた定義!A:A,0)</f>
        <v>8</v>
      </c>
      <c r="E254" s="33" t="str">
        <f t="shared" ca="1" si="32"/>
        <v>土</v>
      </c>
      <c r="F254" s="26">
        <f t="shared" si="33"/>
        <v>1</v>
      </c>
      <c r="G254" s="26">
        <f>IF(ISNA(MATCH(A254,祝日定義!E:E,0)),0,1)</f>
        <v>0</v>
      </c>
      <c r="H254" s="26">
        <f>IF(ISNA(MATCH(B254&amp;"/"&amp;C254,そのた定義!E:E,0)), 0, 1)</f>
        <v>0</v>
      </c>
      <c r="I254" s="23" t="b">
        <f t="shared" si="34"/>
        <v>1</v>
      </c>
      <c r="J254" s="26">
        <v>0</v>
      </c>
      <c r="K254" s="26" t="b">
        <f t="shared" si="29"/>
        <v>0</v>
      </c>
      <c r="L254" s="26" t="b">
        <f t="shared" si="30"/>
        <v>0</v>
      </c>
      <c r="M254" t="b">
        <f t="shared" si="35"/>
        <v>0</v>
      </c>
      <c r="N254" t="b">
        <f t="shared" si="36"/>
        <v>0</v>
      </c>
    </row>
    <row r="255" spans="1:14">
      <c r="A255" s="29">
        <v>44815</v>
      </c>
      <c r="B255" s="30">
        <f t="shared" si="28"/>
        <v>9</v>
      </c>
      <c r="C255" s="30">
        <f t="shared" si="31"/>
        <v>11</v>
      </c>
      <c r="D255" s="26">
        <f>MATCH(WEEKDAY(A255),そのた定義!A:A,0)</f>
        <v>2</v>
      </c>
      <c r="E255" s="32" t="str">
        <f t="shared" ca="1" si="32"/>
        <v>日</v>
      </c>
      <c r="F255" s="26">
        <f t="shared" si="33"/>
        <v>1</v>
      </c>
      <c r="G255" s="26">
        <f>IF(ISNA(MATCH(A255,祝日定義!E:E,0)),0,1)</f>
        <v>0</v>
      </c>
      <c r="H255" s="26">
        <f>IF(ISNA(MATCH(B255&amp;"/"&amp;C255,そのた定義!E:E,0)), 0, 1)</f>
        <v>0</v>
      </c>
      <c r="I255" s="23" t="b">
        <f t="shared" si="34"/>
        <v>1</v>
      </c>
      <c r="J255" s="26">
        <v>0</v>
      </c>
      <c r="K255" s="26" t="b">
        <f t="shared" si="29"/>
        <v>0</v>
      </c>
      <c r="L255" s="26" t="b">
        <f t="shared" si="30"/>
        <v>0</v>
      </c>
      <c r="M255" t="b">
        <f t="shared" si="35"/>
        <v>0</v>
      </c>
      <c r="N255" t="b">
        <f t="shared" si="36"/>
        <v>0</v>
      </c>
    </row>
    <row r="256" spans="1:14">
      <c r="A256" s="29">
        <v>44816</v>
      </c>
      <c r="B256" s="30">
        <f t="shared" si="28"/>
        <v>9</v>
      </c>
      <c r="C256" s="30">
        <f t="shared" si="31"/>
        <v>12</v>
      </c>
      <c r="D256" s="26">
        <f>MATCH(WEEKDAY(A256),そのた定義!A:A,0)</f>
        <v>3</v>
      </c>
      <c r="E256" s="26" t="str">
        <f t="shared" ca="1" si="32"/>
        <v>月</v>
      </c>
      <c r="F256" s="26">
        <f t="shared" si="33"/>
        <v>0</v>
      </c>
      <c r="G256" s="26">
        <f>IF(ISNA(MATCH(A256,祝日定義!E:E,0)),0,1)</f>
        <v>0</v>
      </c>
      <c r="H256" s="26">
        <f>IF(ISNA(MATCH(B256&amp;"/"&amp;C256,そのた定義!E:E,0)), 0, 1)</f>
        <v>0</v>
      </c>
      <c r="I256" s="26" t="b">
        <f t="shared" si="34"/>
        <v>0</v>
      </c>
      <c r="J256" s="26">
        <v>2</v>
      </c>
      <c r="K256" s="26" t="b">
        <f t="shared" si="29"/>
        <v>0</v>
      </c>
      <c r="L256" s="26" t="b">
        <f t="shared" si="30"/>
        <v>0</v>
      </c>
      <c r="M256" t="b">
        <f t="shared" si="35"/>
        <v>0</v>
      </c>
      <c r="N256" t="b">
        <f t="shared" si="36"/>
        <v>0</v>
      </c>
    </row>
    <row r="257" spans="1:14">
      <c r="A257" s="29">
        <v>44817</v>
      </c>
      <c r="B257" s="30">
        <f t="shared" si="28"/>
        <v>9</v>
      </c>
      <c r="C257" s="30">
        <f t="shared" si="31"/>
        <v>13</v>
      </c>
      <c r="D257" s="26">
        <f>MATCH(WEEKDAY(A257),そのた定義!A:A,0)</f>
        <v>4</v>
      </c>
      <c r="E257" s="26" t="str">
        <f t="shared" ca="1" si="32"/>
        <v>火</v>
      </c>
      <c r="F257" s="26">
        <f t="shared" si="33"/>
        <v>0</v>
      </c>
      <c r="G257" s="26">
        <f>IF(ISNA(MATCH(A257,祝日定義!E:E,0)),0,1)</f>
        <v>0</v>
      </c>
      <c r="H257" s="26">
        <f>IF(ISNA(MATCH(B257&amp;"/"&amp;C257,そのた定義!E:E,0)), 0, 1)</f>
        <v>0</v>
      </c>
      <c r="I257" s="26" t="b">
        <f t="shared" si="34"/>
        <v>0</v>
      </c>
      <c r="J257" s="26">
        <v>0</v>
      </c>
      <c r="K257" s="26" t="b">
        <f t="shared" si="29"/>
        <v>0</v>
      </c>
      <c r="L257" s="26" t="b">
        <f t="shared" si="30"/>
        <v>0</v>
      </c>
      <c r="M257" t="b">
        <f t="shared" si="35"/>
        <v>0</v>
      </c>
      <c r="N257" t="b">
        <f t="shared" si="36"/>
        <v>0</v>
      </c>
    </row>
    <row r="258" spans="1:14">
      <c r="A258" s="29">
        <v>44818</v>
      </c>
      <c r="B258" s="30">
        <f t="shared" ref="B258:B321" si="37">MONTH(A258)</f>
        <v>9</v>
      </c>
      <c r="C258" s="30">
        <f t="shared" si="31"/>
        <v>14</v>
      </c>
      <c r="D258" s="26">
        <f>MATCH(WEEKDAY(A258),そのた定義!A:A,0)</f>
        <v>5</v>
      </c>
      <c r="E258" s="26" t="str">
        <f t="shared" ca="1" si="32"/>
        <v>水</v>
      </c>
      <c r="F258" s="26">
        <f t="shared" si="33"/>
        <v>0</v>
      </c>
      <c r="G258" s="26">
        <f>IF(ISNA(MATCH(A258,祝日定義!E:E,0)),0,1)</f>
        <v>0</v>
      </c>
      <c r="H258" s="26">
        <f>IF(ISNA(MATCH(B258&amp;"/"&amp;C258,そのた定義!E:E,0)), 0, 1)</f>
        <v>0</v>
      </c>
      <c r="I258" s="26" t="b">
        <f t="shared" si="34"/>
        <v>0</v>
      </c>
      <c r="J258" s="26">
        <v>0</v>
      </c>
      <c r="K258" s="26" t="b">
        <f t="shared" ref="K258:K321" si="38">AND(C258&gt;25,DAY(A258-J258)&lt;=25)</f>
        <v>0</v>
      </c>
      <c r="L258" s="26" t="b">
        <f t="shared" ref="L258:L321" si="39">C258=25</f>
        <v>0</v>
      </c>
      <c r="M258" t="b">
        <f t="shared" si="35"/>
        <v>0</v>
      </c>
      <c r="N258" t="b">
        <f t="shared" si="36"/>
        <v>0</v>
      </c>
    </row>
    <row r="259" spans="1:14">
      <c r="A259" s="29">
        <v>44819</v>
      </c>
      <c r="B259" s="30">
        <f t="shared" si="37"/>
        <v>9</v>
      </c>
      <c r="C259" s="30">
        <f t="shared" ref="C259:C322" si="40">DAY(A259)</f>
        <v>15</v>
      </c>
      <c r="D259" s="26">
        <f>MATCH(WEEKDAY(A259),そのた定義!A:A,0)</f>
        <v>6</v>
      </c>
      <c r="E259" s="26" t="str">
        <f t="shared" ref="E259:E322" ca="1" si="41">INDIRECT("そのた定義!"&amp;"B"&amp;D259)</f>
        <v>木</v>
      </c>
      <c r="F259" s="26">
        <f t="shared" ref="F259:F322" si="42">IF(OR(D259=8,D259=2),1,0)</f>
        <v>0</v>
      </c>
      <c r="G259" s="26">
        <f>IF(ISNA(MATCH(A259,祝日定義!E:E,0)),0,1)</f>
        <v>0</v>
      </c>
      <c r="H259" s="26">
        <f>IF(ISNA(MATCH(B259&amp;"/"&amp;C259,そのた定義!E:E,0)), 0, 1)</f>
        <v>0</v>
      </c>
      <c r="I259" s="26" t="b">
        <f t="shared" ref="I259:I322" si="43">SUM(F259:H259)&gt;0</f>
        <v>0</v>
      </c>
      <c r="J259" s="26">
        <v>0</v>
      </c>
      <c r="K259" s="26" t="b">
        <f t="shared" si="38"/>
        <v>0</v>
      </c>
      <c r="L259" s="26" t="b">
        <f t="shared" si="39"/>
        <v>0</v>
      </c>
      <c r="M259" t="b">
        <f t="shared" ref="M259:M322" si="44">B259&lt;&gt;MONTH(A259-J259)</f>
        <v>0</v>
      </c>
      <c r="N259" t="b">
        <f t="shared" ref="N259:N322" si="45">B259&lt;&gt;MONTH(A259+1)</f>
        <v>0</v>
      </c>
    </row>
    <row r="260" spans="1:14">
      <c r="A260" s="29">
        <v>44820</v>
      </c>
      <c r="B260" s="30">
        <f t="shared" si="37"/>
        <v>9</v>
      </c>
      <c r="C260" s="30">
        <f t="shared" si="40"/>
        <v>16</v>
      </c>
      <c r="D260" s="26">
        <f>MATCH(WEEKDAY(A260),そのた定義!A:A,0)</f>
        <v>7</v>
      </c>
      <c r="E260" s="26" t="str">
        <f t="shared" ca="1" si="41"/>
        <v>金</v>
      </c>
      <c r="F260" s="26">
        <f t="shared" si="42"/>
        <v>0</v>
      </c>
      <c r="G260" s="26">
        <f>IF(ISNA(MATCH(A260,祝日定義!E:E,0)),0,1)</f>
        <v>0</v>
      </c>
      <c r="H260" s="26">
        <f>IF(ISNA(MATCH(B260&amp;"/"&amp;C260,そのた定義!E:E,0)), 0, 1)</f>
        <v>0</v>
      </c>
      <c r="I260" s="26" t="b">
        <f t="shared" si="43"/>
        <v>0</v>
      </c>
      <c r="J260" s="26">
        <v>0</v>
      </c>
      <c r="K260" s="26" t="b">
        <f t="shared" si="38"/>
        <v>0</v>
      </c>
      <c r="L260" s="26" t="b">
        <f t="shared" si="39"/>
        <v>0</v>
      </c>
      <c r="M260" t="b">
        <f t="shared" si="44"/>
        <v>0</v>
      </c>
      <c r="N260" t="b">
        <f t="shared" si="45"/>
        <v>0</v>
      </c>
    </row>
    <row r="261" spans="1:14">
      <c r="A261" s="29">
        <v>44821</v>
      </c>
      <c r="B261" s="30">
        <f t="shared" si="37"/>
        <v>9</v>
      </c>
      <c r="C261" s="30">
        <f t="shared" si="40"/>
        <v>17</v>
      </c>
      <c r="D261" s="26">
        <f>MATCH(WEEKDAY(A261),そのた定義!A:A,0)</f>
        <v>8</v>
      </c>
      <c r="E261" s="33" t="str">
        <f t="shared" ca="1" si="41"/>
        <v>土</v>
      </c>
      <c r="F261" s="26">
        <f t="shared" si="42"/>
        <v>1</v>
      </c>
      <c r="G261" s="26">
        <f>IF(ISNA(MATCH(A261,祝日定義!E:E,0)),0,1)</f>
        <v>0</v>
      </c>
      <c r="H261" s="26">
        <f>IF(ISNA(MATCH(B261&amp;"/"&amp;C261,そのた定義!E:E,0)), 0, 1)</f>
        <v>0</v>
      </c>
      <c r="I261" s="23" t="b">
        <f t="shared" si="43"/>
        <v>1</v>
      </c>
      <c r="J261" s="26">
        <v>0</v>
      </c>
      <c r="K261" s="26" t="b">
        <f t="shared" si="38"/>
        <v>0</v>
      </c>
      <c r="L261" s="26" t="b">
        <f t="shared" si="39"/>
        <v>0</v>
      </c>
      <c r="M261" t="b">
        <f t="shared" si="44"/>
        <v>0</v>
      </c>
      <c r="N261" t="b">
        <f t="shared" si="45"/>
        <v>0</v>
      </c>
    </row>
    <row r="262" spans="1:14">
      <c r="A262" s="29">
        <v>44822</v>
      </c>
      <c r="B262" s="30">
        <f t="shared" si="37"/>
        <v>9</v>
      </c>
      <c r="C262" s="30">
        <f t="shared" si="40"/>
        <v>18</v>
      </c>
      <c r="D262" s="26">
        <f>MATCH(WEEKDAY(A262),そのた定義!A:A,0)</f>
        <v>2</v>
      </c>
      <c r="E262" s="32" t="str">
        <f t="shared" ca="1" si="41"/>
        <v>日</v>
      </c>
      <c r="F262" s="26">
        <f t="shared" si="42"/>
        <v>1</v>
      </c>
      <c r="G262" s="26">
        <f>IF(ISNA(MATCH(A262,祝日定義!E:E,0)),0,1)</f>
        <v>0</v>
      </c>
      <c r="H262" s="26">
        <f>IF(ISNA(MATCH(B262&amp;"/"&amp;C262,そのた定義!E:E,0)), 0, 1)</f>
        <v>0</v>
      </c>
      <c r="I262" s="23" t="b">
        <f t="shared" si="43"/>
        <v>1</v>
      </c>
      <c r="J262" s="26">
        <v>0</v>
      </c>
      <c r="K262" s="26" t="b">
        <f t="shared" si="38"/>
        <v>0</v>
      </c>
      <c r="L262" s="26" t="b">
        <f t="shared" si="39"/>
        <v>0</v>
      </c>
      <c r="M262" t="b">
        <f t="shared" si="44"/>
        <v>0</v>
      </c>
      <c r="N262" t="b">
        <f t="shared" si="45"/>
        <v>0</v>
      </c>
    </row>
    <row r="263" spans="1:14">
      <c r="A263" s="29">
        <v>44823</v>
      </c>
      <c r="B263" s="30">
        <f t="shared" si="37"/>
        <v>9</v>
      </c>
      <c r="C263" s="30">
        <f t="shared" si="40"/>
        <v>19</v>
      </c>
      <c r="D263" s="26">
        <f>MATCH(WEEKDAY(A263),そのた定義!A:A,0)</f>
        <v>3</v>
      </c>
      <c r="E263" s="31" t="str">
        <f t="shared" ca="1" si="41"/>
        <v>月</v>
      </c>
      <c r="F263" s="26">
        <f t="shared" si="42"/>
        <v>0</v>
      </c>
      <c r="G263" s="26">
        <f>IF(ISNA(MATCH(A263,祝日定義!E:E,0)),0,1)</f>
        <v>1</v>
      </c>
      <c r="H263" s="26">
        <f>IF(ISNA(MATCH(B263&amp;"/"&amp;C263,そのた定義!E:E,0)), 0, 1)</f>
        <v>0</v>
      </c>
      <c r="I263" s="23" t="b">
        <f t="shared" si="43"/>
        <v>1</v>
      </c>
      <c r="J263" s="26">
        <v>0</v>
      </c>
      <c r="K263" s="26" t="b">
        <f t="shared" si="38"/>
        <v>0</v>
      </c>
      <c r="L263" s="26" t="b">
        <f t="shared" si="39"/>
        <v>0</v>
      </c>
      <c r="M263" t="b">
        <f t="shared" si="44"/>
        <v>0</v>
      </c>
      <c r="N263" t="b">
        <f t="shared" si="45"/>
        <v>0</v>
      </c>
    </row>
    <row r="264" spans="1:14">
      <c r="A264" s="29">
        <v>44824</v>
      </c>
      <c r="B264" s="30">
        <f t="shared" si="37"/>
        <v>9</v>
      </c>
      <c r="C264" s="30">
        <f t="shared" si="40"/>
        <v>20</v>
      </c>
      <c r="D264" s="26">
        <f>MATCH(WEEKDAY(A264),そのた定義!A:A,0)</f>
        <v>4</v>
      </c>
      <c r="E264" s="26" t="str">
        <f t="shared" ca="1" si="41"/>
        <v>火</v>
      </c>
      <c r="F264" s="26">
        <f t="shared" si="42"/>
        <v>0</v>
      </c>
      <c r="G264" s="26">
        <f>IF(ISNA(MATCH(A264,祝日定義!E:E,0)),0,1)</f>
        <v>0</v>
      </c>
      <c r="H264" s="26">
        <f>IF(ISNA(MATCH(B264&amp;"/"&amp;C264,そのた定義!E:E,0)), 0, 1)</f>
        <v>0</v>
      </c>
      <c r="I264" s="26" t="b">
        <f t="shared" si="43"/>
        <v>0</v>
      </c>
      <c r="J264" s="26">
        <v>3</v>
      </c>
      <c r="K264" s="26" t="b">
        <f t="shared" si="38"/>
        <v>0</v>
      </c>
      <c r="L264" s="26" t="b">
        <f t="shared" si="39"/>
        <v>0</v>
      </c>
      <c r="M264" t="b">
        <f t="shared" si="44"/>
        <v>0</v>
      </c>
      <c r="N264" t="b">
        <f t="shared" si="45"/>
        <v>0</v>
      </c>
    </row>
    <row r="265" spans="1:14">
      <c r="A265" s="29">
        <v>44825</v>
      </c>
      <c r="B265" s="30">
        <f t="shared" si="37"/>
        <v>9</v>
      </c>
      <c r="C265" s="30">
        <f t="shared" si="40"/>
        <v>21</v>
      </c>
      <c r="D265" s="26">
        <f>MATCH(WEEKDAY(A265),そのた定義!A:A,0)</f>
        <v>5</v>
      </c>
      <c r="E265" s="26" t="str">
        <f t="shared" ca="1" si="41"/>
        <v>水</v>
      </c>
      <c r="F265" s="26">
        <f t="shared" si="42"/>
        <v>0</v>
      </c>
      <c r="G265" s="26">
        <f>IF(ISNA(MATCH(A265,祝日定義!E:E,0)),0,1)</f>
        <v>0</v>
      </c>
      <c r="H265" s="26">
        <f>IF(ISNA(MATCH(B265&amp;"/"&amp;C265,そのた定義!E:E,0)), 0, 1)</f>
        <v>0</v>
      </c>
      <c r="I265" s="26" t="b">
        <f t="shared" si="43"/>
        <v>0</v>
      </c>
      <c r="J265" s="26">
        <v>0</v>
      </c>
      <c r="K265" s="26" t="b">
        <f t="shared" si="38"/>
        <v>0</v>
      </c>
      <c r="L265" s="26" t="b">
        <f t="shared" si="39"/>
        <v>0</v>
      </c>
      <c r="M265" t="b">
        <f t="shared" si="44"/>
        <v>0</v>
      </c>
      <c r="N265" t="b">
        <f t="shared" si="45"/>
        <v>0</v>
      </c>
    </row>
    <row r="266" spans="1:14">
      <c r="A266" s="29">
        <v>44826</v>
      </c>
      <c r="B266" s="30">
        <f t="shared" si="37"/>
        <v>9</v>
      </c>
      <c r="C266" s="30">
        <f t="shared" si="40"/>
        <v>22</v>
      </c>
      <c r="D266" s="26">
        <f>MATCH(WEEKDAY(A266),そのた定義!A:A,0)</f>
        <v>6</v>
      </c>
      <c r="E266" s="26" t="str">
        <f t="shared" ca="1" si="41"/>
        <v>木</v>
      </c>
      <c r="F266" s="26">
        <f t="shared" si="42"/>
        <v>0</v>
      </c>
      <c r="G266" s="26">
        <f>IF(ISNA(MATCH(A266,祝日定義!E:E,0)),0,1)</f>
        <v>0</v>
      </c>
      <c r="H266" s="26">
        <f>IF(ISNA(MATCH(B266&amp;"/"&amp;C266,そのた定義!E:E,0)), 0, 1)</f>
        <v>0</v>
      </c>
      <c r="I266" s="26" t="b">
        <f t="shared" si="43"/>
        <v>0</v>
      </c>
      <c r="J266" s="26">
        <v>0</v>
      </c>
      <c r="K266" s="26" t="b">
        <f t="shared" si="38"/>
        <v>0</v>
      </c>
      <c r="L266" s="26" t="b">
        <f t="shared" si="39"/>
        <v>0</v>
      </c>
      <c r="M266" t="b">
        <f t="shared" si="44"/>
        <v>0</v>
      </c>
      <c r="N266" t="b">
        <f t="shared" si="45"/>
        <v>0</v>
      </c>
    </row>
    <row r="267" spans="1:14">
      <c r="A267" s="29">
        <v>44827</v>
      </c>
      <c r="B267" s="30">
        <f t="shared" si="37"/>
        <v>9</v>
      </c>
      <c r="C267" s="30">
        <f t="shared" si="40"/>
        <v>23</v>
      </c>
      <c r="D267" s="26">
        <f>MATCH(WEEKDAY(A267),そのた定義!A:A,0)</f>
        <v>7</v>
      </c>
      <c r="E267" s="31" t="str">
        <f t="shared" ca="1" si="41"/>
        <v>金</v>
      </c>
      <c r="F267" s="26">
        <f t="shared" si="42"/>
        <v>0</v>
      </c>
      <c r="G267" s="26">
        <f>IF(ISNA(MATCH(A267,祝日定義!E:E,0)),0,1)</f>
        <v>1</v>
      </c>
      <c r="H267" s="26">
        <f>IF(ISNA(MATCH(B267&amp;"/"&amp;C267,そのた定義!E:E,0)), 0, 1)</f>
        <v>0</v>
      </c>
      <c r="I267" s="23" t="b">
        <f t="shared" si="43"/>
        <v>1</v>
      </c>
      <c r="J267" s="26">
        <v>0</v>
      </c>
      <c r="K267" s="26" t="b">
        <f t="shared" si="38"/>
        <v>0</v>
      </c>
      <c r="L267" s="26" t="b">
        <f t="shared" si="39"/>
        <v>0</v>
      </c>
      <c r="M267" t="b">
        <f t="shared" si="44"/>
        <v>0</v>
      </c>
      <c r="N267" t="b">
        <f t="shared" si="45"/>
        <v>0</v>
      </c>
    </row>
    <row r="268" spans="1:14">
      <c r="A268" s="29">
        <v>44828</v>
      </c>
      <c r="B268" s="30">
        <f t="shared" si="37"/>
        <v>9</v>
      </c>
      <c r="C268" s="30">
        <f t="shared" si="40"/>
        <v>24</v>
      </c>
      <c r="D268" s="26">
        <f>MATCH(WEEKDAY(A268),そのた定義!A:A,0)</f>
        <v>8</v>
      </c>
      <c r="E268" s="33" t="str">
        <f t="shared" ca="1" si="41"/>
        <v>土</v>
      </c>
      <c r="F268" s="26">
        <f t="shared" si="42"/>
        <v>1</v>
      </c>
      <c r="G268" s="26">
        <f>IF(ISNA(MATCH(A268,祝日定義!E:E,0)),0,1)</f>
        <v>0</v>
      </c>
      <c r="H268" s="26">
        <f>IF(ISNA(MATCH(B268&amp;"/"&amp;C268,そのた定義!E:E,0)), 0, 1)</f>
        <v>0</v>
      </c>
      <c r="I268" s="23" t="b">
        <f t="shared" si="43"/>
        <v>1</v>
      </c>
      <c r="J268" s="26">
        <v>0</v>
      </c>
      <c r="K268" s="26" t="b">
        <f t="shared" si="38"/>
        <v>0</v>
      </c>
      <c r="L268" s="26" t="b">
        <f t="shared" si="39"/>
        <v>0</v>
      </c>
      <c r="M268" t="b">
        <f t="shared" si="44"/>
        <v>0</v>
      </c>
      <c r="N268" t="b">
        <f t="shared" si="45"/>
        <v>0</v>
      </c>
    </row>
    <row r="269" spans="1:14">
      <c r="A269" s="29">
        <v>44829</v>
      </c>
      <c r="B269" s="30">
        <f t="shared" si="37"/>
        <v>9</v>
      </c>
      <c r="C269" s="30">
        <f t="shared" si="40"/>
        <v>25</v>
      </c>
      <c r="D269" s="26">
        <f>MATCH(WEEKDAY(A269),そのた定義!A:A,0)</f>
        <v>2</v>
      </c>
      <c r="E269" s="32" t="str">
        <f t="shared" ca="1" si="41"/>
        <v>日</v>
      </c>
      <c r="F269" s="26">
        <f t="shared" si="42"/>
        <v>1</v>
      </c>
      <c r="G269" s="26">
        <f>IF(ISNA(MATCH(A269,祝日定義!E:E,0)),0,1)</f>
        <v>0</v>
      </c>
      <c r="H269" s="26">
        <f>IF(ISNA(MATCH(B269&amp;"/"&amp;C269,そのた定義!E:E,0)), 0, 1)</f>
        <v>0</v>
      </c>
      <c r="I269" s="23" t="b">
        <f t="shared" si="43"/>
        <v>1</v>
      </c>
      <c r="J269" s="26">
        <v>0</v>
      </c>
      <c r="K269" s="26" t="b">
        <f t="shared" si="38"/>
        <v>0</v>
      </c>
      <c r="L269" s="23" t="b">
        <f t="shared" si="39"/>
        <v>1</v>
      </c>
      <c r="M269" t="b">
        <f t="shared" si="44"/>
        <v>0</v>
      </c>
      <c r="N269" t="b">
        <f t="shared" si="45"/>
        <v>0</v>
      </c>
    </row>
    <row r="270" spans="1:14">
      <c r="A270" s="29">
        <v>44830</v>
      </c>
      <c r="B270" s="30">
        <f t="shared" si="37"/>
        <v>9</v>
      </c>
      <c r="C270" s="30">
        <f t="shared" si="40"/>
        <v>26</v>
      </c>
      <c r="D270" s="26">
        <f>MATCH(WEEKDAY(A270),そのた定義!A:A,0)</f>
        <v>3</v>
      </c>
      <c r="E270" s="26" t="str">
        <f t="shared" ca="1" si="41"/>
        <v>月</v>
      </c>
      <c r="F270" s="26">
        <f t="shared" si="42"/>
        <v>0</v>
      </c>
      <c r="G270" s="26">
        <f>IF(ISNA(MATCH(A270,祝日定義!E:E,0)),0,1)</f>
        <v>0</v>
      </c>
      <c r="H270" s="26">
        <f>IF(ISNA(MATCH(B270&amp;"/"&amp;C270,そのた定義!E:E,0)), 0, 1)</f>
        <v>0</v>
      </c>
      <c r="I270" s="26" t="b">
        <f t="shared" si="43"/>
        <v>0</v>
      </c>
      <c r="J270" s="26">
        <v>3</v>
      </c>
      <c r="K270" s="23" t="b">
        <f t="shared" si="38"/>
        <v>1</v>
      </c>
      <c r="L270" s="26" t="b">
        <f t="shared" si="39"/>
        <v>0</v>
      </c>
      <c r="M270" t="b">
        <f t="shared" si="44"/>
        <v>0</v>
      </c>
      <c r="N270" t="b">
        <f t="shared" si="45"/>
        <v>0</v>
      </c>
    </row>
    <row r="271" spans="1:14">
      <c r="A271" s="29">
        <v>44831</v>
      </c>
      <c r="B271" s="30">
        <f t="shared" si="37"/>
        <v>9</v>
      </c>
      <c r="C271" s="30">
        <f t="shared" si="40"/>
        <v>27</v>
      </c>
      <c r="D271" s="26">
        <f>MATCH(WEEKDAY(A271),そのた定義!A:A,0)</f>
        <v>4</v>
      </c>
      <c r="E271" s="26" t="str">
        <f t="shared" ca="1" si="41"/>
        <v>火</v>
      </c>
      <c r="F271" s="26">
        <f t="shared" si="42"/>
        <v>0</v>
      </c>
      <c r="G271" s="26">
        <f>IF(ISNA(MATCH(A271,祝日定義!E:E,0)),0,1)</f>
        <v>0</v>
      </c>
      <c r="H271" s="26">
        <f>IF(ISNA(MATCH(B271&amp;"/"&amp;C271,そのた定義!E:E,0)), 0, 1)</f>
        <v>0</v>
      </c>
      <c r="I271" s="26" t="b">
        <f t="shared" si="43"/>
        <v>0</v>
      </c>
      <c r="J271" s="26">
        <v>0</v>
      </c>
      <c r="K271" s="26" t="b">
        <f t="shared" si="38"/>
        <v>0</v>
      </c>
      <c r="L271" s="26" t="b">
        <f t="shared" si="39"/>
        <v>0</v>
      </c>
      <c r="M271" t="b">
        <f t="shared" si="44"/>
        <v>0</v>
      </c>
      <c r="N271" t="b">
        <f t="shared" si="45"/>
        <v>0</v>
      </c>
    </row>
    <row r="272" spans="1:14">
      <c r="A272" s="29">
        <v>44832</v>
      </c>
      <c r="B272" s="30">
        <f t="shared" si="37"/>
        <v>9</v>
      </c>
      <c r="C272" s="30">
        <f t="shared" si="40"/>
        <v>28</v>
      </c>
      <c r="D272" s="26">
        <f>MATCH(WEEKDAY(A272),そのた定義!A:A,0)</f>
        <v>5</v>
      </c>
      <c r="E272" s="26" t="str">
        <f t="shared" ca="1" si="41"/>
        <v>水</v>
      </c>
      <c r="F272" s="26">
        <f t="shared" si="42"/>
        <v>0</v>
      </c>
      <c r="G272" s="26">
        <f>IF(ISNA(MATCH(A272,祝日定義!E:E,0)),0,1)</f>
        <v>0</v>
      </c>
      <c r="H272" s="26">
        <f>IF(ISNA(MATCH(B272&amp;"/"&amp;C272,そのた定義!E:E,0)), 0, 1)</f>
        <v>0</v>
      </c>
      <c r="I272" s="26" t="b">
        <f t="shared" si="43"/>
        <v>0</v>
      </c>
      <c r="J272" s="26">
        <v>0</v>
      </c>
      <c r="K272" s="26" t="b">
        <f t="shared" si="38"/>
        <v>0</v>
      </c>
      <c r="L272" s="26" t="b">
        <f t="shared" si="39"/>
        <v>0</v>
      </c>
      <c r="M272" t="b">
        <f t="shared" si="44"/>
        <v>0</v>
      </c>
      <c r="N272" t="b">
        <f t="shared" si="45"/>
        <v>0</v>
      </c>
    </row>
    <row r="273" spans="1:14">
      <c r="A273" s="29">
        <v>44833</v>
      </c>
      <c r="B273" s="30">
        <f t="shared" si="37"/>
        <v>9</v>
      </c>
      <c r="C273" s="30">
        <f t="shared" si="40"/>
        <v>29</v>
      </c>
      <c r="D273" s="26">
        <f>MATCH(WEEKDAY(A273),そのた定義!A:A,0)</f>
        <v>6</v>
      </c>
      <c r="E273" s="26" t="str">
        <f t="shared" ca="1" si="41"/>
        <v>木</v>
      </c>
      <c r="F273" s="26">
        <f t="shared" si="42"/>
        <v>0</v>
      </c>
      <c r="G273" s="26">
        <f>IF(ISNA(MATCH(A273,祝日定義!E:E,0)),0,1)</f>
        <v>0</v>
      </c>
      <c r="H273" s="26">
        <f>IF(ISNA(MATCH(B273&amp;"/"&amp;C273,そのた定義!E:E,0)), 0, 1)</f>
        <v>0</v>
      </c>
      <c r="I273" s="26" t="b">
        <f t="shared" si="43"/>
        <v>0</v>
      </c>
      <c r="J273" s="26">
        <v>0</v>
      </c>
      <c r="K273" s="26" t="b">
        <f t="shared" si="38"/>
        <v>0</v>
      </c>
      <c r="L273" s="26" t="b">
        <f t="shared" si="39"/>
        <v>0</v>
      </c>
      <c r="M273" t="b">
        <f t="shared" si="44"/>
        <v>0</v>
      </c>
      <c r="N273" t="b">
        <f t="shared" si="45"/>
        <v>0</v>
      </c>
    </row>
    <row r="274" spans="1:14">
      <c r="A274" s="29">
        <v>44834</v>
      </c>
      <c r="B274" s="30">
        <f t="shared" si="37"/>
        <v>9</v>
      </c>
      <c r="C274" s="30">
        <f t="shared" si="40"/>
        <v>30</v>
      </c>
      <c r="D274" s="26">
        <f>MATCH(WEEKDAY(A274),そのた定義!A:A,0)</f>
        <v>7</v>
      </c>
      <c r="E274" s="26" t="str">
        <f t="shared" ca="1" si="41"/>
        <v>金</v>
      </c>
      <c r="F274" s="26">
        <f t="shared" si="42"/>
        <v>0</v>
      </c>
      <c r="G274" s="26">
        <f>IF(ISNA(MATCH(A274,祝日定義!E:E,0)),0,1)</f>
        <v>0</v>
      </c>
      <c r="H274" s="26">
        <f>IF(ISNA(MATCH(B274&amp;"/"&amp;C274,そのた定義!E:E,0)), 0, 1)</f>
        <v>0</v>
      </c>
      <c r="I274" s="26" t="b">
        <f t="shared" si="43"/>
        <v>0</v>
      </c>
      <c r="J274" s="26">
        <v>0</v>
      </c>
      <c r="K274" s="26" t="b">
        <f t="shared" si="38"/>
        <v>0</v>
      </c>
      <c r="L274" s="26" t="b">
        <f t="shared" si="39"/>
        <v>0</v>
      </c>
      <c r="M274" t="b">
        <f t="shared" si="44"/>
        <v>0</v>
      </c>
      <c r="N274" t="b">
        <f t="shared" si="45"/>
        <v>1</v>
      </c>
    </row>
    <row r="275" spans="1:14">
      <c r="A275" s="29">
        <v>44835</v>
      </c>
      <c r="B275" s="30">
        <f t="shared" si="37"/>
        <v>10</v>
      </c>
      <c r="C275" s="30">
        <f t="shared" si="40"/>
        <v>1</v>
      </c>
      <c r="D275" s="26">
        <f>MATCH(WEEKDAY(A275),そのた定義!A:A,0)</f>
        <v>8</v>
      </c>
      <c r="E275" s="33" t="str">
        <f t="shared" ca="1" si="41"/>
        <v>土</v>
      </c>
      <c r="F275" s="26">
        <f t="shared" si="42"/>
        <v>1</v>
      </c>
      <c r="G275" s="26">
        <f>IF(ISNA(MATCH(A275,祝日定義!E:E,0)),0,1)</f>
        <v>0</v>
      </c>
      <c r="H275" s="26">
        <f>IF(ISNA(MATCH(B275&amp;"/"&amp;C275,そのた定義!E:E,0)), 0, 1)</f>
        <v>0</v>
      </c>
      <c r="I275" s="23" t="b">
        <f t="shared" si="43"/>
        <v>1</v>
      </c>
      <c r="J275" s="26">
        <v>0</v>
      </c>
      <c r="K275" s="26" t="b">
        <f t="shared" si="38"/>
        <v>0</v>
      </c>
      <c r="L275" s="26" t="b">
        <f t="shared" si="39"/>
        <v>0</v>
      </c>
      <c r="M275" t="b">
        <f t="shared" si="44"/>
        <v>0</v>
      </c>
      <c r="N275" t="b">
        <f t="shared" si="45"/>
        <v>0</v>
      </c>
    </row>
    <row r="276" spans="1:14">
      <c r="A276" s="29">
        <v>44836</v>
      </c>
      <c r="B276" s="30">
        <f t="shared" si="37"/>
        <v>10</v>
      </c>
      <c r="C276" s="30">
        <f t="shared" si="40"/>
        <v>2</v>
      </c>
      <c r="D276" s="26">
        <f>MATCH(WEEKDAY(A276),そのた定義!A:A,0)</f>
        <v>2</v>
      </c>
      <c r="E276" s="32" t="str">
        <f t="shared" ca="1" si="41"/>
        <v>日</v>
      </c>
      <c r="F276" s="26">
        <f t="shared" si="42"/>
        <v>1</v>
      </c>
      <c r="G276" s="26">
        <f>IF(ISNA(MATCH(A276,祝日定義!E:E,0)),0,1)</f>
        <v>0</v>
      </c>
      <c r="H276" s="26">
        <f>IF(ISNA(MATCH(B276&amp;"/"&amp;C276,そのた定義!E:E,0)), 0, 1)</f>
        <v>0</v>
      </c>
      <c r="I276" s="23" t="b">
        <f t="shared" si="43"/>
        <v>1</v>
      </c>
      <c r="J276" s="26">
        <v>0</v>
      </c>
      <c r="K276" s="26" t="b">
        <f t="shared" si="38"/>
        <v>0</v>
      </c>
      <c r="L276" s="26" t="b">
        <f t="shared" si="39"/>
        <v>0</v>
      </c>
      <c r="M276" t="b">
        <f t="shared" si="44"/>
        <v>0</v>
      </c>
      <c r="N276" t="b">
        <f t="shared" si="45"/>
        <v>0</v>
      </c>
    </row>
    <row r="277" spans="1:14">
      <c r="A277" s="29">
        <v>44837</v>
      </c>
      <c r="B277" s="30">
        <f t="shared" si="37"/>
        <v>10</v>
      </c>
      <c r="C277" s="30">
        <f t="shared" si="40"/>
        <v>3</v>
      </c>
      <c r="D277" s="26">
        <f>MATCH(WEEKDAY(A277),そのた定義!A:A,0)</f>
        <v>3</v>
      </c>
      <c r="E277" s="26" t="str">
        <f t="shared" ca="1" si="41"/>
        <v>月</v>
      </c>
      <c r="F277" s="26">
        <f t="shared" si="42"/>
        <v>0</v>
      </c>
      <c r="G277" s="26">
        <f>IF(ISNA(MATCH(A277,祝日定義!E:E,0)),0,1)</f>
        <v>0</v>
      </c>
      <c r="H277" s="26">
        <f>IF(ISNA(MATCH(B277&amp;"/"&amp;C277,そのた定義!E:E,0)), 0, 1)</f>
        <v>0</v>
      </c>
      <c r="I277" s="26" t="b">
        <f t="shared" si="43"/>
        <v>0</v>
      </c>
      <c r="J277" s="26">
        <v>2</v>
      </c>
      <c r="K277" s="26" t="b">
        <f t="shared" si="38"/>
        <v>0</v>
      </c>
      <c r="L277" s="26" t="b">
        <f t="shared" si="39"/>
        <v>0</v>
      </c>
      <c r="M277" t="b">
        <f t="shared" si="44"/>
        <v>0</v>
      </c>
      <c r="N277" t="b">
        <f t="shared" si="45"/>
        <v>0</v>
      </c>
    </row>
    <row r="278" spans="1:14">
      <c r="A278" s="29">
        <v>44838</v>
      </c>
      <c r="B278" s="30">
        <f t="shared" si="37"/>
        <v>10</v>
      </c>
      <c r="C278" s="30">
        <f t="shared" si="40"/>
        <v>4</v>
      </c>
      <c r="D278" s="26">
        <f>MATCH(WEEKDAY(A278),そのた定義!A:A,0)</f>
        <v>4</v>
      </c>
      <c r="E278" s="26" t="str">
        <f t="shared" ca="1" si="41"/>
        <v>火</v>
      </c>
      <c r="F278" s="26">
        <f t="shared" si="42"/>
        <v>0</v>
      </c>
      <c r="G278" s="26">
        <f>IF(ISNA(MATCH(A278,祝日定義!E:E,0)),0,1)</f>
        <v>0</v>
      </c>
      <c r="H278" s="26">
        <f>IF(ISNA(MATCH(B278&amp;"/"&amp;C278,そのた定義!E:E,0)), 0, 1)</f>
        <v>0</v>
      </c>
      <c r="I278" s="26" t="b">
        <f t="shared" si="43"/>
        <v>0</v>
      </c>
      <c r="J278" s="26">
        <v>0</v>
      </c>
      <c r="K278" s="26" t="b">
        <f t="shared" si="38"/>
        <v>0</v>
      </c>
      <c r="L278" s="26" t="b">
        <f t="shared" si="39"/>
        <v>0</v>
      </c>
      <c r="M278" t="b">
        <f t="shared" si="44"/>
        <v>0</v>
      </c>
      <c r="N278" t="b">
        <f t="shared" si="45"/>
        <v>0</v>
      </c>
    </row>
    <row r="279" spans="1:14">
      <c r="A279" s="29">
        <v>44839</v>
      </c>
      <c r="B279" s="30">
        <f t="shared" si="37"/>
        <v>10</v>
      </c>
      <c r="C279" s="30">
        <f t="shared" si="40"/>
        <v>5</v>
      </c>
      <c r="D279" s="26">
        <f>MATCH(WEEKDAY(A279),そのた定義!A:A,0)</f>
        <v>5</v>
      </c>
      <c r="E279" s="26" t="str">
        <f t="shared" ca="1" si="41"/>
        <v>水</v>
      </c>
      <c r="F279" s="26">
        <f t="shared" si="42"/>
        <v>0</v>
      </c>
      <c r="G279" s="26">
        <f>IF(ISNA(MATCH(A279,祝日定義!E:E,0)),0,1)</f>
        <v>0</v>
      </c>
      <c r="H279" s="26">
        <f>IF(ISNA(MATCH(B279&amp;"/"&amp;C279,そのた定義!E:E,0)), 0, 1)</f>
        <v>0</v>
      </c>
      <c r="I279" s="26" t="b">
        <f t="shared" si="43"/>
        <v>0</v>
      </c>
      <c r="J279" s="26">
        <v>0</v>
      </c>
      <c r="K279" s="26" t="b">
        <f t="shared" si="38"/>
        <v>0</v>
      </c>
      <c r="L279" s="26" t="b">
        <f t="shared" si="39"/>
        <v>0</v>
      </c>
      <c r="M279" t="b">
        <f t="shared" si="44"/>
        <v>0</v>
      </c>
      <c r="N279" t="b">
        <f t="shared" si="45"/>
        <v>0</v>
      </c>
    </row>
    <row r="280" spans="1:14">
      <c r="A280" s="29">
        <v>44840</v>
      </c>
      <c r="B280" s="30">
        <f t="shared" si="37"/>
        <v>10</v>
      </c>
      <c r="C280" s="30">
        <f t="shared" si="40"/>
        <v>6</v>
      </c>
      <c r="D280" s="26">
        <f>MATCH(WEEKDAY(A280),そのた定義!A:A,0)</f>
        <v>6</v>
      </c>
      <c r="E280" s="26" t="str">
        <f t="shared" ca="1" si="41"/>
        <v>木</v>
      </c>
      <c r="F280" s="26">
        <f t="shared" si="42"/>
        <v>0</v>
      </c>
      <c r="G280" s="26">
        <f>IF(ISNA(MATCH(A280,祝日定義!E:E,0)),0,1)</f>
        <v>0</v>
      </c>
      <c r="H280" s="26">
        <f>IF(ISNA(MATCH(B280&amp;"/"&amp;C280,そのた定義!E:E,0)), 0, 1)</f>
        <v>0</v>
      </c>
      <c r="I280" s="26" t="b">
        <f t="shared" si="43"/>
        <v>0</v>
      </c>
      <c r="J280" s="26">
        <v>0</v>
      </c>
      <c r="K280" s="26" t="b">
        <f t="shared" si="38"/>
        <v>0</v>
      </c>
      <c r="L280" s="26" t="b">
        <f t="shared" si="39"/>
        <v>0</v>
      </c>
      <c r="M280" t="b">
        <f t="shared" si="44"/>
        <v>0</v>
      </c>
      <c r="N280" t="b">
        <f t="shared" si="45"/>
        <v>0</v>
      </c>
    </row>
    <row r="281" spans="1:14">
      <c r="A281" s="29">
        <v>44841</v>
      </c>
      <c r="B281" s="30">
        <f t="shared" si="37"/>
        <v>10</v>
      </c>
      <c r="C281" s="30">
        <f t="shared" si="40"/>
        <v>7</v>
      </c>
      <c r="D281" s="26">
        <f>MATCH(WEEKDAY(A281),そのた定義!A:A,0)</f>
        <v>7</v>
      </c>
      <c r="E281" s="26" t="str">
        <f t="shared" ca="1" si="41"/>
        <v>金</v>
      </c>
      <c r="F281" s="26">
        <f t="shared" si="42"/>
        <v>0</v>
      </c>
      <c r="G281" s="26">
        <f>IF(ISNA(MATCH(A281,祝日定義!E:E,0)),0,1)</f>
        <v>0</v>
      </c>
      <c r="H281" s="26">
        <f>IF(ISNA(MATCH(B281&amp;"/"&amp;C281,そのた定義!E:E,0)), 0, 1)</f>
        <v>0</v>
      </c>
      <c r="I281" s="26" t="b">
        <f t="shared" si="43"/>
        <v>0</v>
      </c>
      <c r="J281" s="26">
        <v>0</v>
      </c>
      <c r="K281" s="26" t="b">
        <f t="shared" si="38"/>
        <v>0</v>
      </c>
      <c r="L281" s="26" t="b">
        <f t="shared" si="39"/>
        <v>0</v>
      </c>
      <c r="M281" t="b">
        <f t="shared" si="44"/>
        <v>0</v>
      </c>
      <c r="N281" t="b">
        <f t="shared" si="45"/>
        <v>0</v>
      </c>
    </row>
    <row r="282" spans="1:14">
      <c r="A282" s="29">
        <v>44842</v>
      </c>
      <c r="B282" s="30">
        <f t="shared" si="37"/>
        <v>10</v>
      </c>
      <c r="C282" s="30">
        <f t="shared" si="40"/>
        <v>8</v>
      </c>
      <c r="D282" s="26">
        <f>MATCH(WEEKDAY(A282),そのた定義!A:A,0)</f>
        <v>8</v>
      </c>
      <c r="E282" s="33" t="str">
        <f t="shared" ca="1" si="41"/>
        <v>土</v>
      </c>
      <c r="F282" s="26">
        <f t="shared" si="42"/>
        <v>1</v>
      </c>
      <c r="G282" s="26">
        <f>IF(ISNA(MATCH(A282,祝日定義!E:E,0)),0,1)</f>
        <v>0</v>
      </c>
      <c r="H282" s="26">
        <f>IF(ISNA(MATCH(B282&amp;"/"&amp;C282,そのた定義!E:E,0)), 0, 1)</f>
        <v>0</v>
      </c>
      <c r="I282" s="23" t="b">
        <f t="shared" si="43"/>
        <v>1</v>
      </c>
      <c r="J282" s="26">
        <v>0</v>
      </c>
      <c r="K282" s="26" t="b">
        <f t="shared" si="38"/>
        <v>0</v>
      </c>
      <c r="L282" s="26" t="b">
        <f t="shared" si="39"/>
        <v>0</v>
      </c>
      <c r="M282" t="b">
        <f t="shared" si="44"/>
        <v>0</v>
      </c>
      <c r="N282" t="b">
        <f t="shared" si="45"/>
        <v>0</v>
      </c>
    </row>
    <row r="283" spans="1:14">
      <c r="A283" s="29">
        <v>44843</v>
      </c>
      <c r="B283" s="30">
        <f t="shared" si="37"/>
        <v>10</v>
      </c>
      <c r="C283" s="30">
        <f t="shared" si="40"/>
        <v>9</v>
      </c>
      <c r="D283" s="26">
        <f>MATCH(WEEKDAY(A283),そのた定義!A:A,0)</f>
        <v>2</v>
      </c>
      <c r="E283" s="32" t="str">
        <f t="shared" ca="1" si="41"/>
        <v>日</v>
      </c>
      <c r="F283" s="26">
        <f t="shared" si="42"/>
        <v>1</v>
      </c>
      <c r="G283" s="26">
        <f>IF(ISNA(MATCH(A283,祝日定義!E:E,0)),0,1)</f>
        <v>0</v>
      </c>
      <c r="H283" s="26">
        <f>IF(ISNA(MATCH(B283&amp;"/"&amp;C283,そのた定義!E:E,0)), 0, 1)</f>
        <v>0</v>
      </c>
      <c r="I283" s="23" t="b">
        <f t="shared" si="43"/>
        <v>1</v>
      </c>
      <c r="J283" s="26">
        <v>0</v>
      </c>
      <c r="K283" s="26" t="b">
        <f t="shared" si="38"/>
        <v>0</v>
      </c>
      <c r="L283" s="26" t="b">
        <f t="shared" si="39"/>
        <v>0</v>
      </c>
      <c r="M283" t="b">
        <f t="shared" si="44"/>
        <v>0</v>
      </c>
      <c r="N283" t="b">
        <f t="shared" si="45"/>
        <v>0</v>
      </c>
    </row>
    <row r="284" spans="1:14">
      <c r="A284" s="29">
        <v>44844</v>
      </c>
      <c r="B284" s="30">
        <f t="shared" si="37"/>
        <v>10</v>
      </c>
      <c r="C284" s="30">
        <f t="shared" si="40"/>
        <v>10</v>
      </c>
      <c r="D284" s="26">
        <f>MATCH(WEEKDAY(A284),そのた定義!A:A,0)</f>
        <v>3</v>
      </c>
      <c r="E284" s="31" t="str">
        <f t="shared" ca="1" si="41"/>
        <v>月</v>
      </c>
      <c r="F284" s="26">
        <f t="shared" si="42"/>
        <v>0</v>
      </c>
      <c r="G284" s="26">
        <f>IF(ISNA(MATCH(A284,祝日定義!E:E,0)),0,1)</f>
        <v>1</v>
      </c>
      <c r="H284" s="26">
        <f>IF(ISNA(MATCH(B284&amp;"/"&amp;C284,そのた定義!E:E,0)), 0, 1)</f>
        <v>0</v>
      </c>
      <c r="I284" s="23" t="b">
        <f t="shared" si="43"/>
        <v>1</v>
      </c>
      <c r="J284" s="26">
        <v>0</v>
      </c>
      <c r="K284" s="26" t="b">
        <f t="shared" si="38"/>
        <v>0</v>
      </c>
      <c r="L284" s="26" t="b">
        <f t="shared" si="39"/>
        <v>0</v>
      </c>
      <c r="M284" t="b">
        <f t="shared" si="44"/>
        <v>0</v>
      </c>
      <c r="N284" t="b">
        <f t="shared" si="45"/>
        <v>0</v>
      </c>
    </row>
    <row r="285" spans="1:14">
      <c r="A285" s="29">
        <v>44845</v>
      </c>
      <c r="B285" s="30">
        <f t="shared" si="37"/>
        <v>10</v>
      </c>
      <c r="C285" s="30">
        <f t="shared" si="40"/>
        <v>11</v>
      </c>
      <c r="D285" s="26">
        <f>MATCH(WEEKDAY(A285),そのた定義!A:A,0)</f>
        <v>4</v>
      </c>
      <c r="E285" s="26" t="str">
        <f t="shared" ca="1" si="41"/>
        <v>火</v>
      </c>
      <c r="F285" s="26">
        <f t="shared" si="42"/>
        <v>0</v>
      </c>
      <c r="G285" s="26">
        <f>IF(ISNA(MATCH(A285,祝日定義!E:E,0)),0,1)</f>
        <v>0</v>
      </c>
      <c r="H285" s="26">
        <f>IF(ISNA(MATCH(B285&amp;"/"&amp;C285,そのた定義!E:E,0)), 0, 1)</f>
        <v>0</v>
      </c>
      <c r="I285" s="26" t="b">
        <f t="shared" si="43"/>
        <v>0</v>
      </c>
      <c r="J285" s="26">
        <v>3</v>
      </c>
      <c r="K285" s="26" t="b">
        <f t="shared" si="38"/>
        <v>0</v>
      </c>
      <c r="L285" s="26" t="b">
        <f t="shared" si="39"/>
        <v>0</v>
      </c>
      <c r="M285" t="b">
        <f t="shared" si="44"/>
        <v>0</v>
      </c>
      <c r="N285" t="b">
        <f t="shared" si="45"/>
        <v>0</v>
      </c>
    </row>
    <row r="286" spans="1:14">
      <c r="A286" s="29">
        <v>44846</v>
      </c>
      <c r="B286" s="30">
        <f t="shared" si="37"/>
        <v>10</v>
      </c>
      <c r="C286" s="30">
        <f t="shared" si="40"/>
        <v>12</v>
      </c>
      <c r="D286" s="26">
        <f>MATCH(WEEKDAY(A286),そのた定義!A:A,0)</f>
        <v>5</v>
      </c>
      <c r="E286" s="26" t="str">
        <f t="shared" ca="1" si="41"/>
        <v>水</v>
      </c>
      <c r="F286" s="26">
        <f t="shared" si="42"/>
        <v>0</v>
      </c>
      <c r="G286" s="26">
        <f>IF(ISNA(MATCH(A286,祝日定義!E:E,0)),0,1)</f>
        <v>0</v>
      </c>
      <c r="H286" s="26">
        <f>IF(ISNA(MATCH(B286&amp;"/"&amp;C286,そのた定義!E:E,0)), 0, 1)</f>
        <v>0</v>
      </c>
      <c r="I286" s="26" t="b">
        <f t="shared" si="43"/>
        <v>0</v>
      </c>
      <c r="J286" s="26">
        <v>0</v>
      </c>
      <c r="K286" s="26" t="b">
        <f t="shared" si="38"/>
        <v>0</v>
      </c>
      <c r="L286" s="26" t="b">
        <f t="shared" si="39"/>
        <v>0</v>
      </c>
      <c r="M286" t="b">
        <f t="shared" si="44"/>
        <v>0</v>
      </c>
      <c r="N286" t="b">
        <f t="shared" si="45"/>
        <v>0</v>
      </c>
    </row>
    <row r="287" spans="1:14">
      <c r="A287" s="29">
        <v>44847</v>
      </c>
      <c r="B287" s="30">
        <f t="shared" si="37"/>
        <v>10</v>
      </c>
      <c r="C287" s="30">
        <f t="shared" si="40"/>
        <v>13</v>
      </c>
      <c r="D287" s="26">
        <f>MATCH(WEEKDAY(A287),そのた定義!A:A,0)</f>
        <v>6</v>
      </c>
      <c r="E287" s="26" t="str">
        <f t="shared" ca="1" si="41"/>
        <v>木</v>
      </c>
      <c r="F287" s="26">
        <f t="shared" si="42"/>
        <v>0</v>
      </c>
      <c r="G287" s="26">
        <f>IF(ISNA(MATCH(A287,祝日定義!E:E,0)),0,1)</f>
        <v>0</v>
      </c>
      <c r="H287" s="26">
        <f>IF(ISNA(MATCH(B287&amp;"/"&amp;C287,そのた定義!E:E,0)), 0, 1)</f>
        <v>0</v>
      </c>
      <c r="I287" s="26" t="b">
        <f t="shared" si="43"/>
        <v>0</v>
      </c>
      <c r="J287" s="26">
        <v>0</v>
      </c>
      <c r="K287" s="26" t="b">
        <f t="shared" si="38"/>
        <v>0</v>
      </c>
      <c r="L287" s="26" t="b">
        <f t="shared" si="39"/>
        <v>0</v>
      </c>
      <c r="M287" t="b">
        <f t="shared" si="44"/>
        <v>0</v>
      </c>
      <c r="N287" t="b">
        <f t="shared" si="45"/>
        <v>0</v>
      </c>
    </row>
    <row r="288" spans="1:14">
      <c r="A288" s="29">
        <v>44848</v>
      </c>
      <c r="B288" s="30">
        <f t="shared" si="37"/>
        <v>10</v>
      </c>
      <c r="C288" s="30">
        <f t="shared" si="40"/>
        <v>14</v>
      </c>
      <c r="D288" s="26">
        <f>MATCH(WEEKDAY(A288),そのた定義!A:A,0)</f>
        <v>7</v>
      </c>
      <c r="E288" s="26" t="str">
        <f t="shared" ca="1" si="41"/>
        <v>金</v>
      </c>
      <c r="F288" s="26">
        <f t="shared" si="42"/>
        <v>0</v>
      </c>
      <c r="G288" s="26">
        <f>IF(ISNA(MATCH(A288,祝日定義!E:E,0)),0,1)</f>
        <v>0</v>
      </c>
      <c r="H288" s="26">
        <f>IF(ISNA(MATCH(B288&amp;"/"&amp;C288,そのた定義!E:E,0)), 0, 1)</f>
        <v>0</v>
      </c>
      <c r="I288" s="26" t="b">
        <f t="shared" si="43"/>
        <v>0</v>
      </c>
      <c r="J288" s="26">
        <v>0</v>
      </c>
      <c r="K288" s="26" t="b">
        <f t="shared" si="38"/>
        <v>0</v>
      </c>
      <c r="L288" s="26" t="b">
        <f t="shared" si="39"/>
        <v>0</v>
      </c>
      <c r="M288" t="b">
        <f t="shared" si="44"/>
        <v>0</v>
      </c>
      <c r="N288" t="b">
        <f t="shared" si="45"/>
        <v>0</v>
      </c>
    </row>
    <row r="289" spans="1:14">
      <c r="A289" s="29">
        <v>44849</v>
      </c>
      <c r="B289" s="30">
        <f t="shared" si="37"/>
        <v>10</v>
      </c>
      <c r="C289" s="30">
        <f t="shared" si="40"/>
        <v>15</v>
      </c>
      <c r="D289" s="26">
        <f>MATCH(WEEKDAY(A289),そのた定義!A:A,0)</f>
        <v>8</v>
      </c>
      <c r="E289" s="33" t="str">
        <f t="shared" ca="1" si="41"/>
        <v>土</v>
      </c>
      <c r="F289" s="26">
        <f t="shared" si="42"/>
        <v>1</v>
      </c>
      <c r="G289" s="26">
        <f>IF(ISNA(MATCH(A289,祝日定義!E:E,0)),0,1)</f>
        <v>0</v>
      </c>
      <c r="H289" s="26">
        <f>IF(ISNA(MATCH(B289&amp;"/"&amp;C289,そのた定義!E:E,0)), 0, 1)</f>
        <v>0</v>
      </c>
      <c r="I289" s="23" t="b">
        <f t="shared" si="43"/>
        <v>1</v>
      </c>
      <c r="J289" s="26">
        <v>0</v>
      </c>
      <c r="K289" s="26" t="b">
        <f t="shared" si="38"/>
        <v>0</v>
      </c>
      <c r="L289" s="26" t="b">
        <f t="shared" si="39"/>
        <v>0</v>
      </c>
      <c r="M289" t="b">
        <f t="shared" si="44"/>
        <v>0</v>
      </c>
      <c r="N289" t="b">
        <f t="shared" si="45"/>
        <v>0</v>
      </c>
    </row>
    <row r="290" spans="1:14">
      <c r="A290" s="29">
        <v>44850</v>
      </c>
      <c r="B290" s="30">
        <f t="shared" si="37"/>
        <v>10</v>
      </c>
      <c r="C290" s="30">
        <f t="shared" si="40"/>
        <v>16</v>
      </c>
      <c r="D290" s="26">
        <f>MATCH(WEEKDAY(A290),そのた定義!A:A,0)</f>
        <v>2</v>
      </c>
      <c r="E290" s="32" t="str">
        <f t="shared" ca="1" si="41"/>
        <v>日</v>
      </c>
      <c r="F290" s="26">
        <f t="shared" si="42"/>
        <v>1</v>
      </c>
      <c r="G290" s="26">
        <f>IF(ISNA(MATCH(A290,祝日定義!E:E,0)),0,1)</f>
        <v>0</v>
      </c>
      <c r="H290" s="26">
        <f>IF(ISNA(MATCH(B290&amp;"/"&amp;C290,そのた定義!E:E,0)), 0, 1)</f>
        <v>0</v>
      </c>
      <c r="I290" s="23" t="b">
        <f t="shared" si="43"/>
        <v>1</v>
      </c>
      <c r="J290" s="26">
        <v>0</v>
      </c>
      <c r="K290" s="26" t="b">
        <f t="shared" si="38"/>
        <v>0</v>
      </c>
      <c r="L290" s="26" t="b">
        <f t="shared" si="39"/>
        <v>0</v>
      </c>
      <c r="M290" t="b">
        <f t="shared" si="44"/>
        <v>0</v>
      </c>
      <c r="N290" t="b">
        <f t="shared" si="45"/>
        <v>0</v>
      </c>
    </row>
    <row r="291" spans="1:14">
      <c r="A291" s="29">
        <v>44851</v>
      </c>
      <c r="B291" s="30">
        <f t="shared" si="37"/>
        <v>10</v>
      </c>
      <c r="C291" s="30">
        <f t="shared" si="40"/>
        <v>17</v>
      </c>
      <c r="D291" s="26">
        <f>MATCH(WEEKDAY(A291),そのた定義!A:A,0)</f>
        <v>3</v>
      </c>
      <c r="E291" s="26" t="str">
        <f t="shared" ca="1" si="41"/>
        <v>月</v>
      </c>
      <c r="F291" s="26">
        <f t="shared" si="42"/>
        <v>0</v>
      </c>
      <c r="G291" s="26">
        <f>IF(ISNA(MATCH(A291,祝日定義!E:E,0)),0,1)</f>
        <v>0</v>
      </c>
      <c r="H291" s="26">
        <f>IF(ISNA(MATCH(B291&amp;"/"&amp;C291,そのた定義!E:E,0)), 0, 1)</f>
        <v>0</v>
      </c>
      <c r="I291" s="26" t="b">
        <f t="shared" si="43"/>
        <v>0</v>
      </c>
      <c r="J291" s="26">
        <v>2</v>
      </c>
      <c r="K291" s="26" t="b">
        <f t="shared" si="38"/>
        <v>0</v>
      </c>
      <c r="L291" s="26" t="b">
        <f t="shared" si="39"/>
        <v>0</v>
      </c>
      <c r="M291" t="b">
        <f t="shared" si="44"/>
        <v>0</v>
      </c>
      <c r="N291" t="b">
        <f t="shared" si="45"/>
        <v>0</v>
      </c>
    </row>
    <row r="292" spans="1:14">
      <c r="A292" s="29">
        <v>44852</v>
      </c>
      <c r="B292" s="30">
        <f t="shared" si="37"/>
        <v>10</v>
      </c>
      <c r="C292" s="30">
        <f t="shared" si="40"/>
        <v>18</v>
      </c>
      <c r="D292" s="26">
        <f>MATCH(WEEKDAY(A292),そのた定義!A:A,0)</f>
        <v>4</v>
      </c>
      <c r="E292" s="26" t="str">
        <f t="shared" ca="1" si="41"/>
        <v>火</v>
      </c>
      <c r="F292" s="26">
        <f t="shared" si="42"/>
        <v>0</v>
      </c>
      <c r="G292" s="26">
        <f>IF(ISNA(MATCH(A292,祝日定義!E:E,0)),0,1)</f>
        <v>0</v>
      </c>
      <c r="H292" s="26">
        <f>IF(ISNA(MATCH(B292&amp;"/"&amp;C292,そのた定義!E:E,0)), 0, 1)</f>
        <v>0</v>
      </c>
      <c r="I292" s="26" t="b">
        <f t="shared" si="43"/>
        <v>0</v>
      </c>
      <c r="J292" s="26">
        <v>0</v>
      </c>
      <c r="K292" s="26" t="b">
        <f t="shared" si="38"/>
        <v>0</v>
      </c>
      <c r="L292" s="26" t="b">
        <f t="shared" si="39"/>
        <v>0</v>
      </c>
      <c r="M292" t="b">
        <f t="shared" si="44"/>
        <v>0</v>
      </c>
      <c r="N292" t="b">
        <f t="shared" si="45"/>
        <v>0</v>
      </c>
    </row>
    <row r="293" spans="1:14">
      <c r="A293" s="29">
        <v>44853</v>
      </c>
      <c r="B293" s="30">
        <f t="shared" si="37"/>
        <v>10</v>
      </c>
      <c r="C293" s="30">
        <f t="shared" si="40"/>
        <v>19</v>
      </c>
      <c r="D293" s="26">
        <f>MATCH(WEEKDAY(A293),そのた定義!A:A,0)</f>
        <v>5</v>
      </c>
      <c r="E293" s="26" t="str">
        <f t="shared" ca="1" si="41"/>
        <v>水</v>
      </c>
      <c r="F293" s="26">
        <f t="shared" si="42"/>
        <v>0</v>
      </c>
      <c r="G293" s="26">
        <f>IF(ISNA(MATCH(A293,祝日定義!E:E,0)),0,1)</f>
        <v>0</v>
      </c>
      <c r="H293" s="26">
        <f>IF(ISNA(MATCH(B293&amp;"/"&amp;C293,そのた定義!E:E,0)), 0, 1)</f>
        <v>0</v>
      </c>
      <c r="I293" s="26" t="b">
        <f t="shared" si="43"/>
        <v>0</v>
      </c>
      <c r="J293" s="26">
        <v>0</v>
      </c>
      <c r="K293" s="26" t="b">
        <f t="shared" si="38"/>
        <v>0</v>
      </c>
      <c r="L293" s="26" t="b">
        <f t="shared" si="39"/>
        <v>0</v>
      </c>
      <c r="M293" t="b">
        <f t="shared" si="44"/>
        <v>0</v>
      </c>
      <c r="N293" t="b">
        <f t="shared" si="45"/>
        <v>0</v>
      </c>
    </row>
    <row r="294" spans="1:14">
      <c r="A294" s="29">
        <v>44854</v>
      </c>
      <c r="B294" s="30">
        <f t="shared" si="37"/>
        <v>10</v>
      </c>
      <c r="C294" s="30">
        <f t="shared" si="40"/>
        <v>20</v>
      </c>
      <c r="D294" s="26">
        <f>MATCH(WEEKDAY(A294),そのた定義!A:A,0)</f>
        <v>6</v>
      </c>
      <c r="E294" s="26" t="str">
        <f t="shared" ca="1" si="41"/>
        <v>木</v>
      </c>
      <c r="F294" s="26">
        <f t="shared" si="42"/>
        <v>0</v>
      </c>
      <c r="G294" s="26">
        <f>IF(ISNA(MATCH(A294,祝日定義!E:E,0)),0,1)</f>
        <v>0</v>
      </c>
      <c r="H294" s="26">
        <f>IF(ISNA(MATCH(B294&amp;"/"&amp;C294,そのた定義!E:E,0)), 0, 1)</f>
        <v>0</v>
      </c>
      <c r="I294" s="26" t="b">
        <f t="shared" si="43"/>
        <v>0</v>
      </c>
      <c r="J294" s="26">
        <v>0</v>
      </c>
      <c r="K294" s="26" t="b">
        <f t="shared" si="38"/>
        <v>0</v>
      </c>
      <c r="L294" s="26" t="b">
        <f t="shared" si="39"/>
        <v>0</v>
      </c>
      <c r="M294" t="b">
        <f t="shared" si="44"/>
        <v>0</v>
      </c>
      <c r="N294" t="b">
        <f t="shared" si="45"/>
        <v>0</v>
      </c>
    </row>
    <row r="295" spans="1:14">
      <c r="A295" s="29">
        <v>44855</v>
      </c>
      <c r="B295" s="30">
        <f t="shared" si="37"/>
        <v>10</v>
      </c>
      <c r="C295" s="30">
        <f t="shared" si="40"/>
        <v>21</v>
      </c>
      <c r="D295" s="26">
        <f>MATCH(WEEKDAY(A295),そのた定義!A:A,0)</f>
        <v>7</v>
      </c>
      <c r="E295" s="26" t="str">
        <f t="shared" ca="1" si="41"/>
        <v>金</v>
      </c>
      <c r="F295" s="26">
        <f t="shared" si="42"/>
        <v>0</v>
      </c>
      <c r="G295" s="26">
        <f>IF(ISNA(MATCH(A295,祝日定義!E:E,0)),0,1)</f>
        <v>0</v>
      </c>
      <c r="H295" s="26">
        <f>IF(ISNA(MATCH(B295&amp;"/"&amp;C295,そのた定義!E:E,0)), 0, 1)</f>
        <v>0</v>
      </c>
      <c r="I295" s="26" t="b">
        <f t="shared" si="43"/>
        <v>0</v>
      </c>
      <c r="J295" s="26">
        <v>0</v>
      </c>
      <c r="K295" s="26" t="b">
        <f t="shared" si="38"/>
        <v>0</v>
      </c>
      <c r="L295" s="26" t="b">
        <f t="shared" si="39"/>
        <v>0</v>
      </c>
      <c r="M295" t="b">
        <f t="shared" si="44"/>
        <v>0</v>
      </c>
      <c r="N295" t="b">
        <f t="shared" si="45"/>
        <v>0</v>
      </c>
    </row>
    <row r="296" spans="1:14">
      <c r="A296" s="29">
        <v>44856</v>
      </c>
      <c r="B296" s="30">
        <f t="shared" si="37"/>
        <v>10</v>
      </c>
      <c r="C296" s="30">
        <f t="shared" si="40"/>
        <v>22</v>
      </c>
      <c r="D296" s="26">
        <f>MATCH(WEEKDAY(A296),そのた定義!A:A,0)</f>
        <v>8</v>
      </c>
      <c r="E296" s="33" t="str">
        <f t="shared" ca="1" si="41"/>
        <v>土</v>
      </c>
      <c r="F296" s="26">
        <f t="shared" si="42"/>
        <v>1</v>
      </c>
      <c r="G296" s="26">
        <f>IF(ISNA(MATCH(A296,祝日定義!E:E,0)),0,1)</f>
        <v>0</v>
      </c>
      <c r="H296" s="26">
        <f>IF(ISNA(MATCH(B296&amp;"/"&amp;C296,そのた定義!E:E,0)), 0, 1)</f>
        <v>0</v>
      </c>
      <c r="I296" s="23" t="b">
        <f t="shared" si="43"/>
        <v>1</v>
      </c>
      <c r="J296" s="26">
        <v>0</v>
      </c>
      <c r="K296" s="26" t="b">
        <f t="shared" si="38"/>
        <v>0</v>
      </c>
      <c r="L296" s="26" t="b">
        <f t="shared" si="39"/>
        <v>0</v>
      </c>
      <c r="M296" t="b">
        <f t="shared" si="44"/>
        <v>0</v>
      </c>
      <c r="N296" t="b">
        <f t="shared" si="45"/>
        <v>0</v>
      </c>
    </row>
    <row r="297" spans="1:14">
      <c r="A297" s="29">
        <v>44857</v>
      </c>
      <c r="B297" s="30">
        <f t="shared" si="37"/>
        <v>10</v>
      </c>
      <c r="C297" s="30">
        <f t="shared" si="40"/>
        <v>23</v>
      </c>
      <c r="D297" s="26">
        <f>MATCH(WEEKDAY(A297),そのた定義!A:A,0)</f>
        <v>2</v>
      </c>
      <c r="E297" s="32" t="str">
        <f t="shared" ca="1" si="41"/>
        <v>日</v>
      </c>
      <c r="F297" s="26">
        <f t="shared" si="42"/>
        <v>1</v>
      </c>
      <c r="G297" s="26">
        <f>IF(ISNA(MATCH(A297,祝日定義!E:E,0)),0,1)</f>
        <v>0</v>
      </c>
      <c r="H297" s="26">
        <f>IF(ISNA(MATCH(B297&amp;"/"&amp;C297,そのた定義!E:E,0)), 0, 1)</f>
        <v>0</v>
      </c>
      <c r="I297" s="23" t="b">
        <f t="shared" si="43"/>
        <v>1</v>
      </c>
      <c r="J297" s="26">
        <v>0</v>
      </c>
      <c r="K297" s="26" t="b">
        <f t="shared" si="38"/>
        <v>0</v>
      </c>
      <c r="L297" s="26" t="b">
        <f t="shared" si="39"/>
        <v>0</v>
      </c>
      <c r="M297" t="b">
        <f t="shared" si="44"/>
        <v>0</v>
      </c>
      <c r="N297" t="b">
        <f t="shared" si="45"/>
        <v>0</v>
      </c>
    </row>
    <row r="298" spans="1:14">
      <c r="A298" s="29">
        <v>44858</v>
      </c>
      <c r="B298" s="30">
        <f t="shared" si="37"/>
        <v>10</v>
      </c>
      <c r="C298" s="30">
        <f t="shared" si="40"/>
        <v>24</v>
      </c>
      <c r="D298" s="26">
        <f>MATCH(WEEKDAY(A298),そのた定義!A:A,0)</f>
        <v>3</v>
      </c>
      <c r="E298" s="26" t="str">
        <f t="shared" ca="1" si="41"/>
        <v>月</v>
      </c>
      <c r="F298" s="26">
        <f t="shared" si="42"/>
        <v>0</v>
      </c>
      <c r="G298" s="26">
        <f>IF(ISNA(MATCH(A298,祝日定義!E:E,0)),0,1)</f>
        <v>0</v>
      </c>
      <c r="H298" s="26">
        <f>IF(ISNA(MATCH(B298&amp;"/"&amp;C298,そのた定義!E:E,0)), 0, 1)</f>
        <v>0</v>
      </c>
      <c r="I298" s="26" t="b">
        <f t="shared" si="43"/>
        <v>0</v>
      </c>
      <c r="J298" s="26">
        <v>2</v>
      </c>
      <c r="K298" s="26" t="b">
        <f t="shared" si="38"/>
        <v>0</v>
      </c>
      <c r="L298" s="26" t="b">
        <f t="shared" si="39"/>
        <v>0</v>
      </c>
      <c r="M298" t="b">
        <f t="shared" si="44"/>
        <v>0</v>
      </c>
      <c r="N298" t="b">
        <f t="shared" si="45"/>
        <v>0</v>
      </c>
    </row>
    <row r="299" spans="1:14">
      <c r="A299" s="29">
        <v>44859</v>
      </c>
      <c r="B299" s="30">
        <f t="shared" si="37"/>
        <v>10</v>
      </c>
      <c r="C299" s="30">
        <f t="shared" si="40"/>
        <v>25</v>
      </c>
      <c r="D299" s="26">
        <f>MATCH(WEEKDAY(A299),そのた定義!A:A,0)</f>
        <v>4</v>
      </c>
      <c r="E299" s="26" t="str">
        <f t="shared" ca="1" si="41"/>
        <v>火</v>
      </c>
      <c r="F299" s="26">
        <f t="shared" si="42"/>
        <v>0</v>
      </c>
      <c r="G299" s="26">
        <f>IF(ISNA(MATCH(A299,祝日定義!E:E,0)),0,1)</f>
        <v>0</v>
      </c>
      <c r="H299" s="26">
        <f>IF(ISNA(MATCH(B299&amp;"/"&amp;C299,そのた定義!E:E,0)), 0, 1)</f>
        <v>0</v>
      </c>
      <c r="I299" s="26" t="b">
        <f t="shared" si="43"/>
        <v>0</v>
      </c>
      <c r="J299" s="26">
        <v>0</v>
      </c>
      <c r="K299" s="26" t="b">
        <f t="shared" si="38"/>
        <v>0</v>
      </c>
      <c r="L299" s="23" t="b">
        <f t="shared" si="39"/>
        <v>1</v>
      </c>
      <c r="M299" t="b">
        <f t="shared" si="44"/>
        <v>0</v>
      </c>
      <c r="N299" t="b">
        <f t="shared" si="45"/>
        <v>0</v>
      </c>
    </row>
    <row r="300" spans="1:14">
      <c r="A300" s="29">
        <v>44860</v>
      </c>
      <c r="B300" s="30">
        <f t="shared" si="37"/>
        <v>10</v>
      </c>
      <c r="C300" s="30">
        <f t="shared" si="40"/>
        <v>26</v>
      </c>
      <c r="D300" s="26">
        <f>MATCH(WEEKDAY(A300),そのた定義!A:A,0)</f>
        <v>5</v>
      </c>
      <c r="E300" s="26" t="str">
        <f t="shared" ca="1" si="41"/>
        <v>水</v>
      </c>
      <c r="F300" s="26">
        <f t="shared" si="42"/>
        <v>0</v>
      </c>
      <c r="G300" s="26">
        <f>IF(ISNA(MATCH(A300,祝日定義!E:E,0)),0,1)</f>
        <v>0</v>
      </c>
      <c r="H300" s="26">
        <f>IF(ISNA(MATCH(B300&amp;"/"&amp;C300,そのた定義!E:E,0)), 0, 1)</f>
        <v>0</v>
      </c>
      <c r="I300" s="26" t="b">
        <f t="shared" si="43"/>
        <v>0</v>
      </c>
      <c r="J300" s="26">
        <v>0</v>
      </c>
      <c r="K300" s="26" t="b">
        <f t="shared" si="38"/>
        <v>0</v>
      </c>
      <c r="L300" s="26" t="b">
        <f t="shared" si="39"/>
        <v>0</v>
      </c>
      <c r="M300" t="b">
        <f t="shared" si="44"/>
        <v>0</v>
      </c>
      <c r="N300" t="b">
        <f t="shared" si="45"/>
        <v>0</v>
      </c>
    </row>
    <row r="301" spans="1:14">
      <c r="A301" s="29">
        <v>44861</v>
      </c>
      <c r="B301" s="30">
        <f t="shared" si="37"/>
        <v>10</v>
      </c>
      <c r="C301" s="30">
        <f t="shared" si="40"/>
        <v>27</v>
      </c>
      <c r="D301" s="26">
        <f>MATCH(WEEKDAY(A301),そのた定義!A:A,0)</f>
        <v>6</v>
      </c>
      <c r="E301" s="26" t="str">
        <f t="shared" ca="1" si="41"/>
        <v>木</v>
      </c>
      <c r="F301" s="26">
        <f t="shared" si="42"/>
        <v>0</v>
      </c>
      <c r="G301" s="26">
        <f>IF(ISNA(MATCH(A301,祝日定義!E:E,0)),0,1)</f>
        <v>0</v>
      </c>
      <c r="H301" s="26">
        <f>IF(ISNA(MATCH(B301&amp;"/"&amp;C301,そのた定義!E:E,0)), 0, 1)</f>
        <v>0</v>
      </c>
      <c r="I301" s="26" t="b">
        <f t="shared" si="43"/>
        <v>0</v>
      </c>
      <c r="J301" s="26">
        <v>0</v>
      </c>
      <c r="K301" s="26" t="b">
        <f t="shared" si="38"/>
        <v>0</v>
      </c>
      <c r="L301" s="26" t="b">
        <f t="shared" si="39"/>
        <v>0</v>
      </c>
      <c r="M301" t="b">
        <f t="shared" si="44"/>
        <v>0</v>
      </c>
      <c r="N301" t="b">
        <f t="shared" si="45"/>
        <v>0</v>
      </c>
    </row>
    <row r="302" spans="1:14">
      <c r="A302" s="29">
        <v>44862</v>
      </c>
      <c r="B302" s="30">
        <f t="shared" si="37"/>
        <v>10</v>
      </c>
      <c r="C302" s="30">
        <f t="shared" si="40"/>
        <v>28</v>
      </c>
      <c r="D302" s="26">
        <f>MATCH(WEEKDAY(A302),そのた定義!A:A,0)</f>
        <v>7</v>
      </c>
      <c r="E302" s="26" t="str">
        <f t="shared" ca="1" si="41"/>
        <v>金</v>
      </c>
      <c r="F302" s="26">
        <f t="shared" si="42"/>
        <v>0</v>
      </c>
      <c r="G302" s="26">
        <f>IF(ISNA(MATCH(A302,祝日定義!E:E,0)),0,1)</f>
        <v>0</v>
      </c>
      <c r="H302" s="26">
        <f>IF(ISNA(MATCH(B302&amp;"/"&amp;C302,そのた定義!E:E,0)), 0, 1)</f>
        <v>0</v>
      </c>
      <c r="I302" s="26" t="b">
        <f t="shared" si="43"/>
        <v>0</v>
      </c>
      <c r="J302" s="26">
        <v>0</v>
      </c>
      <c r="K302" s="26" t="b">
        <f t="shared" si="38"/>
        <v>0</v>
      </c>
      <c r="L302" s="26" t="b">
        <f t="shared" si="39"/>
        <v>0</v>
      </c>
      <c r="M302" t="b">
        <f t="shared" si="44"/>
        <v>0</v>
      </c>
      <c r="N302" t="b">
        <f t="shared" si="45"/>
        <v>0</v>
      </c>
    </row>
    <row r="303" spans="1:14">
      <c r="A303" s="29">
        <v>44863</v>
      </c>
      <c r="B303" s="30">
        <f t="shared" si="37"/>
        <v>10</v>
      </c>
      <c r="C303" s="30">
        <f t="shared" si="40"/>
        <v>29</v>
      </c>
      <c r="D303" s="26">
        <f>MATCH(WEEKDAY(A303),そのた定義!A:A,0)</f>
        <v>8</v>
      </c>
      <c r="E303" s="33" t="str">
        <f t="shared" ca="1" si="41"/>
        <v>土</v>
      </c>
      <c r="F303" s="26">
        <f t="shared" si="42"/>
        <v>1</v>
      </c>
      <c r="G303" s="26">
        <f>IF(ISNA(MATCH(A303,祝日定義!E:E,0)),0,1)</f>
        <v>0</v>
      </c>
      <c r="H303" s="26">
        <f>IF(ISNA(MATCH(B303&amp;"/"&amp;C303,そのた定義!E:E,0)), 0, 1)</f>
        <v>0</v>
      </c>
      <c r="I303" s="23" t="b">
        <f t="shared" si="43"/>
        <v>1</v>
      </c>
      <c r="J303" s="26">
        <v>0</v>
      </c>
      <c r="K303" s="26" t="b">
        <f t="shared" si="38"/>
        <v>0</v>
      </c>
      <c r="L303" s="26" t="b">
        <f t="shared" si="39"/>
        <v>0</v>
      </c>
      <c r="M303" t="b">
        <f t="shared" si="44"/>
        <v>0</v>
      </c>
      <c r="N303" t="b">
        <f t="shared" si="45"/>
        <v>0</v>
      </c>
    </row>
    <row r="304" spans="1:14">
      <c r="A304" s="29">
        <v>44864</v>
      </c>
      <c r="B304" s="30">
        <f t="shared" si="37"/>
        <v>10</v>
      </c>
      <c r="C304" s="30">
        <f t="shared" si="40"/>
        <v>30</v>
      </c>
      <c r="D304" s="26">
        <f>MATCH(WEEKDAY(A304),そのた定義!A:A,0)</f>
        <v>2</v>
      </c>
      <c r="E304" s="32" t="str">
        <f t="shared" ca="1" si="41"/>
        <v>日</v>
      </c>
      <c r="F304" s="26">
        <f t="shared" si="42"/>
        <v>1</v>
      </c>
      <c r="G304" s="26">
        <f>IF(ISNA(MATCH(A304,祝日定義!E:E,0)),0,1)</f>
        <v>0</v>
      </c>
      <c r="H304" s="26">
        <f>IF(ISNA(MATCH(B304&amp;"/"&amp;C304,そのた定義!E:E,0)), 0, 1)</f>
        <v>0</v>
      </c>
      <c r="I304" s="23" t="b">
        <f t="shared" si="43"/>
        <v>1</v>
      </c>
      <c r="J304" s="26">
        <v>0</v>
      </c>
      <c r="K304" s="26" t="b">
        <f t="shared" si="38"/>
        <v>0</v>
      </c>
      <c r="L304" s="26" t="b">
        <f t="shared" si="39"/>
        <v>0</v>
      </c>
      <c r="M304" t="b">
        <f t="shared" si="44"/>
        <v>0</v>
      </c>
      <c r="N304" t="b">
        <f t="shared" si="45"/>
        <v>0</v>
      </c>
    </row>
    <row r="305" spans="1:14">
      <c r="A305" s="29">
        <v>44865</v>
      </c>
      <c r="B305" s="30">
        <f t="shared" si="37"/>
        <v>10</v>
      </c>
      <c r="C305" s="30">
        <f t="shared" si="40"/>
        <v>31</v>
      </c>
      <c r="D305" s="26">
        <f>MATCH(WEEKDAY(A305),そのた定義!A:A,0)</f>
        <v>3</v>
      </c>
      <c r="E305" s="26" t="str">
        <f t="shared" ca="1" si="41"/>
        <v>月</v>
      </c>
      <c r="F305" s="26">
        <f t="shared" si="42"/>
        <v>0</v>
      </c>
      <c r="G305" s="26">
        <f>IF(ISNA(MATCH(A305,祝日定義!E:E,0)),0,1)</f>
        <v>0</v>
      </c>
      <c r="H305" s="26">
        <f>IF(ISNA(MATCH(B305&amp;"/"&amp;C305,そのた定義!E:E,0)), 0, 1)</f>
        <v>0</v>
      </c>
      <c r="I305" s="26" t="b">
        <f t="shared" si="43"/>
        <v>0</v>
      </c>
      <c r="J305" s="26">
        <v>2</v>
      </c>
      <c r="K305" s="26" t="b">
        <f t="shared" si="38"/>
        <v>0</v>
      </c>
      <c r="L305" s="26" t="b">
        <f t="shared" si="39"/>
        <v>0</v>
      </c>
      <c r="M305" t="b">
        <f t="shared" si="44"/>
        <v>0</v>
      </c>
      <c r="N305" t="b">
        <f t="shared" si="45"/>
        <v>1</v>
      </c>
    </row>
    <row r="306" spans="1:14">
      <c r="A306" s="29">
        <v>44866</v>
      </c>
      <c r="B306" s="30">
        <f t="shared" si="37"/>
        <v>11</v>
      </c>
      <c r="C306" s="30">
        <f t="shared" si="40"/>
        <v>1</v>
      </c>
      <c r="D306" s="26">
        <f>MATCH(WEEKDAY(A306),そのた定義!A:A,0)</f>
        <v>4</v>
      </c>
      <c r="E306" s="26" t="str">
        <f t="shared" ca="1" si="41"/>
        <v>火</v>
      </c>
      <c r="F306" s="26">
        <f t="shared" si="42"/>
        <v>0</v>
      </c>
      <c r="G306" s="26">
        <f>IF(ISNA(MATCH(A306,祝日定義!E:E,0)),0,1)</f>
        <v>0</v>
      </c>
      <c r="H306" s="26">
        <f>IF(ISNA(MATCH(B306&amp;"/"&amp;C306,そのた定義!E:E,0)), 0, 1)</f>
        <v>0</v>
      </c>
      <c r="I306" s="26" t="b">
        <f t="shared" si="43"/>
        <v>0</v>
      </c>
      <c r="J306" s="26">
        <v>0</v>
      </c>
      <c r="K306" s="26" t="b">
        <f t="shared" si="38"/>
        <v>0</v>
      </c>
      <c r="L306" s="26" t="b">
        <f t="shared" si="39"/>
        <v>0</v>
      </c>
      <c r="M306" t="b">
        <f t="shared" si="44"/>
        <v>0</v>
      </c>
      <c r="N306" t="b">
        <f t="shared" si="45"/>
        <v>0</v>
      </c>
    </row>
    <row r="307" spans="1:14">
      <c r="A307" s="29">
        <v>44867</v>
      </c>
      <c r="B307" s="30">
        <f t="shared" si="37"/>
        <v>11</v>
      </c>
      <c r="C307" s="30">
        <f t="shared" si="40"/>
        <v>2</v>
      </c>
      <c r="D307" s="26">
        <f>MATCH(WEEKDAY(A307),そのた定義!A:A,0)</f>
        <v>5</v>
      </c>
      <c r="E307" s="26" t="str">
        <f t="shared" ca="1" si="41"/>
        <v>水</v>
      </c>
      <c r="F307" s="26">
        <f t="shared" si="42"/>
        <v>0</v>
      </c>
      <c r="G307" s="26">
        <f>IF(ISNA(MATCH(A307,祝日定義!E:E,0)),0,1)</f>
        <v>0</v>
      </c>
      <c r="H307" s="26">
        <f>IF(ISNA(MATCH(B307&amp;"/"&amp;C307,そのた定義!E:E,0)), 0, 1)</f>
        <v>0</v>
      </c>
      <c r="I307" s="26" t="b">
        <f t="shared" si="43"/>
        <v>0</v>
      </c>
      <c r="J307" s="26">
        <v>0</v>
      </c>
      <c r="K307" s="26" t="b">
        <f t="shared" si="38"/>
        <v>0</v>
      </c>
      <c r="L307" s="26" t="b">
        <f t="shared" si="39"/>
        <v>0</v>
      </c>
      <c r="M307" t="b">
        <f t="shared" si="44"/>
        <v>0</v>
      </c>
      <c r="N307" t="b">
        <f t="shared" si="45"/>
        <v>0</v>
      </c>
    </row>
    <row r="308" spans="1:14">
      <c r="A308" s="29">
        <v>44868</v>
      </c>
      <c r="B308" s="30">
        <f t="shared" si="37"/>
        <v>11</v>
      </c>
      <c r="C308" s="30">
        <f t="shared" si="40"/>
        <v>3</v>
      </c>
      <c r="D308" s="26">
        <f>MATCH(WEEKDAY(A308),そのた定義!A:A,0)</f>
        <v>6</v>
      </c>
      <c r="E308" s="31" t="str">
        <f t="shared" ca="1" si="41"/>
        <v>木</v>
      </c>
      <c r="F308" s="26">
        <f t="shared" si="42"/>
        <v>0</v>
      </c>
      <c r="G308" s="26">
        <f>IF(ISNA(MATCH(A308,祝日定義!E:E,0)),0,1)</f>
        <v>1</v>
      </c>
      <c r="H308" s="26">
        <f>IF(ISNA(MATCH(B308&amp;"/"&amp;C308,そのた定義!E:E,0)), 0, 1)</f>
        <v>0</v>
      </c>
      <c r="I308" s="23" t="b">
        <f t="shared" si="43"/>
        <v>1</v>
      </c>
      <c r="J308" s="26">
        <v>0</v>
      </c>
      <c r="K308" s="26" t="b">
        <f t="shared" si="38"/>
        <v>0</v>
      </c>
      <c r="L308" s="26" t="b">
        <f t="shared" si="39"/>
        <v>0</v>
      </c>
      <c r="M308" t="b">
        <f t="shared" si="44"/>
        <v>0</v>
      </c>
      <c r="N308" t="b">
        <f t="shared" si="45"/>
        <v>0</v>
      </c>
    </row>
    <row r="309" spans="1:14">
      <c r="A309" s="29">
        <v>44869</v>
      </c>
      <c r="B309" s="30">
        <f t="shared" si="37"/>
        <v>11</v>
      </c>
      <c r="C309" s="30">
        <f t="shared" si="40"/>
        <v>4</v>
      </c>
      <c r="D309" s="26">
        <f>MATCH(WEEKDAY(A309),そのた定義!A:A,0)</f>
        <v>7</v>
      </c>
      <c r="E309" s="26" t="str">
        <f t="shared" ca="1" si="41"/>
        <v>金</v>
      </c>
      <c r="F309" s="26">
        <f t="shared" si="42"/>
        <v>0</v>
      </c>
      <c r="G309" s="26">
        <f>IF(ISNA(MATCH(A309,祝日定義!E:E,0)),0,1)</f>
        <v>0</v>
      </c>
      <c r="H309" s="26">
        <f>IF(ISNA(MATCH(B309&amp;"/"&amp;C309,そのた定義!E:E,0)), 0, 1)</f>
        <v>0</v>
      </c>
      <c r="I309" s="26" t="b">
        <f t="shared" si="43"/>
        <v>0</v>
      </c>
      <c r="J309" s="26">
        <v>1</v>
      </c>
      <c r="K309" s="26" t="b">
        <f t="shared" si="38"/>
        <v>0</v>
      </c>
      <c r="L309" s="26" t="b">
        <f t="shared" si="39"/>
        <v>0</v>
      </c>
      <c r="M309" t="b">
        <f t="shared" si="44"/>
        <v>0</v>
      </c>
      <c r="N309" t="b">
        <f t="shared" si="45"/>
        <v>0</v>
      </c>
    </row>
    <row r="310" spans="1:14">
      <c r="A310" s="29">
        <v>44870</v>
      </c>
      <c r="B310" s="30">
        <f t="shared" si="37"/>
        <v>11</v>
      </c>
      <c r="C310" s="30">
        <f t="shared" si="40"/>
        <v>5</v>
      </c>
      <c r="D310" s="26">
        <f>MATCH(WEEKDAY(A310),そのた定義!A:A,0)</f>
        <v>8</v>
      </c>
      <c r="E310" s="33" t="str">
        <f t="shared" ca="1" si="41"/>
        <v>土</v>
      </c>
      <c r="F310" s="26">
        <f t="shared" si="42"/>
        <v>1</v>
      </c>
      <c r="G310" s="26">
        <f>IF(ISNA(MATCH(A310,祝日定義!E:E,0)),0,1)</f>
        <v>0</v>
      </c>
      <c r="H310" s="26">
        <f>IF(ISNA(MATCH(B310&amp;"/"&amp;C310,そのた定義!E:E,0)), 0, 1)</f>
        <v>0</v>
      </c>
      <c r="I310" s="23" t="b">
        <f t="shared" si="43"/>
        <v>1</v>
      </c>
      <c r="J310" s="26">
        <v>0</v>
      </c>
      <c r="K310" s="26" t="b">
        <f t="shared" si="38"/>
        <v>0</v>
      </c>
      <c r="L310" s="26" t="b">
        <f t="shared" si="39"/>
        <v>0</v>
      </c>
      <c r="M310" t="b">
        <f t="shared" si="44"/>
        <v>0</v>
      </c>
      <c r="N310" t="b">
        <f t="shared" si="45"/>
        <v>0</v>
      </c>
    </row>
    <row r="311" spans="1:14">
      <c r="A311" s="29">
        <v>44871</v>
      </c>
      <c r="B311" s="30">
        <f t="shared" si="37"/>
        <v>11</v>
      </c>
      <c r="C311" s="30">
        <f t="shared" si="40"/>
        <v>6</v>
      </c>
      <c r="D311" s="26">
        <f>MATCH(WEEKDAY(A311),そのた定義!A:A,0)</f>
        <v>2</v>
      </c>
      <c r="E311" s="32" t="str">
        <f t="shared" ca="1" si="41"/>
        <v>日</v>
      </c>
      <c r="F311" s="26">
        <f t="shared" si="42"/>
        <v>1</v>
      </c>
      <c r="G311" s="26">
        <f>IF(ISNA(MATCH(A311,祝日定義!E:E,0)),0,1)</f>
        <v>0</v>
      </c>
      <c r="H311" s="26">
        <f>IF(ISNA(MATCH(B311&amp;"/"&amp;C311,そのた定義!E:E,0)), 0, 1)</f>
        <v>0</v>
      </c>
      <c r="I311" s="23" t="b">
        <f t="shared" si="43"/>
        <v>1</v>
      </c>
      <c r="J311" s="26">
        <v>0</v>
      </c>
      <c r="K311" s="26" t="b">
        <f t="shared" si="38"/>
        <v>0</v>
      </c>
      <c r="L311" s="26" t="b">
        <f t="shared" si="39"/>
        <v>0</v>
      </c>
      <c r="M311" t="b">
        <f t="shared" si="44"/>
        <v>0</v>
      </c>
      <c r="N311" t="b">
        <f t="shared" si="45"/>
        <v>0</v>
      </c>
    </row>
    <row r="312" spans="1:14">
      <c r="A312" s="29">
        <v>44872</v>
      </c>
      <c r="B312" s="30">
        <f t="shared" si="37"/>
        <v>11</v>
      </c>
      <c r="C312" s="30">
        <f t="shared" si="40"/>
        <v>7</v>
      </c>
      <c r="D312" s="26">
        <f>MATCH(WEEKDAY(A312),そのた定義!A:A,0)</f>
        <v>3</v>
      </c>
      <c r="E312" s="26" t="str">
        <f t="shared" ca="1" si="41"/>
        <v>月</v>
      </c>
      <c r="F312" s="26">
        <f t="shared" si="42"/>
        <v>0</v>
      </c>
      <c r="G312" s="26">
        <f>IF(ISNA(MATCH(A312,祝日定義!E:E,0)),0,1)</f>
        <v>0</v>
      </c>
      <c r="H312" s="26">
        <f>IF(ISNA(MATCH(B312&amp;"/"&amp;C312,そのた定義!E:E,0)), 0, 1)</f>
        <v>0</v>
      </c>
      <c r="I312" s="26" t="b">
        <f t="shared" si="43"/>
        <v>0</v>
      </c>
      <c r="J312" s="26">
        <v>2</v>
      </c>
      <c r="K312" s="26" t="b">
        <f t="shared" si="38"/>
        <v>0</v>
      </c>
      <c r="L312" s="26" t="b">
        <f t="shared" si="39"/>
        <v>0</v>
      </c>
      <c r="M312" t="b">
        <f t="shared" si="44"/>
        <v>0</v>
      </c>
      <c r="N312" t="b">
        <f t="shared" si="45"/>
        <v>0</v>
      </c>
    </row>
    <row r="313" spans="1:14">
      <c r="A313" s="29">
        <v>44873</v>
      </c>
      <c r="B313" s="30">
        <f t="shared" si="37"/>
        <v>11</v>
      </c>
      <c r="C313" s="30">
        <f t="shared" si="40"/>
        <v>8</v>
      </c>
      <c r="D313" s="26">
        <f>MATCH(WEEKDAY(A313),そのた定義!A:A,0)</f>
        <v>4</v>
      </c>
      <c r="E313" s="26" t="str">
        <f t="shared" ca="1" si="41"/>
        <v>火</v>
      </c>
      <c r="F313" s="26">
        <f t="shared" si="42"/>
        <v>0</v>
      </c>
      <c r="G313" s="26">
        <f>IF(ISNA(MATCH(A313,祝日定義!E:E,0)),0,1)</f>
        <v>0</v>
      </c>
      <c r="H313" s="26">
        <f>IF(ISNA(MATCH(B313&amp;"/"&amp;C313,そのた定義!E:E,0)), 0, 1)</f>
        <v>0</v>
      </c>
      <c r="I313" s="26" t="b">
        <f t="shared" si="43"/>
        <v>0</v>
      </c>
      <c r="J313" s="26">
        <v>0</v>
      </c>
      <c r="K313" s="26" t="b">
        <f t="shared" si="38"/>
        <v>0</v>
      </c>
      <c r="L313" s="26" t="b">
        <f t="shared" si="39"/>
        <v>0</v>
      </c>
      <c r="M313" t="b">
        <f t="shared" si="44"/>
        <v>0</v>
      </c>
      <c r="N313" t="b">
        <f t="shared" si="45"/>
        <v>0</v>
      </c>
    </row>
    <row r="314" spans="1:14">
      <c r="A314" s="29">
        <v>44874</v>
      </c>
      <c r="B314" s="30">
        <f t="shared" si="37"/>
        <v>11</v>
      </c>
      <c r="C314" s="30">
        <f t="shared" si="40"/>
        <v>9</v>
      </c>
      <c r="D314" s="26">
        <f>MATCH(WEEKDAY(A314),そのた定義!A:A,0)</f>
        <v>5</v>
      </c>
      <c r="E314" s="26" t="str">
        <f t="shared" ca="1" si="41"/>
        <v>水</v>
      </c>
      <c r="F314" s="26">
        <f t="shared" si="42"/>
        <v>0</v>
      </c>
      <c r="G314" s="26">
        <f>IF(ISNA(MATCH(A314,祝日定義!E:E,0)),0,1)</f>
        <v>0</v>
      </c>
      <c r="H314" s="26">
        <f>IF(ISNA(MATCH(B314&amp;"/"&amp;C314,そのた定義!E:E,0)), 0, 1)</f>
        <v>0</v>
      </c>
      <c r="I314" s="26" t="b">
        <f t="shared" si="43"/>
        <v>0</v>
      </c>
      <c r="J314" s="26">
        <v>0</v>
      </c>
      <c r="K314" s="26" t="b">
        <f t="shared" si="38"/>
        <v>0</v>
      </c>
      <c r="L314" s="26" t="b">
        <f t="shared" si="39"/>
        <v>0</v>
      </c>
      <c r="M314" t="b">
        <f t="shared" si="44"/>
        <v>0</v>
      </c>
      <c r="N314" t="b">
        <f t="shared" si="45"/>
        <v>0</v>
      </c>
    </row>
    <row r="315" spans="1:14">
      <c r="A315" s="29">
        <v>44875</v>
      </c>
      <c r="B315" s="30">
        <f t="shared" si="37"/>
        <v>11</v>
      </c>
      <c r="C315" s="30">
        <f t="shared" si="40"/>
        <v>10</v>
      </c>
      <c r="D315" s="26">
        <f>MATCH(WEEKDAY(A315),そのた定義!A:A,0)</f>
        <v>6</v>
      </c>
      <c r="E315" s="26" t="str">
        <f t="shared" ca="1" si="41"/>
        <v>木</v>
      </c>
      <c r="F315" s="26">
        <f t="shared" si="42"/>
        <v>0</v>
      </c>
      <c r="G315" s="26">
        <f>IF(ISNA(MATCH(A315,祝日定義!E:E,0)),0,1)</f>
        <v>0</v>
      </c>
      <c r="H315" s="26">
        <f>IF(ISNA(MATCH(B315&amp;"/"&amp;C315,そのた定義!E:E,0)), 0, 1)</f>
        <v>0</v>
      </c>
      <c r="I315" s="26" t="b">
        <f t="shared" si="43"/>
        <v>0</v>
      </c>
      <c r="J315" s="26">
        <v>0</v>
      </c>
      <c r="K315" s="26" t="b">
        <f t="shared" si="38"/>
        <v>0</v>
      </c>
      <c r="L315" s="26" t="b">
        <f t="shared" si="39"/>
        <v>0</v>
      </c>
      <c r="M315" t="b">
        <f t="shared" si="44"/>
        <v>0</v>
      </c>
      <c r="N315" t="b">
        <f t="shared" si="45"/>
        <v>0</v>
      </c>
    </row>
    <row r="316" spans="1:14">
      <c r="A316" s="29">
        <v>44876</v>
      </c>
      <c r="B316" s="30">
        <f t="shared" si="37"/>
        <v>11</v>
      </c>
      <c r="C316" s="30">
        <f t="shared" si="40"/>
        <v>11</v>
      </c>
      <c r="D316" s="26">
        <f>MATCH(WEEKDAY(A316),そのた定義!A:A,0)</f>
        <v>7</v>
      </c>
      <c r="E316" s="26" t="str">
        <f t="shared" ca="1" si="41"/>
        <v>金</v>
      </c>
      <c r="F316" s="26">
        <f t="shared" si="42"/>
        <v>0</v>
      </c>
      <c r="G316" s="26">
        <f>IF(ISNA(MATCH(A316,祝日定義!E:E,0)),0,1)</f>
        <v>0</v>
      </c>
      <c r="H316" s="26">
        <f>IF(ISNA(MATCH(B316&amp;"/"&amp;C316,そのた定義!E:E,0)), 0, 1)</f>
        <v>0</v>
      </c>
      <c r="I316" s="26" t="b">
        <f t="shared" si="43"/>
        <v>0</v>
      </c>
      <c r="J316" s="26">
        <v>0</v>
      </c>
      <c r="K316" s="26" t="b">
        <f t="shared" si="38"/>
        <v>0</v>
      </c>
      <c r="L316" s="26" t="b">
        <f t="shared" si="39"/>
        <v>0</v>
      </c>
      <c r="M316" t="b">
        <f t="shared" si="44"/>
        <v>0</v>
      </c>
      <c r="N316" t="b">
        <f t="shared" si="45"/>
        <v>0</v>
      </c>
    </row>
    <row r="317" spans="1:14">
      <c r="A317" s="29">
        <v>44877</v>
      </c>
      <c r="B317" s="30">
        <f t="shared" si="37"/>
        <v>11</v>
      </c>
      <c r="C317" s="30">
        <f t="shared" si="40"/>
        <v>12</v>
      </c>
      <c r="D317" s="26">
        <f>MATCH(WEEKDAY(A317),そのた定義!A:A,0)</f>
        <v>8</v>
      </c>
      <c r="E317" s="33" t="str">
        <f t="shared" ca="1" si="41"/>
        <v>土</v>
      </c>
      <c r="F317" s="26">
        <f t="shared" si="42"/>
        <v>1</v>
      </c>
      <c r="G317" s="26">
        <f>IF(ISNA(MATCH(A317,祝日定義!E:E,0)),0,1)</f>
        <v>0</v>
      </c>
      <c r="H317" s="26">
        <f>IF(ISNA(MATCH(B317&amp;"/"&amp;C317,そのた定義!E:E,0)), 0, 1)</f>
        <v>0</v>
      </c>
      <c r="I317" s="23" t="b">
        <f t="shared" si="43"/>
        <v>1</v>
      </c>
      <c r="J317" s="26">
        <v>0</v>
      </c>
      <c r="K317" s="26" t="b">
        <f t="shared" si="38"/>
        <v>0</v>
      </c>
      <c r="L317" s="26" t="b">
        <f t="shared" si="39"/>
        <v>0</v>
      </c>
      <c r="M317" t="b">
        <f t="shared" si="44"/>
        <v>0</v>
      </c>
      <c r="N317" t="b">
        <f t="shared" si="45"/>
        <v>0</v>
      </c>
    </row>
    <row r="318" spans="1:14">
      <c r="A318" s="29">
        <v>44878</v>
      </c>
      <c r="B318" s="30">
        <f t="shared" si="37"/>
        <v>11</v>
      </c>
      <c r="C318" s="30">
        <f t="shared" si="40"/>
        <v>13</v>
      </c>
      <c r="D318" s="26">
        <f>MATCH(WEEKDAY(A318),そのた定義!A:A,0)</f>
        <v>2</v>
      </c>
      <c r="E318" s="32" t="str">
        <f t="shared" ca="1" si="41"/>
        <v>日</v>
      </c>
      <c r="F318" s="26">
        <f t="shared" si="42"/>
        <v>1</v>
      </c>
      <c r="G318" s="26">
        <f>IF(ISNA(MATCH(A318,祝日定義!E:E,0)),0,1)</f>
        <v>0</v>
      </c>
      <c r="H318" s="26">
        <f>IF(ISNA(MATCH(B318&amp;"/"&amp;C318,そのた定義!E:E,0)), 0, 1)</f>
        <v>0</v>
      </c>
      <c r="I318" s="23" t="b">
        <f t="shared" si="43"/>
        <v>1</v>
      </c>
      <c r="J318" s="26">
        <v>0</v>
      </c>
      <c r="K318" s="26" t="b">
        <f t="shared" si="38"/>
        <v>0</v>
      </c>
      <c r="L318" s="26" t="b">
        <f t="shared" si="39"/>
        <v>0</v>
      </c>
      <c r="M318" t="b">
        <f t="shared" si="44"/>
        <v>0</v>
      </c>
      <c r="N318" t="b">
        <f t="shared" si="45"/>
        <v>0</v>
      </c>
    </row>
    <row r="319" spans="1:14">
      <c r="A319" s="29">
        <v>44879</v>
      </c>
      <c r="B319" s="30">
        <f t="shared" si="37"/>
        <v>11</v>
      </c>
      <c r="C319" s="30">
        <f t="shared" si="40"/>
        <v>14</v>
      </c>
      <c r="D319" s="26">
        <f>MATCH(WEEKDAY(A319),そのた定義!A:A,0)</f>
        <v>3</v>
      </c>
      <c r="E319" s="26" t="str">
        <f t="shared" ca="1" si="41"/>
        <v>月</v>
      </c>
      <c r="F319" s="26">
        <f t="shared" si="42"/>
        <v>0</v>
      </c>
      <c r="G319" s="26">
        <f>IF(ISNA(MATCH(A319,祝日定義!E:E,0)),0,1)</f>
        <v>0</v>
      </c>
      <c r="H319" s="26">
        <f>IF(ISNA(MATCH(B319&amp;"/"&amp;C319,そのた定義!E:E,0)), 0, 1)</f>
        <v>0</v>
      </c>
      <c r="I319" s="26" t="b">
        <f t="shared" si="43"/>
        <v>0</v>
      </c>
      <c r="J319" s="26">
        <v>2</v>
      </c>
      <c r="K319" s="26" t="b">
        <f t="shared" si="38"/>
        <v>0</v>
      </c>
      <c r="L319" s="26" t="b">
        <f t="shared" si="39"/>
        <v>0</v>
      </c>
      <c r="M319" t="b">
        <f t="shared" si="44"/>
        <v>0</v>
      </c>
      <c r="N319" t="b">
        <f t="shared" si="45"/>
        <v>0</v>
      </c>
    </row>
    <row r="320" spans="1:14">
      <c r="A320" s="29">
        <v>44880</v>
      </c>
      <c r="B320" s="30">
        <f t="shared" si="37"/>
        <v>11</v>
      </c>
      <c r="C320" s="30">
        <f t="shared" si="40"/>
        <v>15</v>
      </c>
      <c r="D320" s="26">
        <f>MATCH(WEEKDAY(A320),そのた定義!A:A,0)</f>
        <v>4</v>
      </c>
      <c r="E320" s="26" t="str">
        <f t="shared" ca="1" si="41"/>
        <v>火</v>
      </c>
      <c r="F320" s="26">
        <f t="shared" si="42"/>
        <v>0</v>
      </c>
      <c r="G320" s="26">
        <f>IF(ISNA(MATCH(A320,祝日定義!E:E,0)),0,1)</f>
        <v>0</v>
      </c>
      <c r="H320" s="26">
        <f>IF(ISNA(MATCH(B320&amp;"/"&amp;C320,そのた定義!E:E,0)), 0, 1)</f>
        <v>0</v>
      </c>
      <c r="I320" s="26" t="b">
        <f t="shared" si="43"/>
        <v>0</v>
      </c>
      <c r="J320" s="26">
        <v>0</v>
      </c>
      <c r="K320" s="26" t="b">
        <f t="shared" si="38"/>
        <v>0</v>
      </c>
      <c r="L320" s="26" t="b">
        <f t="shared" si="39"/>
        <v>0</v>
      </c>
      <c r="M320" t="b">
        <f t="shared" si="44"/>
        <v>0</v>
      </c>
      <c r="N320" t="b">
        <f t="shared" si="45"/>
        <v>0</v>
      </c>
    </row>
    <row r="321" spans="1:14">
      <c r="A321" s="29">
        <v>44881</v>
      </c>
      <c r="B321" s="30">
        <f t="shared" si="37"/>
        <v>11</v>
      </c>
      <c r="C321" s="30">
        <f t="shared" si="40"/>
        <v>16</v>
      </c>
      <c r="D321" s="26">
        <f>MATCH(WEEKDAY(A321),そのた定義!A:A,0)</f>
        <v>5</v>
      </c>
      <c r="E321" s="26" t="str">
        <f t="shared" ca="1" si="41"/>
        <v>水</v>
      </c>
      <c r="F321" s="26">
        <f t="shared" si="42"/>
        <v>0</v>
      </c>
      <c r="G321" s="26">
        <f>IF(ISNA(MATCH(A321,祝日定義!E:E,0)),0,1)</f>
        <v>0</v>
      </c>
      <c r="H321" s="26">
        <f>IF(ISNA(MATCH(B321&amp;"/"&amp;C321,そのた定義!E:E,0)), 0, 1)</f>
        <v>0</v>
      </c>
      <c r="I321" s="26" t="b">
        <f t="shared" si="43"/>
        <v>0</v>
      </c>
      <c r="J321" s="26">
        <v>0</v>
      </c>
      <c r="K321" s="26" t="b">
        <f t="shared" si="38"/>
        <v>0</v>
      </c>
      <c r="L321" s="26" t="b">
        <f t="shared" si="39"/>
        <v>0</v>
      </c>
      <c r="M321" t="b">
        <f t="shared" si="44"/>
        <v>0</v>
      </c>
      <c r="N321" t="b">
        <f t="shared" si="45"/>
        <v>0</v>
      </c>
    </row>
    <row r="322" spans="1:14">
      <c r="A322" s="29">
        <v>44882</v>
      </c>
      <c r="B322" s="30">
        <f t="shared" ref="B322:B385" si="46">MONTH(A322)</f>
        <v>11</v>
      </c>
      <c r="C322" s="30">
        <f t="shared" si="40"/>
        <v>17</v>
      </c>
      <c r="D322" s="26">
        <f>MATCH(WEEKDAY(A322),そのた定義!A:A,0)</f>
        <v>6</v>
      </c>
      <c r="E322" s="26" t="str">
        <f t="shared" ca="1" si="41"/>
        <v>木</v>
      </c>
      <c r="F322" s="26">
        <f t="shared" si="42"/>
        <v>0</v>
      </c>
      <c r="G322" s="26">
        <f>IF(ISNA(MATCH(A322,祝日定義!E:E,0)),0,1)</f>
        <v>0</v>
      </c>
      <c r="H322" s="26">
        <f>IF(ISNA(MATCH(B322&amp;"/"&amp;C322,そのた定義!E:E,0)), 0, 1)</f>
        <v>0</v>
      </c>
      <c r="I322" s="26" t="b">
        <f t="shared" si="43"/>
        <v>0</v>
      </c>
      <c r="J322" s="26">
        <v>0</v>
      </c>
      <c r="K322" s="26" t="b">
        <f t="shared" ref="K322:K385" si="47">AND(C322&gt;25,DAY(A322-J322)&lt;=25)</f>
        <v>0</v>
      </c>
      <c r="L322" s="26" t="b">
        <f t="shared" ref="L322:L385" si="48">C322=25</f>
        <v>0</v>
      </c>
      <c r="M322" t="b">
        <f t="shared" si="44"/>
        <v>0</v>
      </c>
      <c r="N322" t="b">
        <f t="shared" si="45"/>
        <v>0</v>
      </c>
    </row>
    <row r="323" spans="1:14">
      <c r="A323" s="29">
        <v>44883</v>
      </c>
      <c r="B323" s="30">
        <f t="shared" si="46"/>
        <v>11</v>
      </c>
      <c r="C323" s="30">
        <f t="shared" ref="C323:C386" si="49">DAY(A323)</f>
        <v>18</v>
      </c>
      <c r="D323" s="26">
        <f>MATCH(WEEKDAY(A323),そのた定義!A:A,0)</f>
        <v>7</v>
      </c>
      <c r="E323" s="26" t="str">
        <f t="shared" ref="E323:E386" ca="1" si="50">INDIRECT("そのた定義!"&amp;"B"&amp;D323)</f>
        <v>金</v>
      </c>
      <c r="F323" s="26">
        <f t="shared" ref="F323:F386" si="51">IF(OR(D323=8,D323=2),1,0)</f>
        <v>0</v>
      </c>
      <c r="G323" s="26">
        <f>IF(ISNA(MATCH(A323,祝日定義!E:E,0)),0,1)</f>
        <v>0</v>
      </c>
      <c r="H323" s="26">
        <f>IF(ISNA(MATCH(B323&amp;"/"&amp;C323,そのた定義!E:E,0)), 0, 1)</f>
        <v>0</v>
      </c>
      <c r="I323" s="26" t="b">
        <f t="shared" ref="I323:I386" si="52">SUM(F323:H323)&gt;0</f>
        <v>0</v>
      </c>
      <c r="J323" s="26">
        <v>0</v>
      </c>
      <c r="K323" s="26" t="b">
        <f t="shared" si="47"/>
        <v>0</v>
      </c>
      <c r="L323" s="26" t="b">
        <f t="shared" si="48"/>
        <v>0</v>
      </c>
      <c r="M323" t="b">
        <f t="shared" ref="M323:M386" si="53">B323&lt;&gt;MONTH(A323-J323)</f>
        <v>0</v>
      </c>
      <c r="N323" t="b">
        <f t="shared" ref="N323:N386" si="54">B323&lt;&gt;MONTH(A323+1)</f>
        <v>0</v>
      </c>
    </row>
    <row r="324" spans="1:14">
      <c r="A324" s="29">
        <v>44884</v>
      </c>
      <c r="B324" s="30">
        <f t="shared" si="46"/>
        <v>11</v>
      </c>
      <c r="C324" s="30">
        <f t="shared" si="49"/>
        <v>19</v>
      </c>
      <c r="D324" s="26">
        <f>MATCH(WEEKDAY(A324),そのた定義!A:A,0)</f>
        <v>8</v>
      </c>
      <c r="E324" s="33" t="str">
        <f t="shared" ca="1" si="50"/>
        <v>土</v>
      </c>
      <c r="F324" s="26">
        <f t="shared" si="51"/>
        <v>1</v>
      </c>
      <c r="G324" s="26">
        <f>IF(ISNA(MATCH(A324,祝日定義!E:E,0)),0,1)</f>
        <v>0</v>
      </c>
      <c r="H324" s="26">
        <f>IF(ISNA(MATCH(B324&amp;"/"&amp;C324,そのた定義!E:E,0)), 0, 1)</f>
        <v>0</v>
      </c>
      <c r="I324" s="23" t="b">
        <f t="shared" si="52"/>
        <v>1</v>
      </c>
      <c r="J324" s="26">
        <v>0</v>
      </c>
      <c r="K324" s="26" t="b">
        <f t="shared" si="47"/>
        <v>0</v>
      </c>
      <c r="L324" s="26" t="b">
        <f t="shared" si="48"/>
        <v>0</v>
      </c>
      <c r="M324" t="b">
        <f t="shared" si="53"/>
        <v>0</v>
      </c>
      <c r="N324" t="b">
        <f t="shared" si="54"/>
        <v>0</v>
      </c>
    </row>
    <row r="325" spans="1:14">
      <c r="A325" s="29">
        <v>44885</v>
      </c>
      <c r="B325" s="30">
        <f t="shared" si="46"/>
        <v>11</v>
      </c>
      <c r="C325" s="30">
        <f t="shared" si="49"/>
        <v>20</v>
      </c>
      <c r="D325" s="26">
        <f>MATCH(WEEKDAY(A325),そのた定義!A:A,0)</f>
        <v>2</v>
      </c>
      <c r="E325" s="32" t="str">
        <f t="shared" ca="1" si="50"/>
        <v>日</v>
      </c>
      <c r="F325" s="26">
        <f t="shared" si="51"/>
        <v>1</v>
      </c>
      <c r="G325" s="26">
        <f>IF(ISNA(MATCH(A325,祝日定義!E:E,0)),0,1)</f>
        <v>0</v>
      </c>
      <c r="H325" s="26">
        <f>IF(ISNA(MATCH(B325&amp;"/"&amp;C325,そのた定義!E:E,0)), 0, 1)</f>
        <v>0</v>
      </c>
      <c r="I325" s="23" t="b">
        <f t="shared" si="52"/>
        <v>1</v>
      </c>
      <c r="J325" s="26">
        <v>0</v>
      </c>
      <c r="K325" s="26" t="b">
        <f t="shared" si="47"/>
        <v>0</v>
      </c>
      <c r="L325" s="26" t="b">
        <f t="shared" si="48"/>
        <v>0</v>
      </c>
      <c r="M325" t="b">
        <f t="shared" si="53"/>
        <v>0</v>
      </c>
      <c r="N325" t="b">
        <f t="shared" si="54"/>
        <v>0</v>
      </c>
    </row>
    <row r="326" spans="1:14">
      <c r="A326" s="29">
        <v>44886</v>
      </c>
      <c r="B326" s="30">
        <f t="shared" si="46"/>
        <v>11</v>
      </c>
      <c r="C326" s="30">
        <f t="shared" si="49"/>
        <v>21</v>
      </c>
      <c r="D326" s="26">
        <f>MATCH(WEEKDAY(A326),そのた定義!A:A,0)</f>
        <v>3</v>
      </c>
      <c r="E326" s="26" t="str">
        <f t="shared" ca="1" si="50"/>
        <v>月</v>
      </c>
      <c r="F326" s="26">
        <f t="shared" si="51"/>
        <v>0</v>
      </c>
      <c r="G326" s="26">
        <f>IF(ISNA(MATCH(A326,祝日定義!E:E,0)),0,1)</f>
        <v>0</v>
      </c>
      <c r="H326" s="26">
        <f>IF(ISNA(MATCH(B326&amp;"/"&amp;C326,そのた定義!E:E,0)), 0, 1)</f>
        <v>0</v>
      </c>
      <c r="I326" s="26" t="b">
        <f t="shared" si="52"/>
        <v>0</v>
      </c>
      <c r="J326" s="26">
        <v>2</v>
      </c>
      <c r="K326" s="26" t="b">
        <f t="shared" si="47"/>
        <v>0</v>
      </c>
      <c r="L326" s="26" t="b">
        <f t="shared" si="48"/>
        <v>0</v>
      </c>
      <c r="M326" t="b">
        <f t="shared" si="53"/>
        <v>0</v>
      </c>
      <c r="N326" t="b">
        <f t="shared" si="54"/>
        <v>0</v>
      </c>
    </row>
    <row r="327" spans="1:14">
      <c r="A327" s="29">
        <v>44887</v>
      </c>
      <c r="B327" s="30">
        <f t="shared" si="46"/>
        <v>11</v>
      </c>
      <c r="C327" s="30">
        <f t="shared" si="49"/>
        <v>22</v>
      </c>
      <c r="D327" s="26">
        <f>MATCH(WEEKDAY(A327),そのた定義!A:A,0)</f>
        <v>4</v>
      </c>
      <c r="E327" s="26" t="str">
        <f t="shared" ca="1" si="50"/>
        <v>火</v>
      </c>
      <c r="F327" s="26">
        <f t="shared" si="51"/>
        <v>0</v>
      </c>
      <c r="G327" s="26">
        <f>IF(ISNA(MATCH(A327,祝日定義!E:E,0)),0,1)</f>
        <v>0</v>
      </c>
      <c r="H327" s="26">
        <f>IF(ISNA(MATCH(B327&amp;"/"&amp;C327,そのた定義!E:E,0)), 0, 1)</f>
        <v>0</v>
      </c>
      <c r="I327" s="26" t="b">
        <f t="shared" si="52"/>
        <v>0</v>
      </c>
      <c r="J327" s="26">
        <v>0</v>
      </c>
      <c r="K327" s="26" t="b">
        <f t="shared" si="47"/>
        <v>0</v>
      </c>
      <c r="L327" s="26" t="b">
        <f t="shared" si="48"/>
        <v>0</v>
      </c>
      <c r="M327" t="b">
        <f t="shared" si="53"/>
        <v>0</v>
      </c>
      <c r="N327" t="b">
        <f t="shared" si="54"/>
        <v>0</v>
      </c>
    </row>
    <row r="328" spans="1:14">
      <c r="A328" s="29">
        <v>44888</v>
      </c>
      <c r="B328" s="30">
        <f t="shared" si="46"/>
        <v>11</v>
      </c>
      <c r="C328" s="30">
        <f t="shared" si="49"/>
        <v>23</v>
      </c>
      <c r="D328" s="26">
        <f>MATCH(WEEKDAY(A328),そのた定義!A:A,0)</f>
        <v>5</v>
      </c>
      <c r="E328" s="31" t="str">
        <f t="shared" ca="1" si="50"/>
        <v>水</v>
      </c>
      <c r="F328" s="26">
        <f t="shared" si="51"/>
        <v>0</v>
      </c>
      <c r="G328" s="26">
        <f>IF(ISNA(MATCH(A328,祝日定義!E:E,0)),0,1)</f>
        <v>1</v>
      </c>
      <c r="H328" s="26">
        <f>IF(ISNA(MATCH(B328&amp;"/"&amp;C328,そのた定義!E:E,0)), 0, 1)</f>
        <v>0</v>
      </c>
      <c r="I328" s="23" t="b">
        <f t="shared" si="52"/>
        <v>1</v>
      </c>
      <c r="J328" s="26">
        <v>0</v>
      </c>
      <c r="K328" s="26" t="b">
        <f t="shared" si="47"/>
        <v>0</v>
      </c>
      <c r="L328" s="26" t="b">
        <f t="shared" si="48"/>
        <v>0</v>
      </c>
      <c r="M328" t="b">
        <f t="shared" si="53"/>
        <v>0</v>
      </c>
      <c r="N328" t="b">
        <f t="shared" si="54"/>
        <v>0</v>
      </c>
    </row>
    <row r="329" spans="1:14">
      <c r="A329" s="29">
        <v>44889</v>
      </c>
      <c r="B329" s="30">
        <f t="shared" si="46"/>
        <v>11</v>
      </c>
      <c r="C329" s="30">
        <f t="shared" si="49"/>
        <v>24</v>
      </c>
      <c r="D329" s="26">
        <f>MATCH(WEEKDAY(A329),そのた定義!A:A,0)</f>
        <v>6</v>
      </c>
      <c r="E329" s="26" t="str">
        <f t="shared" ca="1" si="50"/>
        <v>木</v>
      </c>
      <c r="F329" s="26">
        <f t="shared" si="51"/>
        <v>0</v>
      </c>
      <c r="G329" s="26">
        <f>IF(ISNA(MATCH(A329,祝日定義!E:E,0)),0,1)</f>
        <v>0</v>
      </c>
      <c r="H329" s="26">
        <f>IF(ISNA(MATCH(B329&amp;"/"&amp;C329,そのた定義!E:E,0)), 0, 1)</f>
        <v>0</v>
      </c>
      <c r="I329" s="26" t="b">
        <f t="shared" si="52"/>
        <v>0</v>
      </c>
      <c r="J329" s="26">
        <v>1</v>
      </c>
      <c r="K329" s="26" t="b">
        <f t="shared" si="47"/>
        <v>0</v>
      </c>
      <c r="L329" s="26" t="b">
        <f t="shared" si="48"/>
        <v>0</v>
      </c>
      <c r="M329" t="b">
        <f t="shared" si="53"/>
        <v>0</v>
      </c>
      <c r="N329" t="b">
        <f t="shared" si="54"/>
        <v>0</v>
      </c>
    </row>
    <row r="330" spans="1:14">
      <c r="A330" s="29">
        <v>44890</v>
      </c>
      <c r="B330" s="30">
        <f t="shared" si="46"/>
        <v>11</v>
      </c>
      <c r="C330" s="30">
        <f t="shared" si="49"/>
        <v>25</v>
      </c>
      <c r="D330" s="26">
        <f>MATCH(WEEKDAY(A330),そのた定義!A:A,0)</f>
        <v>7</v>
      </c>
      <c r="E330" s="26" t="str">
        <f t="shared" ca="1" si="50"/>
        <v>金</v>
      </c>
      <c r="F330" s="26">
        <f t="shared" si="51"/>
        <v>0</v>
      </c>
      <c r="G330" s="26">
        <f>IF(ISNA(MATCH(A330,祝日定義!E:E,0)),0,1)</f>
        <v>0</v>
      </c>
      <c r="H330" s="26">
        <f>IF(ISNA(MATCH(B330&amp;"/"&amp;C330,そのた定義!E:E,0)), 0, 1)</f>
        <v>0</v>
      </c>
      <c r="I330" s="26" t="b">
        <f t="shared" si="52"/>
        <v>0</v>
      </c>
      <c r="J330" s="26">
        <v>0</v>
      </c>
      <c r="K330" s="26" t="b">
        <f t="shared" si="47"/>
        <v>0</v>
      </c>
      <c r="L330" s="23" t="b">
        <f t="shared" si="48"/>
        <v>1</v>
      </c>
      <c r="M330" t="b">
        <f t="shared" si="53"/>
        <v>0</v>
      </c>
      <c r="N330" t="b">
        <f t="shared" si="54"/>
        <v>0</v>
      </c>
    </row>
    <row r="331" spans="1:14">
      <c r="A331" s="29">
        <v>44891</v>
      </c>
      <c r="B331" s="30">
        <f t="shared" si="46"/>
        <v>11</v>
      </c>
      <c r="C331" s="30">
        <f t="shared" si="49"/>
        <v>26</v>
      </c>
      <c r="D331" s="26">
        <f>MATCH(WEEKDAY(A331),そのた定義!A:A,0)</f>
        <v>8</v>
      </c>
      <c r="E331" s="33" t="str">
        <f t="shared" ca="1" si="50"/>
        <v>土</v>
      </c>
      <c r="F331" s="26">
        <f t="shared" si="51"/>
        <v>1</v>
      </c>
      <c r="G331" s="26">
        <f>IF(ISNA(MATCH(A331,祝日定義!E:E,0)),0,1)</f>
        <v>0</v>
      </c>
      <c r="H331" s="26">
        <f>IF(ISNA(MATCH(B331&amp;"/"&amp;C331,そのた定義!E:E,0)), 0, 1)</f>
        <v>0</v>
      </c>
      <c r="I331" s="23" t="b">
        <f t="shared" si="52"/>
        <v>1</v>
      </c>
      <c r="J331" s="26">
        <v>0</v>
      </c>
      <c r="K331" s="26" t="b">
        <f t="shared" si="47"/>
        <v>0</v>
      </c>
      <c r="L331" s="26" t="b">
        <f t="shared" si="48"/>
        <v>0</v>
      </c>
      <c r="M331" t="b">
        <f t="shared" si="53"/>
        <v>0</v>
      </c>
      <c r="N331" t="b">
        <f t="shared" si="54"/>
        <v>0</v>
      </c>
    </row>
    <row r="332" spans="1:14">
      <c r="A332" s="29">
        <v>44892</v>
      </c>
      <c r="B332" s="30">
        <f t="shared" si="46"/>
        <v>11</v>
      </c>
      <c r="C332" s="30">
        <f t="shared" si="49"/>
        <v>27</v>
      </c>
      <c r="D332" s="26">
        <f>MATCH(WEEKDAY(A332),そのた定義!A:A,0)</f>
        <v>2</v>
      </c>
      <c r="E332" s="32" t="str">
        <f t="shared" ca="1" si="50"/>
        <v>日</v>
      </c>
      <c r="F332" s="26">
        <f t="shared" si="51"/>
        <v>1</v>
      </c>
      <c r="G332" s="26">
        <f>IF(ISNA(MATCH(A332,祝日定義!E:E,0)),0,1)</f>
        <v>0</v>
      </c>
      <c r="H332" s="26">
        <f>IF(ISNA(MATCH(B332&amp;"/"&amp;C332,そのた定義!E:E,0)), 0, 1)</f>
        <v>0</v>
      </c>
      <c r="I332" s="23" t="b">
        <f t="shared" si="52"/>
        <v>1</v>
      </c>
      <c r="J332" s="26">
        <v>0</v>
      </c>
      <c r="K332" s="26" t="b">
        <f t="shared" si="47"/>
        <v>0</v>
      </c>
      <c r="L332" s="26" t="b">
        <f t="shared" si="48"/>
        <v>0</v>
      </c>
      <c r="M332" t="b">
        <f t="shared" si="53"/>
        <v>0</v>
      </c>
      <c r="N332" t="b">
        <f t="shared" si="54"/>
        <v>0</v>
      </c>
    </row>
    <row r="333" spans="1:14">
      <c r="A333" s="29">
        <v>44893</v>
      </c>
      <c r="B333" s="30">
        <f t="shared" si="46"/>
        <v>11</v>
      </c>
      <c r="C333" s="30">
        <f t="shared" si="49"/>
        <v>28</v>
      </c>
      <c r="D333" s="26">
        <f>MATCH(WEEKDAY(A333),そのた定義!A:A,0)</f>
        <v>3</v>
      </c>
      <c r="E333" s="26" t="str">
        <f t="shared" ca="1" si="50"/>
        <v>月</v>
      </c>
      <c r="F333" s="26">
        <f t="shared" si="51"/>
        <v>0</v>
      </c>
      <c r="G333" s="26">
        <f>IF(ISNA(MATCH(A333,祝日定義!E:E,0)),0,1)</f>
        <v>0</v>
      </c>
      <c r="H333" s="26">
        <f>IF(ISNA(MATCH(B333&amp;"/"&amp;C333,そのた定義!E:E,0)), 0, 1)</f>
        <v>0</v>
      </c>
      <c r="I333" s="26" t="b">
        <f t="shared" si="52"/>
        <v>0</v>
      </c>
      <c r="J333" s="26">
        <v>2</v>
      </c>
      <c r="K333" s="26" t="b">
        <f t="shared" si="47"/>
        <v>0</v>
      </c>
      <c r="L333" s="26" t="b">
        <f t="shared" si="48"/>
        <v>0</v>
      </c>
      <c r="M333" t="b">
        <f t="shared" si="53"/>
        <v>0</v>
      </c>
      <c r="N333" t="b">
        <f t="shared" si="54"/>
        <v>0</v>
      </c>
    </row>
    <row r="334" spans="1:14">
      <c r="A334" s="29">
        <v>44894</v>
      </c>
      <c r="B334" s="30">
        <f t="shared" si="46"/>
        <v>11</v>
      </c>
      <c r="C334" s="30">
        <f t="shared" si="49"/>
        <v>29</v>
      </c>
      <c r="D334" s="26">
        <f>MATCH(WEEKDAY(A334),そのた定義!A:A,0)</f>
        <v>4</v>
      </c>
      <c r="E334" s="26" t="str">
        <f t="shared" ca="1" si="50"/>
        <v>火</v>
      </c>
      <c r="F334" s="26">
        <f t="shared" si="51"/>
        <v>0</v>
      </c>
      <c r="G334" s="26">
        <f>IF(ISNA(MATCH(A334,祝日定義!E:E,0)),0,1)</f>
        <v>0</v>
      </c>
      <c r="H334" s="26">
        <f>IF(ISNA(MATCH(B334&amp;"/"&amp;C334,そのた定義!E:E,0)), 0, 1)</f>
        <v>0</v>
      </c>
      <c r="I334" s="26" t="b">
        <f t="shared" si="52"/>
        <v>0</v>
      </c>
      <c r="J334" s="26">
        <v>0</v>
      </c>
      <c r="K334" s="26" t="b">
        <f t="shared" si="47"/>
        <v>0</v>
      </c>
      <c r="L334" s="26" t="b">
        <f t="shared" si="48"/>
        <v>0</v>
      </c>
      <c r="M334" t="b">
        <f t="shared" si="53"/>
        <v>0</v>
      </c>
      <c r="N334" t="b">
        <f t="shared" si="54"/>
        <v>0</v>
      </c>
    </row>
    <row r="335" spans="1:14">
      <c r="A335" s="29">
        <v>44895</v>
      </c>
      <c r="B335" s="30">
        <f t="shared" si="46"/>
        <v>11</v>
      </c>
      <c r="C335" s="30">
        <f t="shared" si="49"/>
        <v>30</v>
      </c>
      <c r="D335" s="26">
        <f>MATCH(WEEKDAY(A335),そのた定義!A:A,0)</f>
        <v>5</v>
      </c>
      <c r="E335" s="26" t="str">
        <f t="shared" ca="1" si="50"/>
        <v>水</v>
      </c>
      <c r="F335" s="26">
        <f t="shared" si="51"/>
        <v>0</v>
      </c>
      <c r="G335" s="26">
        <f>IF(ISNA(MATCH(A335,祝日定義!E:E,0)),0,1)</f>
        <v>0</v>
      </c>
      <c r="H335" s="26">
        <f>IF(ISNA(MATCH(B335&amp;"/"&amp;C335,そのた定義!E:E,0)), 0, 1)</f>
        <v>0</v>
      </c>
      <c r="I335" s="26" t="b">
        <f t="shared" si="52"/>
        <v>0</v>
      </c>
      <c r="J335" s="26">
        <v>0</v>
      </c>
      <c r="K335" s="26" t="b">
        <f t="shared" si="47"/>
        <v>0</v>
      </c>
      <c r="L335" s="26" t="b">
        <f t="shared" si="48"/>
        <v>0</v>
      </c>
      <c r="M335" t="b">
        <f t="shared" si="53"/>
        <v>0</v>
      </c>
      <c r="N335" t="b">
        <f t="shared" si="54"/>
        <v>1</v>
      </c>
    </row>
    <row r="336" spans="1:14">
      <c r="A336" s="29">
        <v>44896</v>
      </c>
      <c r="B336" s="30">
        <f t="shared" si="46"/>
        <v>12</v>
      </c>
      <c r="C336" s="30">
        <f t="shared" si="49"/>
        <v>1</v>
      </c>
      <c r="D336" s="26">
        <f>MATCH(WEEKDAY(A336),そのた定義!A:A,0)</f>
        <v>6</v>
      </c>
      <c r="E336" s="26" t="str">
        <f t="shared" ca="1" si="50"/>
        <v>木</v>
      </c>
      <c r="F336" s="26">
        <f t="shared" si="51"/>
        <v>0</v>
      </c>
      <c r="G336" s="26">
        <f>IF(ISNA(MATCH(A336,祝日定義!E:E,0)),0,1)</f>
        <v>0</v>
      </c>
      <c r="H336" s="26">
        <f>IF(ISNA(MATCH(B336&amp;"/"&amp;C336,そのた定義!E:E,0)), 0, 1)</f>
        <v>0</v>
      </c>
      <c r="I336" s="26" t="b">
        <f t="shared" si="52"/>
        <v>0</v>
      </c>
      <c r="J336" s="26">
        <v>0</v>
      </c>
      <c r="K336" s="26" t="b">
        <f t="shared" si="47"/>
        <v>0</v>
      </c>
      <c r="L336" s="26" t="b">
        <f t="shared" si="48"/>
        <v>0</v>
      </c>
      <c r="M336" t="b">
        <f t="shared" si="53"/>
        <v>0</v>
      </c>
      <c r="N336" t="b">
        <f t="shared" si="54"/>
        <v>0</v>
      </c>
    </row>
    <row r="337" spans="1:14">
      <c r="A337" s="29">
        <v>44897</v>
      </c>
      <c r="B337" s="30">
        <f t="shared" si="46"/>
        <v>12</v>
      </c>
      <c r="C337" s="30">
        <f t="shared" si="49"/>
        <v>2</v>
      </c>
      <c r="D337" s="26">
        <f>MATCH(WEEKDAY(A337),そのた定義!A:A,0)</f>
        <v>7</v>
      </c>
      <c r="E337" s="26" t="str">
        <f t="shared" ca="1" si="50"/>
        <v>金</v>
      </c>
      <c r="F337" s="26">
        <f t="shared" si="51"/>
        <v>0</v>
      </c>
      <c r="G337" s="26">
        <f>IF(ISNA(MATCH(A337,祝日定義!E:E,0)),0,1)</f>
        <v>0</v>
      </c>
      <c r="H337" s="26">
        <f>IF(ISNA(MATCH(B337&amp;"/"&amp;C337,そのた定義!E:E,0)), 0, 1)</f>
        <v>0</v>
      </c>
      <c r="I337" s="26" t="b">
        <f t="shared" si="52"/>
        <v>0</v>
      </c>
      <c r="J337" s="26">
        <v>0</v>
      </c>
      <c r="K337" s="26" t="b">
        <f t="shared" si="47"/>
        <v>0</v>
      </c>
      <c r="L337" s="26" t="b">
        <f t="shared" si="48"/>
        <v>0</v>
      </c>
      <c r="M337" t="b">
        <f t="shared" si="53"/>
        <v>0</v>
      </c>
      <c r="N337" t="b">
        <f t="shared" si="54"/>
        <v>0</v>
      </c>
    </row>
    <row r="338" spans="1:14">
      <c r="A338" s="29">
        <v>44898</v>
      </c>
      <c r="B338" s="30">
        <f t="shared" si="46"/>
        <v>12</v>
      </c>
      <c r="C338" s="30">
        <f t="shared" si="49"/>
        <v>3</v>
      </c>
      <c r="D338" s="26">
        <f>MATCH(WEEKDAY(A338),そのた定義!A:A,0)</f>
        <v>8</v>
      </c>
      <c r="E338" s="33" t="str">
        <f t="shared" ca="1" si="50"/>
        <v>土</v>
      </c>
      <c r="F338" s="26">
        <f t="shared" si="51"/>
        <v>1</v>
      </c>
      <c r="G338" s="26">
        <f>IF(ISNA(MATCH(A338,祝日定義!E:E,0)),0,1)</f>
        <v>0</v>
      </c>
      <c r="H338" s="26">
        <f>IF(ISNA(MATCH(B338&amp;"/"&amp;C338,そのた定義!E:E,0)), 0, 1)</f>
        <v>0</v>
      </c>
      <c r="I338" s="23" t="b">
        <f t="shared" si="52"/>
        <v>1</v>
      </c>
      <c r="J338" s="26">
        <v>0</v>
      </c>
      <c r="K338" s="26" t="b">
        <f t="shared" si="47"/>
        <v>0</v>
      </c>
      <c r="L338" s="26" t="b">
        <f t="shared" si="48"/>
        <v>0</v>
      </c>
      <c r="M338" t="b">
        <f t="shared" si="53"/>
        <v>0</v>
      </c>
      <c r="N338" t="b">
        <f t="shared" si="54"/>
        <v>0</v>
      </c>
    </row>
    <row r="339" spans="1:14">
      <c r="A339" s="29">
        <v>44899</v>
      </c>
      <c r="B339" s="30">
        <f t="shared" si="46"/>
        <v>12</v>
      </c>
      <c r="C339" s="30">
        <f t="shared" si="49"/>
        <v>4</v>
      </c>
      <c r="D339" s="26">
        <f>MATCH(WEEKDAY(A339),そのた定義!A:A,0)</f>
        <v>2</v>
      </c>
      <c r="E339" s="32" t="str">
        <f t="shared" ca="1" si="50"/>
        <v>日</v>
      </c>
      <c r="F339" s="26">
        <f t="shared" si="51"/>
        <v>1</v>
      </c>
      <c r="G339" s="26">
        <f>IF(ISNA(MATCH(A339,祝日定義!E:E,0)),0,1)</f>
        <v>0</v>
      </c>
      <c r="H339" s="26">
        <f>IF(ISNA(MATCH(B339&amp;"/"&amp;C339,そのた定義!E:E,0)), 0, 1)</f>
        <v>0</v>
      </c>
      <c r="I339" s="23" t="b">
        <f t="shared" si="52"/>
        <v>1</v>
      </c>
      <c r="J339" s="26">
        <v>0</v>
      </c>
      <c r="K339" s="26" t="b">
        <f t="shared" si="47"/>
        <v>0</v>
      </c>
      <c r="L339" s="26" t="b">
        <f t="shared" si="48"/>
        <v>0</v>
      </c>
      <c r="M339" t="b">
        <f t="shared" si="53"/>
        <v>0</v>
      </c>
      <c r="N339" t="b">
        <f t="shared" si="54"/>
        <v>0</v>
      </c>
    </row>
    <row r="340" spans="1:14">
      <c r="A340" s="29">
        <v>44900</v>
      </c>
      <c r="B340" s="30">
        <f t="shared" si="46"/>
        <v>12</v>
      </c>
      <c r="C340" s="30">
        <f t="shared" si="49"/>
        <v>5</v>
      </c>
      <c r="D340" s="26">
        <f>MATCH(WEEKDAY(A340),そのた定義!A:A,0)</f>
        <v>3</v>
      </c>
      <c r="E340" s="26" t="str">
        <f t="shared" ca="1" si="50"/>
        <v>月</v>
      </c>
      <c r="F340" s="26">
        <f t="shared" si="51"/>
        <v>0</v>
      </c>
      <c r="G340" s="26">
        <f>IF(ISNA(MATCH(A340,祝日定義!E:E,0)),0,1)</f>
        <v>0</v>
      </c>
      <c r="H340" s="26">
        <f>IF(ISNA(MATCH(B340&amp;"/"&amp;C340,そのた定義!E:E,0)), 0, 1)</f>
        <v>0</v>
      </c>
      <c r="I340" s="26" t="b">
        <f t="shared" si="52"/>
        <v>0</v>
      </c>
      <c r="J340" s="26">
        <v>2</v>
      </c>
      <c r="K340" s="26" t="b">
        <f t="shared" si="47"/>
        <v>0</v>
      </c>
      <c r="L340" s="26" t="b">
        <f t="shared" si="48"/>
        <v>0</v>
      </c>
      <c r="M340" t="b">
        <f t="shared" si="53"/>
        <v>0</v>
      </c>
      <c r="N340" t="b">
        <f t="shared" si="54"/>
        <v>0</v>
      </c>
    </row>
    <row r="341" spans="1:14">
      <c r="A341" s="29">
        <v>44901</v>
      </c>
      <c r="B341" s="30">
        <f t="shared" si="46"/>
        <v>12</v>
      </c>
      <c r="C341" s="30">
        <f t="shared" si="49"/>
        <v>6</v>
      </c>
      <c r="D341" s="26">
        <f>MATCH(WEEKDAY(A341),そのた定義!A:A,0)</f>
        <v>4</v>
      </c>
      <c r="E341" s="26" t="str">
        <f t="shared" ca="1" si="50"/>
        <v>火</v>
      </c>
      <c r="F341" s="26">
        <f t="shared" si="51"/>
        <v>0</v>
      </c>
      <c r="G341" s="26">
        <f>IF(ISNA(MATCH(A341,祝日定義!E:E,0)),0,1)</f>
        <v>0</v>
      </c>
      <c r="H341" s="26">
        <f>IF(ISNA(MATCH(B341&amp;"/"&amp;C341,そのた定義!E:E,0)), 0, 1)</f>
        <v>0</v>
      </c>
      <c r="I341" s="26" t="b">
        <f t="shared" si="52"/>
        <v>0</v>
      </c>
      <c r="J341" s="26">
        <v>0</v>
      </c>
      <c r="K341" s="26" t="b">
        <f t="shared" si="47"/>
        <v>0</v>
      </c>
      <c r="L341" s="26" t="b">
        <f t="shared" si="48"/>
        <v>0</v>
      </c>
      <c r="M341" t="b">
        <f t="shared" si="53"/>
        <v>0</v>
      </c>
      <c r="N341" t="b">
        <f t="shared" si="54"/>
        <v>0</v>
      </c>
    </row>
    <row r="342" spans="1:14">
      <c r="A342" s="29">
        <v>44902</v>
      </c>
      <c r="B342" s="30">
        <f t="shared" si="46"/>
        <v>12</v>
      </c>
      <c r="C342" s="30">
        <f t="shared" si="49"/>
        <v>7</v>
      </c>
      <c r="D342" s="26">
        <f>MATCH(WEEKDAY(A342),そのた定義!A:A,0)</f>
        <v>5</v>
      </c>
      <c r="E342" s="26" t="str">
        <f t="shared" ca="1" si="50"/>
        <v>水</v>
      </c>
      <c r="F342" s="26">
        <f t="shared" si="51"/>
        <v>0</v>
      </c>
      <c r="G342" s="26">
        <f>IF(ISNA(MATCH(A342,祝日定義!E:E,0)),0,1)</f>
        <v>0</v>
      </c>
      <c r="H342" s="26">
        <f>IF(ISNA(MATCH(B342&amp;"/"&amp;C342,そのた定義!E:E,0)), 0, 1)</f>
        <v>0</v>
      </c>
      <c r="I342" s="26" t="b">
        <f t="shared" si="52"/>
        <v>0</v>
      </c>
      <c r="J342" s="26">
        <v>0</v>
      </c>
      <c r="K342" s="26" t="b">
        <f t="shared" si="47"/>
        <v>0</v>
      </c>
      <c r="L342" s="26" t="b">
        <f t="shared" si="48"/>
        <v>0</v>
      </c>
      <c r="M342" t="b">
        <f t="shared" si="53"/>
        <v>0</v>
      </c>
      <c r="N342" t="b">
        <f t="shared" si="54"/>
        <v>0</v>
      </c>
    </row>
    <row r="343" spans="1:14">
      <c r="A343" s="29">
        <v>44903</v>
      </c>
      <c r="B343" s="30">
        <f t="shared" si="46"/>
        <v>12</v>
      </c>
      <c r="C343" s="30">
        <f t="shared" si="49"/>
        <v>8</v>
      </c>
      <c r="D343" s="26">
        <f>MATCH(WEEKDAY(A343),そのた定義!A:A,0)</f>
        <v>6</v>
      </c>
      <c r="E343" s="26" t="str">
        <f t="shared" ca="1" si="50"/>
        <v>木</v>
      </c>
      <c r="F343" s="26">
        <f t="shared" si="51"/>
        <v>0</v>
      </c>
      <c r="G343" s="26">
        <f>IF(ISNA(MATCH(A343,祝日定義!E:E,0)),0,1)</f>
        <v>0</v>
      </c>
      <c r="H343" s="26">
        <f>IF(ISNA(MATCH(B343&amp;"/"&amp;C343,そのた定義!E:E,0)), 0, 1)</f>
        <v>0</v>
      </c>
      <c r="I343" s="26" t="b">
        <f t="shared" si="52"/>
        <v>0</v>
      </c>
      <c r="J343" s="26">
        <v>0</v>
      </c>
      <c r="K343" s="26" t="b">
        <f t="shared" si="47"/>
        <v>0</v>
      </c>
      <c r="L343" s="26" t="b">
        <f t="shared" si="48"/>
        <v>0</v>
      </c>
      <c r="M343" t="b">
        <f t="shared" si="53"/>
        <v>0</v>
      </c>
      <c r="N343" t="b">
        <f t="shared" si="54"/>
        <v>0</v>
      </c>
    </row>
    <row r="344" spans="1:14">
      <c r="A344" s="29">
        <v>44904</v>
      </c>
      <c r="B344" s="30">
        <f t="shared" si="46"/>
        <v>12</v>
      </c>
      <c r="C344" s="30">
        <f t="shared" si="49"/>
        <v>9</v>
      </c>
      <c r="D344" s="26">
        <f>MATCH(WEEKDAY(A344),そのた定義!A:A,0)</f>
        <v>7</v>
      </c>
      <c r="E344" s="26" t="str">
        <f t="shared" ca="1" si="50"/>
        <v>金</v>
      </c>
      <c r="F344" s="26">
        <f t="shared" si="51"/>
        <v>0</v>
      </c>
      <c r="G344" s="26">
        <f>IF(ISNA(MATCH(A344,祝日定義!E:E,0)),0,1)</f>
        <v>0</v>
      </c>
      <c r="H344" s="26">
        <f>IF(ISNA(MATCH(B344&amp;"/"&amp;C344,そのた定義!E:E,0)), 0, 1)</f>
        <v>0</v>
      </c>
      <c r="I344" s="26" t="b">
        <f t="shared" si="52"/>
        <v>0</v>
      </c>
      <c r="J344" s="26">
        <v>0</v>
      </c>
      <c r="K344" s="26" t="b">
        <f t="shared" si="47"/>
        <v>0</v>
      </c>
      <c r="L344" s="26" t="b">
        <f t="shared" si="48"/>
        <v>0</v>
      </c>
      <c r="M344" t="b">
        <f t="shared" si="53"/>
        <v>0</v>
      </c>
      <c r="N344" t="b">
        <f t="shared" si="54"/>
        <v>0</v>
      </c>
    </row>
    <row r="345" spans="1:14">
      <c r="A345" s="29">
        <v>44905</v>
      </c>
      <c r="B345" s="30">
        <f t="shared" si="46"/>
        <v>12</v>
      </c>
      <c r="C345" s="30">
        <f t="shared" si="49"/>
        <v>10</v>
      </c>
      <c r="D345" s="26">
        <f>MATCH(WEEKDAY(A345),そのた定義!A:A,0)</f>
        <v>8</v>
      </c>
      <c r="E345" s="33" t="str">
        <f t="shared" ca="1" si="50"/>
        <v>土</v>
      </c>
      <c r="F345" s="26">
        <f t="shared" si="51"/>
        <v>1</v>
      </c>
      <c r="G345" s="26">
        <f>IF(ISNA(MATCH(A345,祝日定義!E:E,0)),0,1)</f>
        <v>0</v>
      </c>
      <c r="H345" s="26">
        <f>IF(ISNA(MATCH(B345&amp;"/"&amp;C345,そのた定義!E:E,0)), 0, 1)</f>
        <v>0</v>
      </c>
      <c r="I345" s="23" t="b">
        <f t="shared" si="52"/>
        <v>1</v>
      </c>
      <c r="J345" s="26">
        <v>0</v>
      </c>
      <c r="K345" s="26" t="b">
        <f t="shared" si="47"/>
        <v>0</v>
      </c>
      <c r="L345" s="26" t="b">
        <f t="shared" si="48"/>
        <v>0</v>
      </c>
      <c r="M345" t="b">
        <f t="shared" si="53"/>
        <v>0</v>
      </c>
      <c r="N345" t="b">
        <f t="shared" si="54"/>
        <v>0</v>
      </c>
    </row>
    <row r="346" spans="1:14">
      <c r="A346" s="29">
        <v>44906</v>
      </c>
      <c r="B346" s="30">
        <f t="shared" si="46"/>
        <v>12</v>
      </c>
      <c r="C346" s="30">
        <f t="shared" si="49"/>
        <v>11</v>
      </c>
      <c r="D346" s="26">
        <f>MATCH(WEEKDAY(A346),そのた定義!A:A,0)</f>
        <v>2</v>
      </c>
      <c r="E346" s="32" t="str">
        <f t="shared" ca="1" si="50"/>
        <v>日</v>
      </c>
      <c r="F346" s="26">
        <f t="shared" si="51"/>
        <v>1</v>
      </c>
      <c r="G346" s="26">
        <f>IF(ISNA(MATCH(A346,祝日定義!E:E,0)),0,1)</f>
        <v>0</v>
      </c>
      <c r="H346" s="26">
        <f>IF(ISNA(MATCH(B346&amp;"/"&amp;C346,そのた定義!E:E,0)), 0, 1)</f>
        <v>0</v>
      </c>
      <c r="I346" s="23" t="b">
        <f t="shared" si="52"/>
        <v>1</v>
      </c>
      <c r="J346" s="26">
        <v>0</v>
      </c>
      <c r="K346" s="26" t="b">
        <f t="shared" si="47"/>
        <v>0</v>
      </c>
      <c r="L346" s="26" t="b">
        <f t="shared" si="48"/>
        <v>0</v>
      </c>
      <c r="M346" t="b">
        <f t="shared" si="53"/>
        <v>0</v>
      </c>
      <c r="N346" t="b">
        <f t="shared" si="54"/>
        <v>0</v>
      </c>
    </row>
    <row r="347" spans="1:14">
      <c r="A347" s="29">
        <v>44907</v>
      </c>
      <c r="B347" s="30">
        <f t="shared" si="46"/>
        <v>12</v>
      </c>
      <c r="C347" s="30">
        <f t="shared" si="49"/>
        <v>12</v>
      </c>
      <c r="D347" s="26">
        <f>MATCH(WEEKDAY(A347),そのた定義!A:A,0)</f>
        <v>3</v>
      </c>
      <c r="E347" s="26" t="str">
        <f t="shared" ca="1" si="50"/>
        <v>月</v>
      </c>
      <c r="F347" s="26">
        <f t="shared" si="51"/>
        <v>0</v>
      </c>
      <c r="G347" s="26">
        <f>IF(ISNA(MATCH(A347,祝日定義!E:E,0)),0,1)</f>
        <v>0</v>
      </c>
      <c r="H347" s="26">
        <f>IF(ISNA(MATCH(B347&amp;"/"&amp;C347,そのた定義!E:E,0)), 0, 1)</f>
        <v>0</v>
      </c>
      <c r="I347" s="26" t="b">
        <f t="shared" si="52"/>
        <v>0</v>
      </c>
      <c r="J347" s="26">
        <v>2</v>
      </c>
      <c r="K347" s="26" t="b">
        <f t="shared" si="47"/>
        <v>0</v>
      </c>
      <c r="L347" s="26" t="b">
        <f t="shared" si="48"/>
        <v>0</v>
      </c>
      <c r="M347" t="b">
        <f t="shared" si="53"/>
        <v>0</v>
      </c>
      <c r="N347" t="b">
        <f t="shared" si="54"/>
        <v>0</v>
      </c>
    </row>
    <row r="348" spans="1:14">
      <c r="A348" s="29">
        <v>44908</v>
      </c>
      <c r="B348" s="30">
        <f t="shared" si="46"/>
        <v>12</v>
      </c>
      <c r="C348" s="30">
        <f t="shared" si="49"/>
        <v>13</v>
      </c>
      <c r="D348" s="26">
        <f>MATCH(WEEKDAY(A348),そのた定義!A:A,0)</f>
        <v>4</v>
      </c>
      <c r="E348" s="26" t="str">
        <f t="shared" ca="1" si="50"/>
        <v>火</v>
      </c>
      <c r="F348" s="26">
        <f t="shared" si="51"/>
        <v>0</v>
      </c>
      <c r="G348" s="26">
        <f>IF(ISNA(MATCH(A348,祝日定義!E:E,0)),0,1)</f>
        <v>0</v>
      </c>
      <c r="H348" s="26">
        <f>IF(ISNA(MATCH(B348&amp;"/"&amp;C348,そのた定義!E:E,0)), 0, 1)</f>
        <v>0</v>
      </c>
      <c r="I348" s="26" t="b">
        <f t="shared" si="52"/>
        <v>0</v>
      </c>
      <c r="J348" s="26">
        <v>0</v>
      </c>
      <c r="K348" s="26" t="b">
        <f t="shared" si="47"/>
        <v>0</v>
      </c>
      <c r="L348" s="26" t="b">
        <f t="shared" si="48"/>
        <v>0</v>
      </c>
      <c r="M348" t="b">
        <f t="shared" si="53"/>
        <v>0</v>
      </c>
      <c r="N348" t="b">
        <f t="shared" si="54"/>
        <v>0</v>
      </c>
    </row>
    <row r="349" spans="1:14">
      <c r="A349" s="29">
        <v>44909</v>
      </c>
      <c r="B349" s="30">
        <f t="shared" si="46"/>
        <v>12</v>
      </c>
      <c r="C349" s="30">
        <f t="shared" si="49"/>
        <v>14</v>
      </c>
      <c r="D349" s="26">
        <f>MATCH(WEEKDAY(A349),そのた定義!A:A,0)</f>
        <v>5</v>
      </c>
      <c r="E349" s="26" t="str">
        <f t="shared" ca="1" si="50"/>
        <v>水</v>
      </c>
      <c r="F349" s="26">
        <f t="shared" si="51"/>
        <v>0</v>
      </c>
      <c r="G349" s="26">
        <f>IF(ISNA(MATCH(A349,祝日定義!E:E,0)),0,1)</f>
        <v>0</v>
      </c>
      <c r="H349" s="26">
        <f>IF(ISNA(MATCH(B349&amp;"/"&amp;C349,そのた定義!E:E,0)), 0, 1)</f>
        <v>0</v>
      </c>
      <c r="I349" s="26" t="b">
        <f t="shared" si="52"/>
        <v>0</v>
      </c>
      <c r="J349" s="26">
        <v>0</v>
      </c>
      <c r="K349" s="26" t="b">
        <f t="shared" si="47"/>
        <v>0</v>
      </c>
      <c r="L349" s="26" t="b">
        <f t="shared" si="48"/>
        <v>0</v>
      </c>
      <c r="M349" t="b">
        <f t="shared" si="53"/>
        <v>0</v>
      </c>
      <c r="N349" t="b">
        <f t="shared" si="54"/>
        <v>0</v>
      </c>
    </row>
    <row r="350" spans="1:14">
      <c r="A350" s="29">
        <v>44910</v>
      </c>
      <c r="B350" s="30">
        <f t="shared" si="46"/>
        <v>12</v>
      </c>
      <c r="C350" s="30">
        <f t="shared" si="49"/>
        <v>15</v>
      </c>
      <c r="D350" s="26">
        <f>MATCH(WEEKDAY(A350),そのた定義!A:A,0)</f>
        <v>6</v>
      </c>
      <c r="E350" s="26" t="str">
        <f t="shared" ca="1" si="50"/>
        <v>木</v>
      </c>
      <c r="F350" s="26">
        <f t="shared" si="51"/>
        <v>0</v>
      </c>
      <c r="G350" s="26">
        <f>IF(ISNA(MATCH(A350,祝日定義!E:E,0)),0,1)</f>
        <v>0</v>
      </c>
      <c r="H350" s="26">
        <f>IF(ISNA(MATCH(B350&amp;"/"&amp;C350,そのた定義!E:E,0)), 0, 1)</f>
        <v>0</v>
      </c>
      <c r="I350" s="26" t="b">
        <f t="shared" si="52"/>
        <v>0</v>
      </c>
      <c r="J350" s="26">
        <v>0</v>
      </c>
      <c r="K350" s="26" t="b">
        <f t="shared" si="47"/>
        <v>0</v>
      </c>
      <c r="L350" s="26" t="b">
        <f t="shared" si="48"/>
        <v>0</v>
      </c>
      <c r="M350" t="b">
        <f t="shared" si="53"/>
        <v>0</v>
      </c>
      <c r="N350" t="b">
        <f t="shared" si="54"/>
        <v>0</v>
      </c>
    </row>
    <row r="351" spans="1:14">
      <c r="A351" s="29">
        <v>44911</v>
      </c>
      <c r="B351" s="30">
        <f t="shared" si="46"/>
        <v>12</v>
      </c>
      <c r="C351" s="30">
        <f t="shared" si="49"/>
        <v>16</v>
      </c>
      <c r="D351" s="26">
        <f>MATCH(WEEKDAY(A351),そのた定義!A:A,0)</f>
        <v>7</v>
      </c>
      <c r="E351" s="26" t="str">
        <f t="shared" ca="1" si="50"/>
        <v>金</v>
      </c>
      <c r="F351" s="26">
        <f t="shared" si="51"/>
        <v>0</v>
      </c>
      <c r="G351" s="26">
        <f>IF(ISNA(MATCH(A351,祝日定義!E:E,0)),0,1)</f>
        <v>0</v>
      </c>
      <c r="H351" s="26">
        <f>IF(ISNA(MATCH(B351&amp;"/"&amp;C351,そのた定義!E:E,0)), 0, 1)</f>
        <v>0</v>
      </c>
      <c r="I351" s="26" t="b">
        <f t="shared" si="52"/>
        <v>0</v>
      </c>
      <c r="J351" s="26">
        <v>0</v>
      </c>
      <c r="K351" s="26" t="b">
        <f t="shared" si="47"/>
        <v>0</v>
      </c>
      <c r="L351" s="26" t="b">
        <f t="shared" si="48"/>
        <v>0</v>
      </c>
      <c r="M351" t="b">
        <f t="shared" si="53"/>
        <v>0</v>
      </c>
      <c r="N351" t="b">
        <f t="shared" si="54"/>
        <v>0</v>
      </c>
    </row>
    <row r="352" spans="1:14">
      <c r="A352" s="29">
        <v>44912</v>
      </c>
      <c r="B352" s="30">
        <f t="shared" si="46"/>
        <v>12</v>
      </c>
      <c r="C352" s="30">
        <f t="shared" si="49"/>
        <v>17</v>
      </c>
      <c r="D352" s="26">
        <f>MATCH(WEEKDAY(A352),そのた定義!A:A,0)</f>
        <v>8</v>
      </c>
      <c r="E352" s="33" t="str">
        <f t="shared" ca="1" si="50"/>
        <v>土</v>
      </c>
      <c r="F352" s="26">
        <f t="shared" si="51"/>
        <v>1</v>
      </c>
      <c r="G352" s="26">
        <f>IF(ISNA(MATCH(A352,祝日定義!E:E,0)),0,1)</f>
        <v>0</v>
      </c>
      <c r="H352" s="26">
        <f>IF(ISNA(MATCH(B352&amp;"/"&amp;C352,そのた定義!E:E,0)), 0, 1)</f>
        <v>0</v>
      </c>
      <c r="I352" s="23" t="b">
        <f t="shared" si="52"/>
        <v>1</v>
      </c>
      <c r="J352" s="26">
        <v>0</v>
      </c>
      <c r="K352" s="26" t="b">
        <f t="shared" si="47"/>
        <v>0</v>
      </c>
      <c r="L352" s="26" t="b">
        <f t="shared" si="48"/>
        <v>0</v>
      </c>
      <c r="M352" t="b">
        <f t="shared" si="53"/>
        <v>0</v>
      </c>
      <c r="N352" t="b">
        <f t="shared" si="54"/>
        <v>0</v>
      </c>
    </row>
    <row r="353" spans="1:14">
      <c r="A353" s="29">
        <v>44913</v>
      </c>
      <c r="B353" s="30">
        <f t="shared" si="46"/>
        <v>12</v>
      </c>
      <c r="C353" s="30">
        <f t="shared" si="49"/>
        <v>18</v>
      </c>
      <c r="D353" s="26">
        <f>MATCH(WEEKDAY(A353),そのた定義!A:A,0)</f>
        <v>2</v>
      </c>
      <c r="E353" s="32" t="str">
        <f t="shared" ca="1" si="50"/>
        <v>日</v>
      </c>
      <c r="F353" s="26">
        <f t="shared" si="51"/>
        <v>1</v>
      </c>
      <c r="G353" s="26">
        <f>IF(ISNA(MATCH(A353,祝日定義!E:E,0)),0,1)</f>
        <v>0</v>
      </c>
      <c r="H353" s="26">
        <f>IF(ISNA(MATCH(B353&amp;"/"&amp;C353,そのた定義!E:E,0)), 0, 1)</f>
        <v>0</v>
      </c>
      <c r="I353" s="23" t="b">
        <f t="shared" si="52"/>
        <v>1</v>
      </c>
      <c r="J353" s="26">
        <v>0</v>
      </c>
      <c r="K353" s="26" t="b">
        <f t="shared" si="47"/>
        <v>0</v>
      </c>
      <c r="L353" s="26" t="b">
        <f t="shared" si="48"/>
        <v>0</v>
      </c>
      <c r="M353" t="b">
        <f t="shared" si="53"/>
        <v>0</v>
      </c>
      <c r="N353" t="b">
        <f t="shared" si="54"/>
        <v>0</v>
      </c>
    </row>
    <row r="354" spans="1:14">
      <c r="A354" s="29">
        <v>44914</v>
      </c>
      <c r="B354" s="30">
        <f t="shared" si="46"/>
        <v>12</v>
      </c>
      <c r="C354" s="30">
        <f t="shared" si="49"/>
        <v>19</v>
      </c>
      <c r="D354" s="26">
        <f>MATCH(WEEKDAY(A354),そのた定義!A:A,0)</f>
        <v>3</v>
      </c>
      <c r="E354" s="26" t="str">
        <f t="shared" ca="1" si="50"/>
        <v>月</v>
      </c>
      <c r="F354" s="26">
        <f t="shared" si="51"/>
        <v>0</v>
      </c>
      <c r="G354" s="26">
        <f>IF(ISNA(MATCH(A354,祝日定義!E:E,0)),0,1)</f>
        <v>0</v>
      </c>
      <c r="H354" s="26">
        <f>IF(ISNA(MATCH(B354&amp;"/"&amp;C354,そのた定義!E:E,0)), 0, 1)</f>
        <v>0</v>
      </c>
      <c r="I354" s="26" t="b">
        <f t="shared" si="52"/>
        <v>0</v>
      </c>
      <c r="J354" s="26">
        <v>2</v>
      </c>
      <c r="K354" s="26" t="b">
        <f t="shared" si="47"/>
        <v>0</v>
      </c>
      <c r="L354" s="26" t="b">
        <f t="shared" si="48"/>
        <v>0</v>
      </c>
      <c r="M354" t="b">
        <f t="shared" si="53"/>
        <v>0</v>
      </c>
      <c r="N354" t="b">
        <f t="shared" si="54"/>
        <v>0</v>
      </c>
    </row>
    <row r="355" spans="1:14">
      <c r="A355" s="29">
        <v>44915</v>
      </c>
      <c r="B355" s="30">
        <f t="shared" si="46"/>
        <v>12</v>
      </c>
      <c r="C355" s="30">
        <f t="shared" si="49"/>
        <v>20</v>
      </c>
      <c r="D355" s="26">
        <f>MATCH(WEEKDAY(A355),そのた定義!A:A,0)</f>
        <v>4</v>
      </c>
      <c r="E355" s="26" t="str">
        <f t="shared" ca="1" si="50"/>
        <v>火</v>
      </c>
      <c r="F355" s="26">
        <f t="shared" si="51"/>
        <v>0</v>
      </c>
      <c r="G355" s="26">
        <f>IF(ISNA(MATCH(A355,祝日定義!E:E,0)),0,1)</f>
        <v>0</v>
      </c>
      <c r="H355" s="26">
        <f>IF(ISNA(MATCH(B355&amp;"/"&amp;C355,そのた定義!E:E,0)), 0, 1)</f>
        <v>0</v>
      </c>
      <c r="I355" s="26" t="b">
        <f t="shared" si="52"/>
        <v>0</v>
      </c>
      <c r="J355" s="26">
        <v>0</v>
      </c>
      <c r="K355" s="26" t="b">
        <f t="shared" si="47"/>
        <v>0</v>
      </c>
      <c r="L355" s="26" t="b">
        <f t="shared" si="48"/>
        <v>0</v>
      </c>
      <c r="M355" t="b">
        <f t="shared" si="53"/>
        <v>0</v>
      </c>
      <c r="N355" t="b">
        <f t="shared" si="54"/>
        <v>0</v>
      </c>
    </row>
    <row r="356" spans="1:14">
      <c r="A356" s="29">
        <v>44916</v>
      </c>
      <c r="B356" s="30">
        <f t="shared" si="46"/>
        <v>12</v>
      </c>
      <c r="C356" s="30">
        <f t="shared" si="49"/>
        <v>21</v>
      </c>
      <c r="D356" s="26">
        <f>MATCH(WEEKDAY(A356),そのた定義!A:A,0)</f>
        <v>5</v>
      </c>
      <c r="E356" s="26" t="str">
        <f t="shared" ca="1" si="50"/>
        <v>水</v>
      </c>
      <c r="F356" s="26">
        <f t="shared" si="51"/>
        <v>0</v>
      </c>
      <c r="G356" s="26">
        <f>IF(ISNA(MATCH(A356,祝日定義!E:E,0)),0,1)</f>
        <v>0</v>
      </c>
      <c r="H356" s="26">
        <f>IF(ISNA(MATCH(B356&amp;"/"&amp;C356,そのた定義!E:E,0)), 0, 1)</f>
        <v>0</v>
      </c>
      <c r="I356" s="26" t="b">
        <f t="shared" si="52"/>
        <v>0</v>
      </c>
      <c r="J356" s="26">
        <v>0</v>
      </c>
      <c r="K356" s="26" t="b">
        <f t="shared" si="47"/>
        <v>0</v>
      </c>
      <c r="L356" s="26" t="b">
        <f t="shared" si="48"/>
        <v>0</v>
      </c>
      <c r="M356" t="b">
        <f t="shared" si="53"/>
        <v>0</v>
      </c>
      <c r="N356" t="b">
        <f t="shared" si="54"/>
        <v>0</v>
      </c>
    </row>
    <row r="357" spans="1:14">
      <c r="A357" s="29">
        <v>44917</v>
      </c>
      <c r="B357" s="30">
        <f t="shared" si="46"/>
        <v>12</v>
      </c>
      <c r="C357" s="30">
        <f t="shared" si="49"/>
        <v>22</v>
      </c>
      <c r="D357" s="26">
        <f>MATCH(WEEKDAY(A357),そのた定義!A:A,0)</f>
        <v>6</v>
      </c>
      <c r="E357" s="26" t="str">
        <f t="shared" ca="1" si="50"/>
        <v>木</v>
      </c>
      <c r="F357" s="26">
        <f t="shared" si="51"/>
        <v>0</v>
      </c>
      <c r="G357" s="26">
        <f>IF(ISNA(MATCH(A357,祝日定義!E:E,0)),0,1)</f>
        <v>0</v>
      </c>
      <c r="H357" s="26">
        <f>IF(ISNA(MATCH(B357&amp;"/"&amp;C357,そのた定義!E:E,0)), 0, 1)</f>
        <v>0</v>
      </c>
      <c r="I357" s="26" t="b">
        <f t="shared" si="52"/>
        <v>0</v>
      </c>
      <c r="J357" s="26">
        <v>0</v>
      </c>
      <c r="K357" s="26" t="b">
        <f t="shared" si="47"/>
        <v>0</v>
      </c>
      <c r="L357" s="26" t="b">
        <f t="shared" si="48"/>
        <v>0</v>
      </c>
      <c r="M357" t="b">
        <f t="shared" si="53"/>
        <v>0</v>
      </c>
      <c r="N357" t="b">
        <f t="shared" si="54"/>
        <v>0</v>
      </c>
    </row>
    <row r="358" spans="1:14">
      <c r="A358" s="29">
        <v>44918</v>
      </c>
      <c r="B358" s="30">
        <f t="shared" si="46"/>
        <v>12</v>
      </c>
      <c r="C358" s="30">
        <f t="shared" si="49"/>
        <v>23</v>
      </c>
      <c r="D358" s="26">
        <f>MATCH(WEEKDAY(A358),そのた定義!A:A,0)</f>
        <v>7</v>
      </c>
      <c r="E358" s="26" t="str">
        <f t="shared" ca="1" si="50"/>
        <v>金</v>
      </c>
      <c r="F358" s="26">
        <f t="shared" si="51"/>
        <v>0</v>
      </c>
      <c r="G358" s="26">
        <f>IF(ISNA(MATCH(A358,祝日定義!E:E,0)),0,1)</f>
        <v>0</v>
      </c>
      <c r="H358" s="26">
        <f>IF(ISNA(MATCH(B358&amp;"/"&amp;C358,そのた定義!E:E,0)), 0, 1)</f>
        <v>0</v>
      </c>
      <c r="I358" s="26" t="b">
        <f t="shared" si="52"/>
        <v>0</v>
      </c>
      <c r="J358" s="26">
        <v>0</v>
      </c>
      <c r="K358" s="26" t="b">
        <f t="shared" si="47"/>
        <v>0</v>
      </c>
      <c r="L358" s="26" t="b">
        <f t="shared" si="48"/>
        <v>0</v>
      </c>
      <c r="M358" t="b">
        <f t="shared" si="53"/>
        <v>0</v>
      </c>
      <c r="N358" t="b">
        <f t="shared" si="54"/>
        <v>0</v>
      </c>
    </row>
    <row r="359" spans="1:14">
      <c r="A359" s="29">
        <v>44919</v>
      </c>
      <c r="B359" s="30">
        <f t="shared" si="46"/>
        <v>12</v>
      </c>
      <c r="C359" s="30">
        <f t="shared" si="49"/>
        <v>24</v>
      </c>
      <c r="D359" s="26">
        <f>MATCH(WEEKDAY(A359),そのた定義!A:A,0)</f>
        <v>8</v>
      </c>
      <c r="E359" s="33" t="str">
        <f t="shared" ca="1" si="50"/>
        <v>土</v>
      </c>
      <c r="F359" s="26">
        <f t="shared" si="51"/>
        <v>1</v>
      </c>
      <c r="G359" s="26">
        <f>IF(ISNA(MATCH(A359,祝日定義!E:E,0)),0,1)</f>
        <v>0</v>
      </c>
      <c r="H359" s="26">
        <f>IF(ISNA(MATCH(B359&amp;"/"&amp;C359,そのた定義!E:E,0)), 0, 1)</f>
        <v>0</v>
      </c>
      <c r="I359" s="23" t="b">
        <f t="shared" si="52"/>
        <v>1</v>
      </c>
      <c r="J359" s="26">
        <v>0</v>
      </c>
      <c r="K359" s="26" t="b">
        <f t="shared" si="47"/>
        <v>0</v>
      </c>
      <c r="L359" s="26" t="b">
        <f t="shared" si="48"/>
        <v>0</v>
      </c>
      <c r="M359" t="b">
        <f t="shared" si="53"/>
        <v>0</v>
      </c>
      <c r="N359" t="b">
        <f t="shared" si="54"/>
        <v>0</v>
      </c>
    </row>
    <row r="360" spans="1:14">
      <c r="A360" s="29">
        <v>44920</v>
      </c>
      <c r="B360" s="30">
        <f t="shared" si="46"/>
        <v>12</v>
      </c>
      <c r="C360" s="30">
        <f t="shared" si="49"/>
        <v>25</v>
      </c>
      <c r="D360" s="26">
        <f>MATCH(WEEKDAY(A360),そのた定義!A:A,0)</f>
        <v>2</v>
      </c>
      <c r="E360" s="32" t="str">
        <f t="shared" ca="1" si="50"/>
        <v>日</v>
      </c>
      <c r="F360" s="26">
        <f t="shared" si="51"/>
        <v>1</v>
      </c>
      <c r="G360" s="26">
        <f>IF(ISNA(MATCH(A360,祝日定義!E:E,0)),0,1)</f>
        <v>0</v>
      </c>
      <c r="H360" s="26">
        <f>IF(ISNA(MATCH(B360&amp;"/"&amp;C360,そのた定義!E:E,0)), 0, 1)</f>
        <v>0</v>
      </c>
      <c r="I360" s="23" t="b">
        <f t="shared" si="52"/>
        <v>1</v>
      </c>
      <c r="J360" s="26">
        <v>0</v>
      </c>
      <c r="K360" s="26" t="b">
        <f t="shared" si="47"/>
        <v>0</v>
      </c>
      <c r="L360" s="23" t="b">
        <f t="shared" si="48"/>
        <v>1</v>
      </c>
      <c r="M360" t="b">
        <f t="shared" si="53"/>
        <v>0</v>
      </c>
      <c r="N360" t="b">
        <f t="shared" si="54"/>
        <v>0</v>
      </c>
    </row>
    <row r="361" spans="1:14">
      <c r="A361" s="29">
        <v>44921</v>
      </c>
      <c r="B361" s="30">
        <f t="shared" si="46"/>
        <v>12</v>
      </c>
      <c r="C361" s="30">
        <f t="shared" si="49"/>
        <v>26</v>
      </c>
      <c r="D361" s="26">
        <f>MATCH(WEEKDAY(A361),そのた定義!A:A,0)</f>
        <v>3</v>
      </c>
      <c r="E361" s="26" t="str">
        <f t="shared" ca="1" si="50"/>
        <v>月</v>
      </c>
      <c r="F361" s="26">
        <f t="shared" si="51"/>
        <v>0</v>
      </c>
      <c r="G361" s="26">
        <f>IF(ISNA(MATCH(A361,祝日定義!E:E,0)),0,1)</f>
        <v>0</v>
      </c>
      <c r="H361" s="26">
        <f>IF(ISNA(MATCH(B361&amp;"/"&amp;C361,そのた定義!E:E,0)), 0, 1)</f>
        <v>0</v>
      </c>
      <c r="I361" s="26" t="b">
        <f t="shared" si="52"/>
        <v>0</v>
      </c>
      <c r="J361" s="26">
        <v>2</v>
      </c>
      <c r="K361" s="23" t="b">
        <f t="shared" si="47"/>
        <v>1</v>
      </c>
      <c r="L361" s="26" t="b">
        <f t="shared" si="48"/>
        <v>0</v>
      </c>
      <c r="M361" t="b">
        <f t="shared" si="53"/>
        <v>0</v>
      </c>
      <c r="N361" t="b">
        <f t="shared" si="54"/>
        <v>0</v>
      </c>
    </row>
    <row r="362" spans="1:14">
      <c r="A362" s="29">
        <v>44922</v>
      </c>
      <c r="B362" s="30">
        <f t="shared" si="46"/>
        <v>12</v>
      </c>
      <c r="C362" s="30">
        <f t="shared" si="49"/>
        <v>27</v>
      </c>
      <c r="D362" s="26">
        <f>MATCH(WEEKDAY(A362),そのた定義!A:A,0)</f>
        <v>4</v>
      </c>
      <c r="E362" s="26" t="str">
        <f t="shared" ca="1" si="50"/>
        <v>火</v>
      </c>
      <c r="F362" s="26">
        <f t="shared" si="51"/>
        <v>0</v>
      </c>
      <c r="G362" s="26">
        <f>IF(ISNA(MATCH(A362,祝日定義!E:E,0)),0,1)</f>
        <v>0</v>
      </c>
      <c r="H362" s="26">
        <f>IF(ISNA(MATCH(B362&amp;"/"&amp;C362,そのた定義!E:E,0)), 0, 1)</f>
        <v>0</v>
      </c>
      <c r="I362" s="26" t="b">
        <f t="shared" si="52"/>
        <v>0</v>
      </c>
      <c r="J362" s="26">
        <v>0</v>
      </c>
      <c r="K362" s="26" t="b">
        <f t="shared" si="47"/>
        <v>0</v>
      </c>
      <c r="L362" s="26" t="b">
        <f t="shared" si="48"/>
        <v>0</v>
      </c>
      <c r="M362" t="b">
        <f t="shared" si="53"/>
        <v>0</v>
      </c>
      <c r="N362" t="b">
        <f t="shared" si="54"/>
        <v>0</v>
      </c>
    </row>
    <row r="363" spans="1:14">
      <c r="A363" s="29">
        <v>44923</v>
      </c>
      <c r="B363" s="30">
        <f t="shared" si="46"/>
        <v>12</v>
      </c>
      <c r="C363" s="30">
        <f t="shared" si="49"/>
        <v>28</v>
      </c>
      <c r="D363" s="26">
        <f>MATCH(WEEKDAY(A363),そのた定義!A:A,0)</f>
        <v>5</v>
      </c>
      <c r="E363" s="26" t="str">
        <f t="shared" ca="1" si="50"/>
        <v>水</v>
      </c>
      <c r="F363" s="26">
        <f t="shared" si="51"/>
        <v>0</v>
      </c>
      <c r="G363" s="26">
        <f>IF(ISNA(MATCH(A363,祝日定義!E:E,0)),0,1)</f>
        <v>0</v>
      </c>
      <c r="H363" s="26">
        <f>IF(ISNA(MATCH(B363&amp;"/"&amp;C363,そのた定義!E:E,0)), 0, 1)</f>
        <v>0</v>
      </c>
      <c r="I363" s="26" t="b">
        <f t="shared" si="52"/>
        <v>0</v>
      </c>
      <c r="J363" s="26">
        <v>0</v>
      </c>
      <c r="K363" s="26" t="b">
        <f t="shared" si="47"/>
        <v>0</v>
      </c>
      <c r="L363" s="26" t="b">
        <f t="shared" si="48"/>
        <v>0</v>
      </c>
      <c r="M363" t="b">
        <f t="shared" si="53"/>
        <v>0</v>
      </c>
      <c r="N363" t="b">
        <f t="shared" si="54"/>
        <v>0</v>
      </c>
    </row>
    <row r="364" spans="1:14">
      <c r="A364" s="29">
        <v>44924</v>
      </c>
      <c r="B364" s="30">
        <f t="shared" si="46"/>
        <v>12</v>
      </c>
      <c r="C364" s="30">
        <f t="shared" si="49"/>
        <v>29</v>
      </c>
      <c r="D364" s="26">
        <f>MATCH(WEEKDAY(A364),そのた定義!A:A,0)</f>
        <v>6</v>
      </c>
      <c r="E364" s="26" t="str">
        <f t="shared" ca="1" si="50"/>
        <v>木</v>
      </c>
      <c r="F364" s="26">
        <f t="shared" si="51"/>
        <v>0</v>
      </c>
      <c r="G364" s="26">
        <f>IF(ISNA(MATCH(A364,祝日定義!E:E,0)),0,1)</f>
        <v>0</v>
      </c>
      <c r="H364" s="26">
        <f>IF(ISNA(MATCH(B364&amp;"/"&amp;C364,そのた定義!E:E,0)), 0, 1)</f>
        <v>0</v>
      </c>
      <c r="I364" s="26" t="b">
        <f t="shared" si="52"/>
        <v>0</v>
      </c>
      <c r="J364" s="26">
        <v>0</v>
      </c>
      <c r="K364" s="26" t="b">
        <f t="shared" si="47"/>
        <v>0</v>
      </c>
      <c r="L364" s="26" t="b">
        <f t="shared" si="48"/>
        <v>0</v>
      </c>
      <c r="M364" t="b">
        <f t="shared" si="53"/>
        <v>0</v>
      </c>
      <c r="N364" t="b">
        <f t="shared" si="54"/>
        <v>0</v>
      </c>
    </row>
    <row r="365" spans="1:14">
      <c r="A365" s="29">
        <v>44925</v>
      </c>
      <c r="B365" s="30">
        <f t="shared" si="46"/>
        <v>12</v>
      </c>
      <c r="C365" s="30">
        <f t="shared" si="49"/>
        <v>30</v>
      </c>
      <c r="D365" s="26">
        <f>MATCH(WEEKDAY(A365),そのた定義!A:A,0)</f>
        <v>7</v>
      </c>
      <c r="E365" s="31" t="str">
        <f t="shared" ca="1" si="50"/>
        <v>金</v>
      </c>
      <c r="F365" s="26">
        <f t="shared" si="51"/>
        <v>0</v>
      </c>
      <c r="G365" s="26">
        <f>IF(ISNA(MATCH(A365,祝日定義!E:E,0)),0,1)</f>
        <v>0</v>
      </c>
      <c r="H365" s="26">
        <f>IF(ISNA(MATCH(B365&amp;"/"&amp;C365,そのた定義!E:E,0)), 0, 1)</f>
        <v>1</v>
      </c>
      <c r="I365" s="23" t="b">
        <f t="shared" si="52"/>
        <v>1</v>
      </c>
      <c r="J365" s="26">
        <v>0</v>
      </c>
      <c r="K365" s="26" t="b">
        <f t="shared" si="47"/>
        <v>0</v>
      </c>
      <c r="L365" s="26" t="b">
        <f t="shared" si="48"/>
        <v>0</v>
      </c>
      <c r="M365" t="b">
        <f t="shared" si="53"/>
        <v>0</v>
      </c>
      <c r="N365" t="b">
        <f t="shared" si="54"/>
        <v>0</v>
      </c>
    </row>
    <row r="366" spans="1:14">
      <c r="A366" s="29">
        <v>44926</v>
      </c>
      <c r="B366" s="30">
        <f t="shared" si="46"/>
        <v>12</v>
      </c>
      <c r="C366" s="30">
        <f t="shared" si="49"/>
        <v>31</v>
      </c>
      <c r="D366" s="26">
        <f>MATCH(WEEKDAY(A366),そのた定義!A:A,0)</f>
        <v>8</v>
      </c>
      <c r="E366" s="33" t="str">
        <f t="shared" ca="1" si="50"/>
        <v>土</v>
      </c>
      <c r="F366" s="26">
        <f t="shared" si="51"/>
        <v>1</v>
      </c>
      <c r="G366" s="26">
        <f>IF(ISNA(MATCH(A366,祝日定義!E:E,0)),0,1)</f>
        <v>0</v>
      </c>
      <c r="H366" s="26">
        <f>IF(ISNA(MATCH(B366&amp;"/"&amp;C366,そのた定義!E:E,0)), 0, 1)</f>
        <v>1</v>
      </c>
      <c r="I366" s="23" t="b">
        <f t="shared" si="52"/>
        <v>1</v>
      </c>
      <c r="J366" s="26">
        <v>0</v>
      </c>
      <c r="K366" s="26" t="b">
        <f t="shared" si="47"/>
        <v>0</v>
      </c>
      <c r="L366" s="26" t="b">
        <f t="shared" si="48"/>
        <v>0</v>
      </c>
      <c r="M366" t="b">
        <f t="shared" si="53"/>
        <v>0</v>
      </c>
      <c r="N366" t="b">
        <f t="shared" si="54"/>
        <v>1</v>
      </c>
    </row>
    <row r="367" spans="1:14">
      <c r="A367" s="29">
        <v>44927</v>
      </c>
      <c r="B367" s="30">
        <f t="shared" si="46"/>
        <v>1</v>
      </c>
      <c r="C367" s="30">
        <f t="shared" si="49"/>
        <v>1</v>
      </c>
      <c r="D367" s="26">
        <f>MATCH(WEEKDAY(A367),そのた定義!A:A,0)</f>
        <v>2</v>
      </c>
      <c r="E367" s="32" t="str">
        <f t="shared" ca="1" si="50"/>
        <v>日</v>
      </c>
      <c r="F367" s="26">
        <f t="shared" si="51"/>
        <v>1</v>
      </c>
      <c r="G367" s="26">
        <f>IF(ISNA(MATCH(A367,祝日定義!E:E,0)),0,1)</f>
        <v>1</v>
      </c>
      <c r="H367" s="26">
        <f>IF(ISNA(MATCH(B367&amp;"/"&amp;C367,そのた定義!E:E,0)), 0, 1)</f>
        <v>1</v>
      </c>
      <c r="I367" s="23" t="b">
        <f t="shared" si="52"/>
        <v>1</v>
      </c>
      <c r="J367" s="26">
        <v>0</v>
      </c>
      <c r="K367" s="26" t="b">
        <f t="shared" si="47"/>
        <v>0</v>
      </c>
      <c r="L367" s="26" t="b">
        <f t="shared" si="48"/>
        <v>0</v>
      </c>
      <c r="M367" t="b">
        <f t="shared" si="53"/>
        <v>0</v>
      </c>
      <c r="N367" t="b">
        <f t="shared" si="54"/>
        <v>0</v>
      </c>
    </row>
    <row r="368" spans="1:14">
      <c r="A368" s="29">
        <v>44928</v>
      </c>
      <c r="B368" s="30">
        <f t="shared" si="46"/>
        <v>1</v>
      </c>
      <c r="C368" s="30">
        <f t="shared" si="49"/>
        <v>2</v>
      </c>
      <c r="D368" s="26">
        <f>MATCH(WEEKDAY(A368),そのた定義!A:A,0)</f>
        <v>3</v>
      </c>
      <c r="E368" s="31" t="str">
        <f t="shared" ca="1" si="50"/>
        <v>月</v>
      </c>
      <c r="F368" s="26">
        <f t="shared" si="51"/>
        <v>0</v>
      </c>
      <c r="G368" s="26">
        <f>IF(ISNA(MATCH(A368,祝日定義!E:E,0)),0,1)</f>
        <v>1</v>
      </c>
      <c r="H368" s="26">
        <f>IF(ISNA(MATCH(B368&amp;"/"&amp;C368,そのた定義!E:E,0)), 0, 1)</f>
        <v>1</v>
      </c>
      <c r="I368" s="23" t="b">
        <f t="shared" si="52"/>
        <v>1</v>
      </c>
      <c r="J368" s="26">
        <v>0</v>
      </c>
      <c r="K368" s="26" t="b">
        <f t="shared" si="47"/>
        <v>0</v>
      </c>
      <c r="L368" s="26" t="b">
        <f t="shared" si="48"/>
        <v>0</v>
      </c>
      <c r="M368" t="b">
        <f t="shared" si="53"/>
        <v>0</v>
      </c>
      <c r="N368" t="b">
        <f t="shared" si="54"/>
        <v>0</v>
      </c>
    </row>
    <row r="369" spans="1:14">
      <c r="A369" s="29">
        <v>44929</v>
      </c>
      <c r="B369" s="30">
        <f t="shared" si="46"/>
        <v>1</v>
      </c>
      <c r="C369" s="30">
        <f t="shared" si="49"/>
        <v>3</v>
      </c>
      <c r="D369" s="26">
        <f>MATCH(WEEKDAY(A369),そのた定義!A:A,0)</f>
        <v>4</v>
      </c>
      <c r="E369" s="31" t="str">
        <f t="shared" ca="1" si="50"/>
        <v>火</v>
      </c>
      <c r="F369" s="26">
        <f t="shared" si="51"/>
        <v>0</v>
      </c>
      <c r="G369" s="26">
        <f>IF(ISNA(MATCH(A369,祝日定義!E:E,0)),0,1)</f>
        <v>0</v>
      </c>
      <c r="H369" s="26">
        <f>IF(ISNA(MATCH(B369&amp;"/"&amp;C369,そのた定義!E:E,0)), 0, 1)</f>
        <v>1</v>
      </c>
      <c r="I369" s="23" t="b">
        <f t="shared" si="52"/>
        <v>1</v>
      </c>
      <c r="J369" s="26">
        <v>0</v>
      </c>
      <c r="K369" s="26" t="b">
        <f t="shared" si="47"/>
        <v>0</v>
      </c>
      <c r="L369" s="26" t="b">
        <f t="shared" si="48"/>
        <v>0</v>
      </c>
      <c r="M369" t="b">
        <f t="shared" si="53"/>
        <v>0</v>
      </c>
      <c r="N369" t="b">
        <f t="shared" si="54"/>
        <v>0</v>
      </c>
    </row>
    <row r="370" spans="1:14">
      <c r="A370" s="29">
        <v>44930</v>
      </c>
      <c r="B370" s="30">
        <f t="shared" si="46"/>
        <v>1</v>
      </c>
      <c r="C370" s="30">
        <f t="shared" si="49"/>
        <v>4</v>
      </c>
      <c r="D370" s="26">
        <f>MATCH(WEEKDAY(A370),そのた定義!A:A,0)</f>
        <v>5</v>
      </c>
      <c r="E370" s="26" t="str">
        <f t="shared" ca="1" si="50"/>
        <v>水</v>
      </c>
      <c r="F370" s="26">
        <f t="shared" si="51"/>
        <v>0</v>
      </c>
      <c r="G370" s="26">
        <f>IF(ISNA(MATCH(A370,祝日定義!E:E,0)),0,1)</f>
        <v>0</v>
      </c>
      <c r="H370" s="26">
        <f>IF(ISNA(MATCH(B370&amp;"/"&amp;C370,そのた定義!E:E,0)), 0, 1)</f>
        <v>0</v>
      </c>
      <c r="I370" s="26" t="b">
        <f t="shared" si="52"/>
        <v>0</v>
      </c>
      <c r="J370" s="26">
        <v>5</v>
      </c>
      <c r="K370" s="26" t="b">
        <f t="shared" si="47"/>
        <v>0</v>
      </c>
      <c r="L370" s="26" t="b">
        <f t="shared" si="48"/>
        <v>0</v>
      </c>
      <c r="M370" t="b">
        <f t="shared" si="53"/>
        <v>1</v>
      </c>
      <c r="N370" t="b">
        <f t="shared" si="54"/>
        <v>0</v>
      </c>
    </row>
    <row r="371" spans="1:14">
      <c r="A371" s="29">
        <v>44931</v>
      </c>
      <c r="B371" s="30">
        <f t="shared" si="46"/>
        <v>1</v>
      </c>
      <c r="C371" s="30">
        <f t="shared" si="49"/>
        <v>5</v>
      </c>
      <c r="D371" s="26">
        <f>MATCH(WEEKDAY(A371),そのた定義!A:A,0)</f>
        <v>6</v>
      </c>
      <c r="E371" s="26" t="str">
        <f t="shared" ca="1" si="50"/>
        <v>木</v>
      </c>
      <c r="F371" s="26">
        <f t="shared" si="51"/>
        <v>0</v>
      </c>
      <c r="G371" s="26">
        <f>IF(ISNA(MATCH(A371,祝日定義!E:E,0)),0,1)</f>
        <v>0</v>
      </c>
      <c r="H371" s="26">
        <f>IF(ISNA(MATCH(B371&amp;"/"&amp;C371,そのた定義!E:E,0)), 0, 1)</f>
        <v>0</v>
      </c>
      <c r="I371" s="26" t="b">
        <f t="shared" si="52"/>
        <v>0</v>
      </c>
      <c r="J371" s="26">
        <v>0</v>
      </c>
      <c r="K371" s="26" t="b">
        <f t="shared" si="47"/>
        <v>0</v>
      </c>
      <c r="L371" s="26" t="b">
        <f t="shared" si="48"/>
        <v>0</v>
      </c>
      <c r="M371" t="b">
        <f t="shared" si="53"/>
        <v>0</v>
      </c>
      <c r="N371" t="b">
        <f t="shared" si="54"/>
        <v>0</v>
      </c>
    </row>
    <row r="372" spans="1:14">
      <c r="A372" s="29">
        <v>44932</v>
      </c>
      <c r="B372" s="30">
        <f t="shared" si="46"/>
        <v>1</v>
      </c>
      <c r="C372" s="30">
        <f t="shared" si="49"/>
        <v>6</v>
      </c>
      <c r="D372" s="26">
        <f>MATCH(WEEKDAY(A372),そのた定義!A:A,0)</f>
        <v>7</v>
      </c>
      <c r="E372" s="26" t="str">
        <f t="shared" ca="1" si="50"/>
        <v>金</v>
      </c>
      <c r="F372" s="26">
        <f t="shared" si="51"/>
        <v>0</v>
      </c>
      <c r="G372" s="26">
        <f>IF(ISNA(MATCH(A372,祝日定義!E:E,0)),0,1)</f>
        <v>0</v>
      </c>
      <c r="H372" s="26">
        <f>IF(ISNA(MATCH(B372&amp;"/"&amp;C372,そのた定義!E:E,0)), 0, 1)</f>
        <v>0</v>
      </c>
      <c r="I372" s="26" t="b">
        <f t="shared" si="52"/>
        <v>0</v>
      </c>
      <c r="J372" s="26">
        <v>0</v>
      </c>
      <c r="K372" s="26" t="b">
        <f t="shared" si="47"/>
        <v>0</v>
      </c>
      <c r="L372" s="26" t="b">
        <f t="shared" si="48"/>
        <v>0</v>
      </c>
      <c r="M372" t="b">
        <f t="shared" si="53"/>
        <v>0</v>
      </c>
      <c r="N372" t="b">
        <f t="shared" si="54"/>
        <v>0</v>
      </c>
    </row>
    <row r="373" spans="1:14">
      <c r="A373" s="29">
        <v>44933</v>
      </c>
      <c r="B373" s="30">
        <f t="shared" si="46"/>
        <v>1</v>
      </c>
      <c r="C373" s="30">
        <f t="shared" si="49"/>
        <v>7</v>
      </c>
      <c r="D373" s="26">
        <f>MATCH(WEEKDAY(A373),そのた定義!A:A,0)</f>
        <v>8</v>
      </c>
      <c r="E373" s="33" t="str">
        <f t="shared" ca="1" si="50"/>
        <v>土</v>
      </c>
      <c r="F373" s="26">
        <f t="shared" si="51"/>
        <v>1</v>
      </c>
      <c r="G373" s="26">
        <f>IF(ISNA(MATCH(A373,祝日定義!E:E,0)),0,1)</f>
        <v>0</v>
      </c>
      <c r="H373" s="26">
        <f>IF(ISNA(MATCH(B373&amp;"/"&amp;C373,そのた定義!E:E,0)), 0, 1)</f>
        <v>0</v>
      </c>
      <c r="I373" s="23" t="b">
        <f t="shared" si="52"/>
        <v>1</v>
      </c>
      <c r="J373" s="26">
        <v>0</v>
      </c>
      <c r="K373" s="26" t="b">
        <f t="shared" si="47"/>
        <v>0</v>
      </c>
      <c r="L373" s="26" t="b">
        <f t="shared" si="48"/>
        <v>0</v>
      </c>
      <c r="M373" t="b">
        <f t="shared" si="53"/>
        <v>0</v>
      </c>
      <c r="N373" t="b">
        <f t="shared" si="54"/>
        <v>0</v>
      </c>
    </row>
    <row r="374" spans="1:14">
      <c r="A374" s="29">
        <v>44934</v>
      </c>
      <c r="B374" s="30">
        <f t="shared" si="46"/>
        <v>1</v>
      </c>
      <c r="C374" s="30">
        <f t="shared" si="49"/>
        <v>8</v>
      </c>
      <c r="D374" s="26">
        <f>MATCH(WEEKDAY(A374),そのた定義!A:A,0)</f>
        <v>2</v>
      </c>
      <c r="E374" s="32" t="str">
        <f t="shared" ca="1" si="50"/>
        <v>日</v>
      </c>
      <c r="F374" s="26">
        <f t="shared" si="51"/>
        <v>1</v>
      </c>
      <c r="G374" s="26">
        <f>IF(ISNA(MATCH(A374,祝日定義!E:E,0)),0,1)</f>
        <v>0</v>
      </c>
      <c r="H374" s="26">
        <f>IF(ISNA(MATCH(B374&amp;"/"&amp;C374,そのた定義!E:E,0)), 0, 1)</f>
        <v>0</v>
      </c>
      <c r="I374" s="23" t="b">
        <f t="shared" si="52"/>
        <v>1</v>
      </c>
      <c r="J374" s="26">
        <v>0</v>
      </c>
      <c r="K374" s="26" t="b">
        <f t="shared" si="47"/>
        <v>0</v>
      </c>
      <c r="L374" s="26" t="b">
        <f t="shared" si="48"/>
        <v>0</v>
      </c>
      <c r="M374" t="b">
        <f t="shared" si="53"/>
        <v>0</v>
      </c>
      <c r="N374" t="b">
        <f t="shared" si="54"/>
        <v>0</v>
      </c>
    </row>
    <row r="375" spans="1:14">
      <c r="A375" s="29">
        <v>44935</v>
      </c>
      <c r="B375" s="30">
        <f t="shared" si="46"/>
        <v>1</v>
      </c>
      <c r="C375" s="30">
        <f t="shared" si="49"/>
        <v>9</v>
      </c>
      <c r="D375" s="26">
        <f>MATCH(WEEKDAY(A375),そのた定義!A:A,0)</f>
        <v>3</v>
      </c>
      <c r="E375" s="31" t="str">
        <f t="shared" ca="1" si="50"/>
        <v>月</v>
      </c>
      <c r="F375" s="26">
        <f t="shared" si="51"/>
        <v>0</v>
      </c>
      <c r="G375" s="26">
        <f>IF(ISNA(MATCH(A375,祝日定義!E:E,0)),0,1)</f>
        <v>1</v>
      </c>
      <c r="H375" s="26">
        <f>IF(ISNA(MATCH(B375&amp;"/"&amp;C375,そのた定義!E:E,0)), 0, 1)</f>
        <v>0</v>
      </c>
      <c r="I375" s="23" t="b">
        <f t="shared" si="52"/>
        <v>1</v>
      </c>
      <c r="J375" s="26">
        <v>0</v>
      </c>
      <c r="K375" s="26" t="b">
        <f t="shared" si="47"/>
        <v>0</v>
      </c>
      <c r="L375" s="26" t="b">
        <f t="shared" si="48"/>
        <v>0</v>
      </c>
      <c r="M375" t="b">
        <f t="shared" si="53"/>
        <v>0</v>
      </c>
      <c r="N375" t="b">
        <f t="shared" si="54"/>
        <v>0</v>
      </c>
    </row>
    <row r="376" spans="1:14">
      <c r="A376" s="29">
        <v>44936</v>
      </c>
      <c r="B376" s="30">
        <f t="shared" si="46"/>
        <v>1</v>
      </c>
      <c r="C376" s="30">
        <f t="shared" si="49"/>
        <v>10</v>
      </c>
      <c r="D376" s="26">
        <f>MATCH(WEEKDAY(A376),そのた定義!A:A,0)</f>
        <v>4</v>
      </c>
      <c r="E376" s="26" t="str">
        <f t="shared" ca="1" si="50"/>
        <v>火</v>
      </c>
      <c r="F376" s="26">
        <f t="shared" si="51"/>
        <v>0</v>
      </c>
      <c r="G376" s="26">
        <f>IF(ISNA(MATCH(A376,祝日定義!E:E,0)),0,1)</f>
        <v>0</v>
      </c>
      <c r="H376" s="26">
        <f>IF(ISNA(MATCH(B376&amp;"/"&amp;C376,そのた定義!E:E,0)), 0, 1)</f>
        <v>0</v>
      </c>
      <c r="I376" s="26" t="b">
        <f t="shared" si="52"/>
        <v>0</v>
      </c>
      <c r="J376" s="26">
        <v>3</v>
      </c>
      <c r="K376" s="26" t="b">
        <f t="shared" si="47"/>
        <v>0</v>
      </c>
      <c r="L376" s="26" t="b">
        <f t="shared" si="48"/>
        <v>0</v>
      </c>
      <c r="M376" t="b">
        <f t="shared" si="53"/>
        <v>0</v>
      </c>
      <c r="N376" t="b">
        <f t="shared" si="54"/>
        <v>0</v>
      </c>
    </row>
    <row r="377" spans="1:14">
      <c r="A377" s="29">
        <v>44937</v>
      </c>
      <c r="B377" s="30">
        <f t="shared" si="46"/>
        <v>1</v>
      </c>
      <c r="C377" s="30">
        <f t="shared" si="49"/>
        <v>11</v>
      </c>
      <c r="D377" s="26">
        <f>MATCH(WEEKDAY(A377),そのた定義!A:A,0)</f>
        <v>5</v>
      </c>
      <c r="E377" s="26" t="str">
        <f t="shared" ca="1" si="50"/>
        <v>水</v>
      </c>
      <c r="F377" s="26">
        <f t="shared" si="51"/>
        <v>0</v>
      </c>
      <c r="G377" s="26">
        <f>IF(ISNA(MATCH(A377,祝日定義!E:E,0)),0,1)</f>
        <v>0</v>
      </c>
      <c r="H377" s="26">
        <f>IF(ISNA(MATCH(B377&amp;"/"&amp;C377,そのた定義!E:E,0)), 0, 1)</f>
        <v>0</v>
      </c>
      <c r="I377" s="26" t="b">
        <f t="shared" si="52"/>
        <v>0</v>
      </c>
      <c r="J377" s="26">
        <v>0</v>
      </c>
      <c r="K377" s="26" t="b">
        <f t="shared" si="47"/>
        <v>0</v>
      </c>
      <c r="L377" s="26" t="b">
        <f t="shared" si="48"/>
        <v>0</v>
      </c>
      <c r="M377" t="b">
        <f t="shared" si="53"/>
        <v>0</v>
      </c>
      <c r="N377" t="b">
        <f t="shared" si="54"/>
        <v>0</v>
      </c>
    </row>
    <row r="378" spans="1:14">
      <c r="A378" s="29">
        <v>44938</v>
      </c>
      <c r="B378" s="30">
        <f t="shared" si="46"/>
        <v>1</v>
      </c>
      <c r="C378" s="30">
        <f t="shared" si="49"/>
        <v>12</v>
      </c>
      <c r="D378" s="26">
        <f>MATCH(WEEKDAY(A378),そのた定義!A:A,0)</f>
        <v>6</v>
      </c>
      <c r="E378" s="26" t="str">
        <f t="shared" ca="1" si="50"/>
        <v>木</v>
      </c>
      <c r="F378" s="26">
        <f t="shared" si="51"/>
        <v>0</v>
      </c>
      <c r="G378" s="26">
        <f>IF(ISNA(MATCH(A378,祝日定義!E:E,0)),0,1)</f>
        <v>0</v>
      </c>
      <c r="H378" s="26">
        <f>IF(ISNA(MATCH(B378&amp;"/"&amp;C378,そのた定義!E:E,0)), 0, 1)</f>
        <v>0</v>
      </c>
      <c r="I378" s="26" t="b">
        <f t="shared" si="52"/>
        <v>0</v>
      </c>
      <c r="J378" s="26">
        <v>0</v>
      </c>
      <c r="K378" s="26" t="b">
        <f t="shared" si="47"/>
        <v>0</v>
      </c>
      <c r="L378" s="26" t="b">
        <f t="shared" si="48"/>
        <v>0</v>
      </c>
      <c r="M378" t="b">
        <f t="shared" si="53"/>
        <v>0</v>
      </c>
      <c r="N378" t="b">
        <f t="shared" si="54"/>
        <v>0</v>
      </c>
    </row>
    <row r="379" spans="1:14">
      <c r="A379" s="29">
        <v>44939</v>
      </c>
      <c r="B379" s="30">
        <f t="shared" si="46"/>
        <v>1</v>
      </c>
      <c r="C379" s="30">
        <f t="shared" si="49"/>
        <v>13</v>
      </c>
      <c r="D379" s="26">
        <f>MATCH(WEEKDAY(A379),そのた定義!A:A,0)</f>
        <v>7</v>
      </c>
      <c r="E379" s="26" t="str">
        <f t="shared" ca="1" si="50"/>
        <v>金</v>
      </c>
      <c r="F379" s="26">
        <f t="shared" si="51"/>
        <v>0</v>
      </c>
      <c r="G379" s="26">
        <f>IF(ISNA(MATCH(A379,祝日定義!E:E,0)),0,1)</f>
        <v>0</v>
      </c>
      <c r="H379" s="26">
        <f>IF(ISNA(MATCH(B379&amp;"/"&amp;C379,そのた定義!E:E,0)), 0, 1)</f>
        <v>0</v>
      </c>
      <c r="I379" s="26" t="b">
        <f t="shared" si="52"/>
        <v>0</v>
      </c>
      <c r="J379" s="26">
        <v>0</v>
      </c>
      <c r="K379" s="26" t="b">
        <f t="shared" si="47"/>
        <v>0</v>
      </c>
      <c r="L379" s="26" t="b">
        <f t="shared" si="48"/>
        <v>0</v>
      </c>
      <c r="M379" t="b">
        <f t="shared" si="53"/>
        <v>0</v>
      </c>
      <c r="N379" t="b">
        <f t="shared" si="54"/>
        <v>0</v>
      </c>
    </row>
    <row r="380" spans="1:14">
      <c r="A380" s="29">
        <v>44940</v>
      </c>
      <c r="B380" s="30">
        <f t="shared" si="46"/>
        <v>1</v>
      </c>
      <c r="C380" s="30">
        <f t="shared" si="49"/>
        <v>14</v>
      </c>
      <c r="D380" s="26">
        <f>MATCH(WEEKDAY(A380),そのた定義!A:A,0)</f>
        <v>8</v>
      </c>
      <c r="E380" s="33" t="str">
        <f t="shared" ca="1" si="50"/>
        <v>土</v>
      </c>
      <c r="F380" s="26">
        <f t="shared" si="51"/>
        <v>1</v>
      </c>
      <c r="G380" s="26">
        <f>IF(ISNA(MATCH(A380,祝日定義!E:E,0)),0,1)</f>
        <v>0</v>
      </c>
      <c r="H380" s="26">
        <f>IF(ISNA(MATCH(B380&amp;"/"&amp;C380,そのた定義!E:E,0)), 0, 1)</f>
        <v>0</v>
      </c>
      <c r="I380" s="23" t="b">
        <f t="shared" si="52"/>
        <v>1</v>
      </c>
      <c r="J380" s="26">
        <v>0</v>
      </c>
      <c r="K380" s="26" t="b">
        <f t="shared" si="47"/>
        <v>0</v>
      </c>
      <c r="L380" s="26" t="b">
        <f t="shared" si="48"/>
        <v>0</v>
      </c>
      <c r="M380" t="b">
        <f t="shared" si="53"/>
        <v>0</v>
      </c>
      <c r="N380" t="b">
        <f t="shared" si="54"/>
        <v>0</v>
      </c>
    </row>
    <row r="381" spans="1:14">
      <c r="A381" s="29">
        <v>44941</v>
      </c>
      <c r="B381" s="30">
        <f t="shared" si="46"/>
        <v>1</v>
      </c>
      <c r="C381" s="30">
        <f t="shared" si="49"/>
        <v>15</v>
      </c>
      <c r="D381" s="26">
        <f>MATCH(WEEKDAY(A381),そのた定義!A:A,0)</f>
        <v>2</v>
      </c>
      <c r="E381" s="32" t="str">
        <f t="shared" ca="1" si="50"/>
        <v>日</v>
      </c>
      <c r="F381" s="26">
        <f t="shared" si="51"/>
        <v>1</v>
      </c>
      <c r="G381" s="26">
        <f>IF(ISNA(MATCH(A381,祝日定義!E:E,0)),0,1)</f>
        <v>0</v>
      </c>
      <c r="H381" s="26">
        <f>IF(ISNA(MATCH(B381&amp;"/"&amp;C381,そのた定義!E:E,0)), 0, 1)</f>
        <v>0</v>
      </c>
      <c r="I381" s="23" t="b">
        <f t="shared" si="52"/>
        <v>1</v>
      </c>
      <c r="J381" s="26">
        <v>0</v>
      </c>
      <c r="K381" s="26" t="b">
        <f t="shared" si="47"/>
        <v>0</v>
      </c>
      <c r="L381" s="26" t="b">
        <f t="shared" si="48"/>
        <v>0</v>
      </c>
      <c r="M381" t="b">
        <f t="shared" si="53"/>
        <v>0</v>
      </c>
      <c r="N381" t="b">
        <f t="shared" si="54"/>
        <v>0</v>
      </c>
    </row>
    <row r="382" spans="1:14">
      <c r="A382" s="29">
        <v>44942</v>
      </c>
      <c r="B382" s="30">
        <f t="shared" si="46"/>
        <v>1</v>
      </c>
      <c r="C382" s="30">
        <f t="shared" si="49"/>
        <v>16</v>
      </c>
      <c r="D382" s="26">
        <f>MATCH(WEEKDAY(A382),そのた定義!A:A,0)</f>
        <v>3</v>
      </c>
      <c r="E382" s="26" t="str">
        <f t="shared" ca="1" si="50"/>
        <v>月</v>
      </c>
      <c r="F382" s="26">
        <f t="shared" si="51"/>
        <v>0</v>
      </c>
      <c r="G382" s="26">
        <f>IF(ISNA(MATCH(A382,祝日定義!E:E,0)),0,1)</f>
        <v>0</v>
      </c>
      <c r="H382" s="26">
        <f>IF(ISNA(MATCH(B382&amp;"/"&amp;C382,そのた定義!E:E,0)), 0, 1)</f>
        <v>0</v>
      </c>
      <c r="I382" s="26" t="b">
        <f t="shared" si="52"/>
        <v>0</v>
      </c>
      <c r="J382" s="26">
        <v>2</v>
      </c>
      <c r="K382" s="26" t="b">
        <f t="shared" si="47"/>
        <v>0</v>
      </c>
      <c r="L382" s="26" t="b">
        <f t="shared" si="48"/>
        <v>0</v>
      </c>
      <c r="M382" t="b">
        <f t="shared" si="53"/>
        <v>0</v>
      </c>
      <c r="N382" t="b">
        <f t="shared" si="54"/>
        <v>0</v>
      </c>
    </row>
    <row r="383" spans="1:14">
      <c r="A383" s="29">
        <v>44943</v>
      </c>
      <c r="B383" s="30">
        <f t="shared" si="46"/>
        <v>1</v>
      </c>
      <c r="C383" s="30">
        <f t="shared" si="49"/>
        <v>17</v>
      </c>
      <c r="D383" s="26">
        <f>MATCH(WEEKDAY(A383),そのた定義!A:A,0)</f>
        <v>4</v>
      </c>
      <c r="E383" s="26" t="str">
        <f t="shared" ca="1" si="50"/>
        <v>火</v>
      </c>
      <c r="F383" s="26">
        <f t="shared" si="51"/>
        <v>0</v>
      </c>
      <c r="G383" s="26">
        <f>IF(ISNA(MATCH(A383,祝日定義!E:E,0)),0,1)</f>
        <v>0</v>
      </c>
      <c r="H383" s="26">
        <f>IF(ISNA(MATCH(B383&amp;"/"&amp;C383,そのた定義!E:E,0)), 0, 1)</f>
        <v>0</v>
      </c>
      <c r="I383" s="26" t="b">
        <f t="shared" si="52"/>
        <v>0</v>
      </c>
      <c r="J383" s="26">
        <v>0</v>
      </c>
      <c r="K383" s="26" t="b">
        <f t="shared" si="47"/>
        <v>0</v>
      </c>
      <c r="L383" s="26" t="b">
        <f t="shared" si="48"/>
        <v>0</v>
      </c>
      <c r="M383" t="b">
        <f t="shared" si="53"/>
        <v>0</v>
      </c>
      <c r="N383" t="b">
        <f t="shared" si="54"/>
        <v>0</v>
      </c>
    </row>
    <row r="384" spans="1:14">
      <c r="A384" s="29">
        <v>44944</v>
      </c>
      <c r="B384" s="30">
        <f t="shared" si="46"/>
        <v>1</v>
      </c>
      <c r="C384" s="30">
        <f t="shared" si="49"/>
        <v>18</v>
      </c>
      <c r="D384" s="26">
        <f>MATCH(WEEKDAY(A384),そのた定義!A:A,0)</f>
        <v>5</v>
      </c>
      <c r="E384" s="26" t="str">
        <f t="shared" ca="1" si="50"/>
        <v>水</v>
      </c>
      <c r="F384" s="26">
        <f t="shared" si="51"/>
        <v>0</v>
      </c>
      <c r="G384" s="26">
        <f>IF(ISNA(MATCH(A384,祝日定義!E:E,0)),0,1)</f>
        <v>0</v>
      </c>
      <c r="H384" s="26">
        <f>IF(ISNA(MATCH(B384&amp;"/"&amp;C384,そのた定義!E:E,0)), 0, 1)</f>
        <v>0</v>
      </c>
      <c r="I384" s="26" t="b">
        <f t="shared" si="52"/>
        <v>0</v>
      </c>
      <c r="J384" s="26">
        <v>0</v>
      </c>
      <c r="K384" s="26" t="b">
        <f t="shared" si="47"/>
        <v>0</v>
      </c>
      <c r="L384" s="26" t="b">
        <f t="shared" si="48"/>
        <v>0</v>
      </c>
      <c r="M384" t="b">
        <f t="shared" si="53"/>
        <v>0</v>
      </c>
      <c r="N384" t="b">
        <f t="shared" si="54"/>
        <v>0</v>
      </c>
    </row>
    <row r="385" spans="1:14">
      <c r="A385" s="29">
        <v>44945</v>
      </c>
      <c r="B385" s="30">
        <f t="shared" si="46"/>
        <v>1</v>
      </c>
      <c r="C385" s="30">
        <f t="shared" si="49"/>
        <v>19</v>
      </c>
      <c r="D385" s="26">
        <f>MATCH(WEEKDAY(A385),そのた定義!A:A,0)</f>
        <v>6</v>
      </c>
      <c r="E385" s="26" t="str">
        <f t="shared" ca="1" si="50"/>
        <v>木</v>
      </c>
      <c r="F385" s="26">
        <f t="shared" si="51"/>
        <v>0</v>
      </c>
      <c r="G385" s="26">
        <f>IF(ISNA(MATCH(A385,祝日定義!E:E,0)),0,1)</f>
        <v>0</v>
      </c>
      <c r="H385" s="26">
        <f>IF(ISNA(MATCH(B385&amp;"/"&amp;C385,そのた定義!E:E,0)), 0, 1)</f>
        <v>0</v>
      </c>
      <c r="I385" s="26" t="b">
        <f t="shared" si="52"/>
        <v>0</v>
      </c>
      <c r="J385" s="26">
        <v>0</v>
      </c>
      <c r="K385" s="26" t="b">
        <f t="shared" si="47"/>
        <v>0</v>
      </c>
      <c r="L385" s="26" t="b">
        <f t="shared" si="48"/>
        <v>0</v>
      </c>
      <c r="M385" t="b">
        <f t="shared" si="53"/>
        <v>0</v>
      </c>
      <c r="N385" t="b">
        <f t="shared" si="54"/>
        <v>0</v>
      </c>
    </row>
    <row r="386" spans="1:14">
      <c r="A386" s="29">
        <v>44946</v>
      </c>
      <c r="B386" s="30">
        <f t="shared" ref="B386:B449" si="55">MONTH(A386)</f>
        <v>1</v>
      </c>
      <c r="C386" s="30">
        <f t="shared" si="49"/>
        <v>20</v>
      </c>
      <c r="D386" s="26">
        <f>MATCH(WEEKDAY(A386),そのた定義!A:A,0)</f>
        <v>7</v>
      </c>
      <c r="E386" s="26" t="str">
        <f t="shared" ca="1" si="50"/>
        <v>金</v>
      </c>
      <c r="F386" s="26">
        <f t="shared" si="51"/>
        <v>0</v>
      </c>
      <c r="G386" s="26">
        <f>IF(ISNA(MATCH(A386,祝日定義!E:E,0)),0,1)</f>
        <v>0</v>
      </c>
      <c r="H386" s="26">
        <f>IF(ISNA(MATCH(B386&amp;"/"&amp;C386,そのた定義!E:E,0)), 0, 1)</f>
        <v>0</v>
      </c>
      <c r="I386" s="26" t="b">
        <f t="shared" si="52"/>
        <v>0</v>
      </c>
      <c r="J386" s="26">
        <v>0</v>
      </c>
      <c r="K386" s="26" t="b">
        <f t="shared" ref="K386:K449" si="56">AND(C386&gt;25,DAY(A386-J386)&lt;=25)</f>
        <v>0</v>
      </c>
      <c r="L386" s="26" t="b">
        <f t="shared" ref="L386:L449" si="57">C386=25</f>
        <v>0</v>
      </c>
      <c r="M386" t="b">
        <f t="shared" si="53"/>
        <v>0</v>
      </c>
      <c r="N386" t="b">
        <f t="shared" si="54"/>
        <v>0</v>
      </c>
    </row>
    <row r="387" spans="1:14">
      <c r="A387" s="29">
        <v>44947</v>
      </c>
      <c r="B387" s="30">
        <f t="shared" si="55"/>
        <v>1</v>
      </c>
      <c r="C387" s="30">
        <f t="shared" ref="C387:C450" si="58">DAY(A387)</f>
        <v>21</v>
      </c>
      <c r="D387" s="26">
        <f>MATCH(WEEKDAY(A387),そのた定義!A:A,0)</f>
        <v>8</v>
      </c>
      <c r="E387" s="33" t="str">
        <f t="shared" ref="E387:E450" ca="1" si="59">INDIRECT("そのた定義!"&amp;"B"&amp;D387)</f>
        <v>土</v>
      </c>
      <c r="F387" s="26">
        <f t="shared" ref="F387:F450" si="60">IF(OR(D387=8,D387=2),1,0)</f>
        <v>1</v>
      </c>
      <c r="G387" s="26">
        <f>IF(ISNA(MATCH(A387,祝日定義!E:E,0)),0,1)</f>
        <v>0</v>
      </c>
      <c r="H387" s="26">
        <f>IF(ISNA(MATCH(B387&amp;"/"&amp;C387,そのた定義!E:E,0)), 0, 1)</f>
        <v>0</v>
      </c>
      <c r="I387" s="23" t="b">
        <f t="shared" ref="I387:I450" si="61">SUM(F387:H387)&gt;0</f>
        <v>1</v>
      </c>
      <c r="J387" s="26">
        <v>0</v>
      </c>
      <c r="K387" s="26" t="b">
        <f t="shared" si="56"/>
        <v>0</v>
      </c>
      <c r="L387" s="26" t="b">
        <f t="shared" si="57"/>
        <v>0</v>
      </c>
      <c r="M387" t="b">
        <f t="shared" ref="M387:M450" si="62">B387&lt;&gt;MONTH(A387-J387)</f>
        <v>0</v>
      </c>
      <c r="N387" t="b">
        <f t="shared" ref="N387:N450" si="63">B387&lt;&gt;MONTH(A387+1)</f>
        <v>0</v>
      </c>
    </row>
    <row r="388" spans="1:14">
      <c r="A388" s="29">
        <v>44948</v>
      </c>
      <c r="B388" s="30">
        <f t="shared" si="55"/>
        <v>1</v>
      </c>
      <c r="C388" s="30">
        <f t="shared" si="58"/>
        <v>22</v>
      </c>
      <c r="D388" s="26">
        <f>MATCH(WEEKDAY(A388),そのた定義!A:A,0)</f>
        <v>2</v>
      </c>
      <c r="E388" s="32" t="str">
        <f t="shared" ca="1" si="59"/>
        <v>日</v>
      </c>
      <c r="F388" s="26">
        <f t="shared" si="60"/>
        <v>1</v>
      </c>
      <c r="G388" s="26">
        <f>IF(ISNA(MATCH(A388,祝日定義!E:E,0)),0,1)</f>
        <v>0</v>
      </c>
      <c r="H388" s="26">
        <f>IF(ISNA(MATCH(B388&amp;"/"&amp;C388,そのた定義!E:E,0)), 0, 1)</f>
        <v>0</v>
      </c>
      <c r="I388" s="23" t="b">
        <f t="shared" si="61"/>
        <v>1</v>
      </c>
      <c r="J388" s="26">
        <v>0</v>
      </c>
      <c r="K388" s="26" t="b">
        <f t="shared" si="56"/>
        <v>0</v>
      </c>
      <c r="L388" s="26" t="b">
        <f t="shared" si="57"/>
        <v>0</v>
      </c>
      <c r="M388" t="b">
        <f t="shared" si="62"/>
        <v>0</v>
      </c>
      <c r="N388" t="b">
        <f t="shared" si="63"/>
        <v>0</v>
      </c>
    </row>
    <row r="389" spans="1:14">
      <c r="A389" s="29">
        <v>44949</v>
      </c>
      <c r="B389" s="30">
        <f t="shared" si="55"/>
        <v>1</v>
      </c>
      <c r="C389" s="30">
        <f t="shared" si="58"/>
        <v>23</v>
      </c>
      <c r="D389" s="26">
        <f>MATCH(WEEKDAY(A389),そのた定義!A:A,0)</f>
        <v>3</v>
      </c>
      <c r="E389" s="26" t="str">
        <f t="shared" ca="1" si="59"/>
        <v>月</v>
      </c>
      <c r="F389" s="26">
        <f t="shared" si="60"/>
        <v>0</v>
      </c>
      <c r="G389" s="26">
        <f>IF(ISNA(MATCH(A389,祝日定義!E:E,0)),0,1)</f>
        <v>0</v>
      </c>
      <c r="H389" s="26">
        <f>IF(ISNA(MATCH(B389&amp;"/"&amp;C389,そのた定義!E:E,0)), 0, 1)</f>
        <v>0</v>
      </c>
      <c r="I389" s="26" t="b">
        <f t="shared" si="61"/>
        <v>0</v>
      </c>
      <c r="J389" s="26">
        <v>2</v>
      </c>
      <c r="K389" s="26" t="b">
        <f t="shared" si="56"/>
        <v>0</v>
      </c>
      <c r="L389" s="26" t="b">
        <f t="shared" si="57"/>
        <v>0</v>
      </c>
      <c r="M389" t="b">
        <f t="shared" si="62"/>
        <v>0</v>
      </c>
      <c r="N389" t="b">
        <f t="shared" si="63"/>
        <v>0</v>
      </c>
    </row>
    <row r="390" spans="1:14">
      <c r="A390" s="29">
        <v>44950</v>
      </c>
      <c r="B390" s="30">
        <f t="shared" si="55"/>
        <v>1</v>
      </c>
      <c r="C390" s="30">
        <f t="shared" si="58"/>
        <v>24</v>
      </c>
      <c r="D390" s="26">
        <f>MATCH(WEEKDAY(A390),そのた定義!A:A,0)</f>
        <v>4</v>
      </c>
      <c r="E390" s="26" t="str">
        <f t="shared" ca="1" si="59"/>
        <v>火</v>
      </c>
      <c r="F390" s="26">
        <f t="shared" si="60"/>
        <v>0</v>
      </c>
      <c r="G390" s="26">
        <f>IF(ISNA(MATCH(A390,祝日定義!E:E,0)),0,1)</f>
        <v>0</v>
      </c>
      <c r="H390" s="26">
        <f>IF(ISNA(MATCH(B390&amp;"/"&amp;C390,そのた定義!E:E,0)), 0, 1)</f>
        <v>0</v>
      </c>
      <c r="I390" s="26" t="b">
        <f t="shared" si="61"/>
        <v>0</v>
      </c>
      <c r="J390" s="26">
        <v>0</v>
      </c>
      <c r="K390" s="26" t="b">
        <f t="shared" si="56"/>
        <v>0</v>
      </c>
      <c r="L390" s="26" t="b">
        <f t="shared" si="57"/>
        <v>0</v>
      </c>
      <c r="M390" t="b">
        <f t="shared" si="62"/>
        <v>0</v>
      </c>
      <c r="N390" t="b">
        <f t="shared" si="63"/>
        <v>0</v>
      </c>
    </row>
    <row r="391" spans="1:14">
      <c r="A391" s="29">
        <v>44951</v>
      </c>
      <c r="B391" s="30">
        <f t="shared" si="55"/>
        <v>1</v>
      </c>
      <c r="C391" s="30">
        <f t="shared" si="58"/>
        <v>25</v>
      </c>
      <c r="D391" s="26">
        <f>MATCH(WEEKDAY(A391),そのた定義!A:A,0)</f>
        <v>5</v>
      </c>
      <c r="E391" s="26" t="str">
        <f t="shared" ca="1" si="59"/>
        <v>水</v>
      </c>
      <c r="F391" s="26">
        <f t="shared" si="60"/>
        <v>0</v>
      </c>
      <c r="G391" s="26">
        <f>IF(ISNA(MATCH(A391,祝日定義!E:E,0)),0,1)</f>
        <v>0</v>
      </c>
      <c r="H391" s="26">
        <f>IF(ISNA(MATCH(B391&amp;"/"&amp;C391,そのた定義!E:E,0)), 0, 1)</f>
        <v>0</v>
      </c>
      <c r="I391" s="26" t="b">
        <f t="shared" si="61"/>
        <v>0</v>
      </c>
      <c r="J391" s="26">
        <v>0</v>
      </c>
      <c r="K391" s="26" t="b">
        <f t="shared" si="56"/>
        <v>0</v>
      </c>
      <c r="L391" s="23" t="b">
        <f t="shared" si="57"/>
        <v>1</v>
      </c>
      <c r="M391" t="b">
        <f t="shared" si="62"/>
        <v>0</v>
      </c>
      <c r="N391" t="b">
        <f t="shared" si="63"/>
        <v>0</v>
      </c>
    </row>
    <row r="392" spans="1:14">
      <c r="A392" s="29">
        <v>44952</v>
      </c>
      <c r="B392" s="30">
        <f t="shared" si="55"/>
        <v>1</v>
      </c>
      <c r="C392" s="30">
        <f t="shared" si="58"/>
        <v>26</v>
      </c>
      <c r="D392" s="26">
        <f>MATCH(WEEKDAY(A392),そのた定義!A:A,0)</f>
        <v>6</v>
      </c>
      <c r="E392" s="26" t="str">
        <f t="shared" ca="1" si="59"/>
        <v>木</v>
      </c>
      <c r="F392" s="26">
        <f t="shared" si="60"/>
        <v>0</v>
      </c>
      <c r="G392" s="26">
        <f>IF(ISNA(MATCH(A392,祝日定義!E:E,0)),0,1)</f>
        <v>0</v>
      </c>
      <c r="H392" s="26">
        <f>IF(ISNA(MATCH(B392&amp;"/"&amp;C392,そのた定義!E:E,0)), 0, 1)</f>
        <v>0</v>
      </c>
      <c r="I392" s="26" t="b">
        <f t="shared" si="61"/>
        <v>0</v>
      </c>
      <c r="J392" s="26">
        <v>0</v>
      </c>
      <c r="K392" s="26" t="b">
        <f t="shared" si="56"/>
        <v>0</v>
      </c>
      <c r="L392" s="26" t="b">
        <f t="shared" si="57"/>
        <v>0</v>
      </c>
      <c r="M392" t="b">
        <f t="shared" si="62"/>
        <v>0</v>
      </c>
      <c r="N392" t="b">
        <f t="shared" si="63"/>
        <v>0</v>
      </c>
    </row>
    <row r="393" spans="1:14">
      <c r="A393" s="29">
        <v>44953</v>
      </c>
      <c r="B393" s="30">
        <f t="shared" si="55"/>
        <v>1</v>
      </c>
      <c r="C393" s="30">
        <f t="shared" si="58"/>
        <v>27</v>
      </c>
      <c r="D393" s="26">
        <f>MATCH(WEEKDAY(A393),そのた定義!A:A,0)</f>
        <v>7</v>
      </c>
      <c r="E393" s="26" t="str">
        <f t="shared" ca="1" si="59"/>
        <v>金</v>
      </c>
      <c r="F393" s="26">
        <f t="shared" si="60"/>
        <v>0</v>
      </c>
      <c r="G393" s="26">
        <f>IF(ISNA(MATCH(A393,祝日定義!E:E,0)),0,1)</f>
        <v>0</v>
      </c>
      <c r="H393" s="26">
        <f>IF(ISNA(MATCH(B393&amp;"/"&amp;C393,そのた定義!E:E,0)), 0, 1)</f>
        <v>0</v>
      </c>
      <c r="I393" s="26" t="b">
        <f t="shared" si="61"/>
        <v>0</v>
      </c>
      <c r="J393" s="26">
        <v>0</v>
      </c>
      <c r="K393" s="26" t="b">
        <f t="shared" si="56"/>
        <v>0</v>
      </c>
      <c r="L393" s="26" t="b">
        <f t="shared" si="57"/>
        <v>0</v>
      </c>
      <c r="M393" t="b">
        <f t="shared" si="62"/>
        <v>0</v>
      </c>
      <c r="N393" t="b">
        <f t="shared" si="63"/>
        <v>0</v>
      </c>
    </row>
    <row r="394" spans="1:14">
      <c r="A394" s="29">
        <v>44954</v>
      </c>
      <c r="B394" s="30">
        <f t="shared" si="55"/>
        <v>1</v>
      </c>
      <c r="C394" s="30">
        <f t="shared" si="58"/>
        <v>28</v>
      </c>
      <c r="D394" s="26">
        <f>MATCH(WEEKDAY(A394),そのた定義!A:A,0)</f>
        <v>8</v>
      </c>
      <c r="E394" s="33" t="str">
        <f t="shared" ca="1" si="59"/>
        <v>土</v>
      </c>
      <c r="F394" s="26">
        <f t="shared" si="60"/>
        <v>1</v>
      </c>
      <c r="G394" s="26">
        <f>IF(ISNA(MATCH(A394,祝日定義!E:E,0)),0,1)</f>
        <v>0</v>
      </c>
      <c r="H394" s="26">
        <f>IF(ISNA(MATCH(B394&amp;"/"&amp;C394,そのた定義!E:E,0)), 0, 1)</f>
        <v>0</v>
      </c>
      <c r="I394" s="23" t="b">
        <f t="shared" si="61"/>
        <v>1</v>
      </c>
      <c r="J394" s="26">
        <v>0</v>
      </c>
      <c r="K394" s="26" t="b">
        <f t="shared" si="56"/>
        <v>0</v>
      </c>
      <c r="L394" s="26" t="b">
        <f t="shared" si="57"/>
        <v>0</v>
      </c>
      <c r="M394" t="b">
        <f t="shared" si="62"/>
        <v>0</v>
      </c>
      <c r="N394" t="b">
        <f t="shared" si="63"/>
        <v>0</v>
      </c>
    </row>
    <row r="395" spans="1:14">
      <c r="A395" s="29">
        <v>44955</v>
      </c>
      <c r="B395" s="30">
        <f t="shared" si="55"/>
        <v>1</v>
      </c>
      <c r="C395" s="30">
        <f t="shared" si="58"/>
        <v>29</v>
      </c>
      <c r="D395" s="26">
        <f>MATCH(WEEKDAY(A395),そのた定義!A:A,0)</f>
        <v>2</v>
      </c>
      <c r="E395" s="32" t="str">
        <f t="shared" ca="1" si="59"/>
        <v>日</v>
      </c>
      <c r="F395" s="26">
        <f t="shared" si="60"/>
        <v>1</v>
      </c>
      <c r="G395" s="26">
        <f>IF(ISNA(MATCH(A395,祝日定義!E:E,0)),0,1)</f>
        <v>0</v>
      </c>
      <c r="H395" s="26">
        <f>IF(ISNA(MATCH(B395&amp;"/"&amp;C395,そのた定義!E:E,0)), 0, 1)</f>
        <v>0</v>
      </c>
      <c r="I395" s="23" t="b">
        <f t="shared" si="61"/>
        <v>1</v>
      </c>
      <c r="J395" s="26">
        <v>0</v>
      </c>
      <c r="K395" s="26" t="b">
        <f t="shared" si="56"/>
        <v>0</v>
      </c>
      <c r="L395" s="26" t="b">
        <f t="shared" si="57"/>
        <v>0</v>
      </c>
      <c r="M395" t="b">
        <f t="shared" si="62"/>
        <v>0</v>
      </c>
      <c r="N395" t="b">
        <f t="shared" si="63"/>
        <v>0</v>
      </c>
    </row>
    <row r="396" spans="1:14">
      <c r="A396" s="29">
        <v>44956</v>
      </c>
      <c r="B396" s="30">
        <f t="shared" si="55"/>
        <v>1</v>
      </c>
      <c r="C396" s="30">
        <f t="shared" si="58"/>
        <v>30</v>
      </c>
      <c r="D396" s="26">
        <f>MATCH(WEEKDAY(A396),そのた定義!A:A,0)</f>
        <v>3</v>
      </c>
      <c r="E396" s="26" t="str">
        <f t="shared" ca="1" si="59"/>
        <v>月</v>
      </c>
      <c r="F396" s="26">
        <f t="shared" si="60"/>
        <v>0</v>
      </c>
      <c r="G396" s="26">
        <f>IF(ISNA(MATCH(A396,祝日定義!E:E,0)),0,1)</f>
        <v>0</v>
      </c>
      <c r="H396" s="26">
        <f>IF(ISNA(MATCH(B396&amp;"/"&amp;C396,そのた定義!E:E,0)), 0, 1)</f>
        <v>0</v>
      </c>
      <c r="I396" s="26" t="b">
        <f t="shared" si="61"/>
        <v>0</v>
      </c>
      <c r="J396" s="26">
        <v>2</v>
      </c>
      <c r="K396" s="26" t="b">
        <f t="shared" si="56"/>
        <v>0</v>
      </c>
      <c r="L396" s="26" t="b">
        <f t="shared" si="57"/>
        <v>0</v>
      </c>
      <c r="M396" t="b">
        <f t="shared" si="62"/>
        <v>0</v>
      </c>
      <c r="N396" t="b">
        <f t="shared" si="63"/>
        <v>0</v>
      </c>
    </row>
    <row r="397" spans="1:14">
      <c r="A397" s="29">
        <v>44957</v>
      </c>
      <c r="B397" s="30">
        <f t="shared" si="55"/>
        <v>1</v>
      </c>
      <c r="C397" s="30">
        <f t="shared" si="58"/>
        <v>31</v>
      </c>
      <c r="D397" s="26">
        <f>MATCH(WEEKDAY(A397),そのた定義!A:A,0)</f>
        <v>4</v>
      </c>
      <c r="E397" s="26" t="str">
        <f t="shared" ca="1" si="59"/>
        <v>火</v>
      </c>
      <c r="F397" s="26">
        <f t="shared" si="60"/>
        <v>0</v>
      </c>
      <c r="G397" s="26">
        <f>IF(ISNA(MATCH(A397,祝日定義!E:E,0)),0,1)</f>
        <v>0</v>
      </c>
      <c r="H397" s="26">
        <f>IF(ISNA(MATCH(B397&amp;"/"&amp;C397,そのた定義!E:E,0)), 0, 1)</f>
        <v>0</v>
      </c>
      <c r="I397" s="26" t="b">
        <f t="shared" si="61"/>
        <v>0</v>
      </c>
      <c r="J397" s="26">
        <v>0</v>
      </c>
      <c r="K397" s="26" t="b">
        <f t="shared" si="56"/>
        <v>0</v>
      </c>
      <c r="L397" s="26" t="b">
        <f t="shared" si="57"/>
        <v>0</v>
      </c>
      <c r="M397" t="b">
        <f t="shared" si="62"/>
        <v>0</v>
      </c>
      <c r="N397" t="b">
        <f t="shared" si="63"/>
        <v>1</v>
      </c>
    </row>
    <row r="398" spans="1:14">
      <c r="A398" s="29">
        <v>44958</v>
      </c>
      <c r="B398" s="30">
        <f t="shared" si="55"/>
        <v>2</v>
      </c>
      <c r="C398" s="30">
        <f t="shared" si="58"/>
        <v>1</v>
      </c>
      <c r="D398" s="26">
        <f>MATCH(WEEKDAY(A398),そのた定義!A:A,0)</f>
        <v>5</v>
      </c>
      <c r="E398" s="26" t="str">
        <f t="shared" ca="1" si="59"/>
        <v>水</v>
      </c>
      <c r="F398" s="26">
        <f t="shared" si="60"/>
        <v>0</v>
      </c>
      <c r="G398" s="26">
        <f>IF(ISNA(MATCH(A398,祝日定義!E:E,0)),0,1)</f>
        <v>0</v>
      </c>
      <c r="H398" s="26">
        <f>IF(ISNA(MATCH(B398&amp;"/"&amp;C398,そのた定義!E:E,0)), 0, 1)</f>
        <v>0</v>
      </c>
      <c r="I398" s="26" t="b">
        <f t="shared" si="61"/>
        <v>0</v>
      </c>
      <c r="J398" s="26">
        <v>0</v>
      </c>
      <c r="K398" s="26" t="b">
        <f t="shared" si="56"/>
        <v>0</v>
      </c>
      <c r="L398" s="26" t="b">
        <f t="shared" si="57"/>
        <v>0</v>
      </c>
      <c r="M398" t="b">
        <f t="shared" si="62"/>
        <v>0</v>
      </c>
      <c r="N398" t="b">
        <f t="shared" si="63"/>
        <v>0</v>
      </c>
    </row>
    <row r="399" spans="1:14">
      <c r="A399" s="29">
        <v>44959</v>
      </c>
      <c r="B399" s="30">
        <f t="shared" si="55"/>
        <v>2</v>
      </c>
      <c r="C399" s="30">
        <f t="shared" si="58"/>
        <v>2</v>
      </c>
      <c r="D399" s="26">
        <f>MATCH(WEEKDAY(A399),そのた定義!A:A,0)</f>
        <v>6</v>
      </c>
      <c r="E399" s="26" t="str">
        <f t="shared" ca="1" si="59"/>
        <v>木</v>
      </c>
      <c r="F399" s="26">
        <f t="shared" si="60"/>
        <v>0</v>
      </c>
      <c r="G399" s="26">
        <f>IF(ISNA(MATCH(A399,祝日定義!E:E,0)),0,1)</f>
        <v>0</v>
      </c>
      <c r="H399" s="26">
        <f>IF(ISNA(MATCH(B399&amp;"/"&amp;C399,そのた定義!E:E,0)), 0, 1)</f>
        <v>0</v>
      </c>
      <c r="I399" s="26" t="b">
        <f t="shared" si="61"/>
        <v>0</v>
      </c>
      <c r="J399" s="26">
        <v>0</v>
      </c>
      <c r="K399" s="26" t="b">
        <f t="shared" si="56"/>
        <v>0</v>
      </c>
      <c r="L399" s="26" t="b">
        <f t="shared" si="57"/>
        <v>0</v>
      </c>
      <c r="M399" t="b">
        <f t="shared" si="62"/>
        <v>0</v>
      </c>
      <c r="N399" t="b">
        <f t="shared" si="63"/>
        <v>0</v>
      </c>
    </row>
    <row r="400" spans="1:14">
      <c r="A400" s="29">
        <v>44960</v>
      </c>
      <c r="B400" s="30">
        <f t="shared" si="55"/>
        <v>2</v>
      </c>
      <c r="C400" s="30">
        <f t="shared" si="58"/>
        <v>3</v>
      </c>
      <c r="D400" s="26">
        <f>MATCH(WEEKDAY(A400),そのた定義!A:A,0)</f>
        <v>7</v>
      </c>
      <c r="E400" s="26" t="str">
        <f t="shared" ca="1" si="59"/>
        <v>金</v>
      </c>
      <c r="F400" s="26">
        <f t="shared" si="60"/>
        <v>0</v>
      </c>
      <c r="G400" s="26">
        <f>IF(ISNA(MATCH(A400,祝日定義!E:E,0)),0,1)</f>
        <v>0</v>
      </c>
      <c r="H400" s="26">
        <f>IF(ISNA(MATCH(B400&amp;"/"&amp;C400,そのた定義!E:E,0)), 0, 1)</f>
        <v>0</v>
      </c>
      <c r="I400" s="26" t="b">
        <f t="shared" si="61"/>
        <v>0</v>
      </c>
      <c r="J400" s="26">
        <v>0</v>
      </c>
      <c r="K400" s="26" t="b">
        <f t="shared" si="56"/>
        <v>0</v>
      </c>
      <c r="L400" s="26" t="b">
        <f t="shared" si="57"/>
        <v>0</v>
      </c>
      <c r="M400" t="b">
        <f t="shared" si="62"/>
        <v>0</v>
      </c>
      <c r="N400" t="b">
        <f t="shared" si="63"/>
        <v>0</v>
      </c>
    </row>
    <row r="401" spans="1:14">
      <c r="A401" s="29">
        <v>44961</v>
      </c>
      <c r="B401" s="30">
        <f t="shared" si="55"/>
        <v>2</v>
      </c>
      <c r="C401" s="30">
        <f t="shared" si="58"/>
        <v>4</v>
      </c>
      <c r="D401" s="26">
        <f>MATCH(WEEKDAY(A401),そのた定義!A:A,0)</f>
        <v>8</v>
      </c>
      <c r="E401" s="33" t="str">
        <f t="shared" ca="1" si="59"/>
        <v>土</v>
      </c>
      <c r="F401" s="26">
        <f t="shared" si="60"/>
        <v>1</v>
      </c>
      <c r="G401" s="26">
        <f>IF(ISNA(MATCH(A401,祝日定義!E:E,0)),0,1)</f>
        <v>0</v>
      </c>
      <c r="H401" s="26">
        <f>IF(ISNA(MATCH(B401&amp;"/"&amp;C401,そのた定義!E:E,0)), 0, 1)</f>
        <v>0</v>
      </c>
      <c r="I401" s="23" t="b">
        <f t="shared" si="61"/>
        <v>1</v>
      </c>
      <c r="J401" s="26">
        <v>0</v>
      </c>
      <c r="K401" s="26" t="b">
        <f t="shared" si="56"/>
        <v>0</v>
      </c>
      <c r="L401" s="26" t="b">
        <f t="shared" si="57"/>
        <v>0</v>
      </c>
      <c r="M401" t="b">
        <f t="shared" si="62"/>
        <v>0</v>
      </c>
      <c r="N401" t="b">
        <f t="shared" si="63"/>
        <v>0</v>
      </c>
    </row>
    <row r="402" spans="1:14">
      <c r="A402" s="29">
        <v>44962</v>
      </c>
      <c r="B402" s="30">
        <f t="shared" si="55"/>
        <v>2</v>
      </c>
      <c r="C402" s="30">
        <f t="shared" si="58"/>
        <v>5</v>
      </c>
      <c r="D402" s="26">
        <f>MATCH(WEEKDAY(A402),そのた定義!A:A,0)</f>
        <v>2</v>
      </c>
      <c r="E402" s="32" t="str">
        <f t="shared" ca="1" si="59"/>
        <v>日</v>
      </c>
      <c r="F402" s="26">
        <f t="shared" si="60"/>
        <v>1</v>
      </c>
      <c r="G402" s="26">
        <f>IF(ISNA(MATCH(A402,祝日定義!E:E,0)),0,1)</f>
        <v>0</v>
      </c>
      <c r="H402" s="26">
        <f>IF(ISNA(MATCH(B402&amp;"/"&amp;C402,そのた定義!E:E,0)), 0, 1)</f>
        <v>0</v>
      </c>
      <c r="I402" s="23" t="b">
        <f t="shared" si="61"/>
        <v>1</v>
      </c>
      <c r="J402" s="26">
        <v>0</v>
      </c>
      <c r="K402" s="26" t="b">
        <f t="shared" si="56"/>
        <v>0</v>
      </c>
      <c r="L402" s="26" t="b">
        <f t="shared" si="57"/>
        <v>0</v>
      </c>
      <c r="M402" t="b">
        <f t="shared" si="62"/>
        <v>0</v>
      </c>
      <c r="N402" t="b">
        <f t="shared" si="63"/>
        <v>0</v>
      </c>
    </row>
    <row r="403" spans="1:14">
      <c r="A403" s="29">
        <v>44963</v>
      </c>
      <c r="B403" s="30">
        <f t="shared" si="55"/>
        <v>2</v>
      </c>
      <c r="C403" s="30">
        <f t="shared" si="58"/>
        <v>6</v>
      </c>
      <c r="D403" s="26">
        <f>MATCH(WEEKDAY(A403),そのた定義!A:A,0)</f>
        <v>3</v>
      </c>
      <c r="E403" s="26" t="str">
        <f t="shared" ca="1" si="59"/>
        <v>月</v>
      </c>
      <c r="F403" s="26">
        <f t="shared" si="60"/>
        <v>0</v>
      </c>
      <c r="G403" s="26">
        <f>IF(ISNA(MATCH(A403,祝日定義!E:E,0)),0,1)</f>
        <v>0</v>
      </c>
      <c r="H403" s="26">
        <f>IF(ISNA(MATCH(B403&amp;"/"&amp;C403,そのた定義!E:E,0)), 0, 1)</f>
        <v>0</v>
      </c>
      <c r="I403" s="26" t="b">
        <f t="shared" si="61"/>
        <v>0</v>
      </c>
      <c r="J403" s="26">
        <v>2</v>
      </c>
      <c r="K403" s="26" t="b">
        <f t="shared" si="56"/>
        <v>0</v>
      </c>
      <c r="L403" s="26" t="b">
        <f t="shared" si="57"/>
        <v>0</v>
      </c>
      <c r="M403" t="b">
        <f t="shared" si="62"/>
        <v>0</v>
      </c>
      <c r="N403" t="b">
        <f t="shared" si="63"/>
        <v>0</v>
      </c>
    </row>
    <row r="404" spans="1:14">
      <c r="A404" s="29">
        <v>44964</v>
      </c>
      <c r="B404" s="30">
        <f t="shared" si="55"/>
        <v>2</v>
      </c>
      <c r="C404" s="30">
        <f t="shared" si="58"/>
        <v>7</v>
      </c>
      <c r="D404" s="26">
        <f>MATCH(WEEKDAY(A404),そのた定義!A:A,0)</f>
        <v>4</v>
      </c>
      <c r="E404" s="26" t="str">
        <f t="shared" ca="1" si="59"/>
        <v>火</v>
      </c>
      <c r="F404" s="26">
        <f t="shared" si="60"/>
        <v>0</v>
      </c>
      <c r="G404" s="26">
        <f>IF(ISNA(MATCH(A404,祝日定義!E:E,0)),0,1)</f>
        <v>0</v>
      </c>
      <c r="H404" s="26">
        <f>IF(ISNA(MATCH(B404&amp;"/"&amp;C404,そのた定義!E:E,0)), 0, 1)</f>
        <v>0</v>
      </c>
      <c r="I404" s="26" t="b">
        <f t="shared" si="61"/>
        <v>0</v>
      </c>
      <c r="J404" s="26">
        <v>0</v>
      </c>
      <c r="K404" s="26" t="b">
        <f t="shared" si="56"/>
        <v>0</v>
      </c>
      <c r="L404" s="26" t="b">
        <f t="shared" si="57"/>
        <v>0</v>
      </c>
      <c r="M404" t="b">
        <f t="shared" si="62"/>
        <v>0</v>
      </c>
      <c r="N404" t="b">
        <f t="shared" si="63"/>
        <v>0</v>
      </c>
    </row>
    <row r="405" spans="1:14">
      <c r="A405" s="29">
        <v>44965</v>
      </c>
      <c r="B405" s="30">
        <f t="shared" si="55"/>
        <v>2</v>
      </c>
      <c r="C405" s="30">
        <f t="shared" si="58"/>
        <v>8</v>
      </c>
      <c r="D405" s="26">
        <f>MATCH(WEEKDAY(A405),そのた定義!A:A,0)</f>
        <v>5</v>
      </c>
      <c r="E405" s="26" t="str">
        <f t="shared" ca="1" si="59"/>
        <v>水</v>
      </c>
      <c r="F405" s="26">
        <f t="shared" si="60"/>
        <v>0</v>
      </c>
      <c r="G405" s="26">
        <f>IF(ISNA(MATCH(A405,祝日定義!E:E,0)),0,1)</f>
        <v>0</v>
      </c>
      <c r="H405" s="26">
        <f>IF(ISNA(MATCH(B405&amp;"/"&amp;C405,そのた定義!E:E,0)), 0, 1)</f>
        <v>0</v>
      </c>
      <c r="I405" s="26" t="b">
        <f t="shared" si="61"/>
        <v>0</v>
      </c>
      <c r="J405" s="26">
        <v>0</v>
      </c>
      <c r="K405" s="26" t="b">
        <f t="shared" si="56"/>
        <v>0</v>
      </c>
      <c r="L405" s="26" t="b">
        <f t="shared" si="57"/>
        <v>0</v>
      </c>
      <c r="M405" t="b">
        <f t="shared" si="62"/>
        <v>0</v>
      </c>
      <c r="N405" t="b">
        <f t="shared" si="63"/>
        <v>0</v>
      </c>
    </row>
    <row r="406" spans="1:14">
      <c r="A406" s="29">
        <v>44966</v>
      </c>
      <c r="B406" s="30">
        <f t="shared" si="55"/>
        <v>2</v>
      </c>
      <c r="C406" s="30">
        <f t="shared" si="58"/>
        <v>9</v>
      </c>
      <c r="D406" s="26">
        <f>MATCH(WEEKDAY(A406),そのた定義!A:A,0)</f>
        <v>6</v>
      </c>
      <c r="E406" s="26" t="str">
        <f t="shared" ca="1" si="59"/>
        <v>木</v>
      </c>
      <c r="F406" s="26">
        <f t="shared" si="60"/>
        <v>0</v>
      </c>
      <c r="G406" s="26">
        <f>IF(ISNA(MATCH(A406,祝日定義!E:E,0)),0,1)</f>
        <v>0</v>
      </c>
      <c r="H406" s="26">
        <f>IF(ISNA(MATCH(B406&amp;"/"&amp;C406,そのた定義!E:E,0)), 0, 1)</f>
        <v>0</v>
      </c>
      <c r="I406" s="26" t="b">
        <f t="shared" si="61"/>
        <v>0</v>
      </c>
      <c r="J406" s="26">
        <v>0</v>
      </c>
      <c r="K406" s="26" t="b">
        <f t="shared" si="56"/>
        <v>0</v>
      </c>
      <c r="L406" s="26" t="b">
        <f t="shared" si="57"/>
        <v>0</v>
      </c>
      <c r="M406" t="b">
        <f t="shared" si="62"/>
        <v>0</v>
      </c>
      <c r="N406" t="b">
        <f t="shared" si="63"/>
        <v>0</v>
      </c>
    </row>
    <row r="407" spans="1:14">
      <c r="A407" s="29">
        <v>44967</v>
      </c>
      <c r="B407" s="30">
        <f t="shared" si="55"/>
        <v>2</v>
      </c>
      <c r="C407" s="30">
        <f t="shared" si="58"/>
        <v>10</v>
      </c>
      <c r="D407" s="26">
        <f>MATCH(WEEKDAY(A407),そのた定義!A:A,0)</f>
        <v>7</v>
      </c>
      <c r="E407" s="26" t="str">
        <f t="shared" ca="1" si="59"/>
        <v>金</v>
      </c>
      <c r="F407" s="26">
        <f t="shared" si="60"/>
        <v>0</v>
      </c>
      <c r="G407" s="26">
        <f>IF(ISNA(MATCH(A407,祝日定義!E:E,0)),0,1)</f>
        <v>0</v>
      </c>
      <c r="H407" s="26">
        <f>IF(ISNA(MATCH(B407&amp;"/"&amp;C407,そのた定義!E:E,0)), 0, 1)</f>
        <v>0</v>
      </c>
      <c r="I407" s="26" t="b">
        <f t="shared" si="61"/>
        <v>0</v>
      </c>
      <c r="J407" s="26">
        <v>0</v>
      </c>
      <c r="K407" s="26" t="b">
        <f t="shared" si="56"/>
        <v>0</v>
      </c>
      <c r="L407" s="26" t="b">
        <f t="shared" si="57"/>
        <v>0</v>
      </c>
      <c r="M407" t="b">
        <f t="shared" si="62"/>
        <v>0</v>
      </c>
      <c r="N407" t="b">
        <f t="shared" si="63"/>
        <v>0</v>
      </c>
    </row>
    <row r="408" spans="1:14">
      <c r="A408" s="29">
        <v>44968</v>
      </c>
      <c r="B408" s="30">
        <f t="shared" si="55"/>
        <v>2</v>
      </c>
      <c r="C408" s="30">
        <f t="shared" si="58"/>
        <v>11</v>
      </c>
      <c r="D408" s="26">
        <f>MATCH(WEEKDAY(A408),そのた定義!A:A,0)</f>
        <v>8</v>
      </c>
      <c r="E408" s="33" t="str">
        <f t="shared" ca="1" si="59"/>
        <v>土</v>
      </c>
      <c r="F408" s="26">
        <f t="shared" si="60"/>
        <v>1</v>
      </c>
      <c r="G408" s="26">
        <f>IF(ISNA(MATCH(A408,祝日定義!E:E,0)),0,1)</f>
        <v>1</v>
      </c>
      <c r="H408" s="26">
        <f>IF(ISNA(MATCH(B408&amp;"/"&amp;C408,そのた定義!E:E,0)), 0, 1)</f>
        <v>0</v>
      </c>
      <c r="I408" s="23" t="b">
        <f t="shared" si="61"/>
        <v>1</v>
      </c>
      <c r="J408" s="26">
        <v>0</v>
      </c>
      <c r="K408" s="26" t="b">
        <f t="shared" si="56"/>
        <v>0</v>
      </c>
      <c r="L408" s="26" t="b">
        <f t="shared" si="57"/>
        <v>0</v>
      </c>
      <c r="M408" t="b">
        <f t="shared" si="62"/>
        <v>0</v>
      </c>
      <c r="N408" t="b">
        <f t="shared" si="63"/>
        <v>0</v>
      </c>
    </row>
    <row r="409" spans="1:14">
      <c r="A409" s="29">
        <v>44969</v>
      </c>
      <c r="B409" s="30">
        <f t="shared" si="55"/>
        <v>2</v>
      </c>
      <c r="C409" s="30">
        <f t="shared" si="58"/>
        <v>12</v>
      </c>
      <c r="D409" s="26">
        <f>MATCH(WEEKDAY(A409),そのた定義!A:A,0)</f>
        <v>2</v>
      </c>
      <c r="E409" s="32" t="str">
        <f t="shared" ca="1" si="59"/>
        <v>日</v>
      </c>
      <c r="F409" s="26">
        <f t="shared" si="60"/>
        <v>1</v>
      </c>
      <c r="G409" s="26">
        <f>IF(ISNA(MATCH(A409,祝日定義!E:E,0)),0,1)</f>
        <v>0</v>
      </c>
      <c r="H409" s="26">
        <f>IF(ISNA(MATCH(B409&amp;"/"&amp;C409,そのた定義!E:E,0)), 0, 1)</f>
        <v>0</v>
      </c>
      <c r="I409" s="23" t="b">
        <f t="shared" si="61"/>
        <v>1</v>
      </c>
      <c r="J409" s="26">
        <v>0</v>
      </c>
      <c r="K409" s="26" t="b">
        <f t="shared" si="56"/>
        <v>0</v>
      </c>
      <c r="L409" s="26" t="b">
        <f t="shared" si="57"/>
        <v>0</v>
      </c>
      <c r="M409" t="b">
        <f t="shared" si="62"/>
        <v>0</v>
      </c>
      <c r="N409" t="b">
        <f t="shared" si="63"/>
        <v>0</v>
      </c>
    </row>
    <row r="410" spans="1:14">
      <c r="A410" s="29">
        <v>44970</v>
      </c>
      <c r="B410" s="30">
        <f t="shared" si="55"/>
        <v>2</v>
      </c>
      <c r="C410" s="30">
        <f t="shared" si="58"/>
        <v>13</v>
      </c>
      <c r="D410" s="26">
        <f>MATCH(WEEKDAY(A410),そのた定義!A:A,0)</f>
        <v>3</v>
      </c>
      <c r="E410" s="26" t="str">
        <f t="shared" ca="1" si="59"/>
        <v>月</v>
      </c>
      <c r="F410" s="26">
        <f t="shared" si="60"/>
        <v>0</v>
      </c>
      <c r="G410" s="26">
        <f>IF(ISNA(MATCH(A410,祝日定義!E:E,0)),0,1)</f>
        <v>0</v>
      </c>
      <c r="H410" s="26">
        <f>IF(ISNA(MATCH(B410&amp;"/"&amp;C410,そのた定義!E:E,0)), 0, 1)</f>
        <v>0</v>
      </c>
      <c r="I410" s="26" t="b">
        <f t="shared" si="61"/>
        <v>0</v>
      </c>
      <c r="J410" s="26">
        <v>2</v>
      </c>
      <c r="K410" s="26" t="b">
        <f t="shared" si="56"/>
        <v>0</v>
      </c>
      <c r="L410" s="26" t="b">
        <f t="shared" si="57"/>
        <v>0</v>
      </c>
      <c r="M410" t="b">
        <f t="shared" si="62"/>
        <v>0</v>
      </c>
      <c r="N410" t="b">
        <f t="shared" si="63"/>
        <v>0</v>
      </c>
    </row>
    <row r="411" spans="1:14">
      <c r="A411" s="29">
        <v>44971</v>
      </c>
      <c r="B411" s="30">
        <f t="shared" si="55"/>
        <v>2</v>
      </c>
      <c r="C411" s="30">
        <f t="shared" si="58"/>
        <v>14</v>
      </c>
      <c r="D411" s="26">
        <f>MATCH(WEEKDAY(A411),そのた定義!A:A,0)</f>
        <v>4</v>
      </c>
      <c r="E411" s="26" t="str">
        <f t="shared" ca="1" si="59"/>
        <v>火</v>
      </c>
      <c r="F411" s="26">
        <f t="shared" si="60"/>
        <v>0</v>
      </c>
      <c r="G411" s="26">
        <f>IF(ISNA(MATCH(A411,祝日定義!E:E,0)),0,1)</f>
        <v>0</v>
      </c>
      <c r="H411" s="26">
        <f>IF(ISNA(MATCH(B411&amp;"/"&amp;C411,そのた定義!E:E,0)), 0, 1)</f>
        <v>0</v>
      </c>
      <c r="I411" s="26" t="b">
        <f t="shared" si="61"/>
        <v>0</v>
      </c>
      <c r="J411" s="26">
        <v>0</v>
      </c>
      <c r="K411" s="26" t="b">
        <f t="shared" si="56"/>
        <v>0</v>
      </c>
      <c r="L411" s="26" t="b">
        <f t="shared" si="57"/>
        <v>0</v>
      </c>
      <c r="M411" t="b">
        <f t="shared" si="62"/>
        <v>0</v>
      </c>
      <c r="N411" t="b">
        <f t="shared" si="63"/>
        <v>0</v>
      </c>
    </row>
    <row r="412" spans="1:14">
      <c r="A412" s="29">
        <v>44972</v>
      </c>
      <c r="B412" s="30">
        <f t="shared" si="55"/>
        <v>2</v>
      </c>
      <c r="C412" s="30">
        <f t="shared" si="58"/>
        <v>15</v>
      </c>
      <c r="D412" s="26">
        <f>MATCH(WEEKDAY(A412),そのた定義!A:A,0)</f>
        <v>5</v>
      </c>
      <c r="E412" s="26" t="str">
        <f t="shared" ca="1" si="59"/>
        <v>水</v>
      </c>
      <c r="F412" s="26">
        <f t="shared" si="60"/>
        <v>0</v>
      </c>
      <c r="G412" s="26">
        <f>IF(ISNA(MATCH(A412,祝日定義!E:E,0)),0,1)</f>
        <v>0</v>
      </c>
      <c r="H412" s="26">
        <f>IF(ISNA(MATCH(B412&amp;"/"&amp;C412,そのた定義!E:E,0)), 0, 1)</f>
        <v>0</v>
      </c>
      <c r="I412" s="26" t="b">
        <f t="shared" si="61"/>
        <v>0</v>
      </c>
      <c r="J412" s="26">
        <v>0</v>
      </c>
      <c r="K412" s="26" t="b">
        <f t="shared" si="56"/>
        <v>0</v>
      </c>
      <c r="L412" s="26" t="b">
        <f t="shared" si="57"/>
        <v>0</v>
      </c>
      <c r="M412" t="b">
        <f t="shared" si="62"/>
        <v>0</v>
      </c>
      <c r="N412" t="b">
        <f t="shared" si="63"/>
        <v>0</v>
      </c>
    </row>
    <row r="413" spans="1:14">
      <c r="A413" s="29">
        <v>44973</v>
      </c>
      <c r="B413" s="30">
        <f t="shared" si="55"/>
        <v>2</v>
      </c>
      <c r="C413" s="30">
        <f t="shared" si="58"/>
        <v>16</v>
      </c>
      <c r="D413" s="26">
        <f>MATCH(WEEKDAY(A413),そのた定義!A:A,0)</f>
        <v>6</v>
      </c>
      <c r="E413" s="26" t="str">
        <f t="shared" ca="1" si="59"/>
        <v>木</v>
      </c>
      <c r="F413" s="26">
        <f t="shared" si="60"/>
        <v>0</v>
      </c>
      <c r="G413" s="26">
        <f>IF(ISNA(MATCH(A413,祝日定義!E:E,0)),0,1)</f>
        <v>0</v>
      </c>
      <c r="H413" s="26">
        <f>IF(ISNA(MATCH(B413&amp;"/"&amp;C413,そのた定義!E:E,0)), 0, 1)</f>
        <v>0</v>
      </c>
      <c r="I413" s="26" t="b">
        <f t="shared" si="61"/>
        <v>0</v>
      </c>
      <c r="J413" s="26">
        <v>0</v>
      </c>
      <c r="K413" s="26" t="b">
        <f t="shared" si="56"/>
        <v>0</v>
      </c>
      <c r="L413" s="26" t="b">
        <f t="shared" si="57"/>
        <v>0</v>
      </c>
      <c r="M413" t="b">
        <f t="shared" si="62"/>
        <v>0</v>
      </c>
      <c r="N413" t="b">
        <f t="shared" si="63"/>
        <v>0</v>
      </c>
    </row>
    <row r="414" spans="1:14">
      <c r="A414" s="29">
        <v>44974</v>
      </c>
      <c r="B414" s="30">
        <f t="shared" si="55"/>
        <v>2</v>
      </c>
      <c r="C414" s="30">
        <f t="shared" si="58"/>
        <v>17</v>
      </c>
      <c r="D414" s="26">
        <f>MATCH(WEEKDAY(A414),そのた定義!A:A,0)</f>
        <v>7</v>
      </c>
      <c r="E414" s="26" t="str">
        <f t="shared" ca="1" si="59"/>
        <v>金</v>
      </c>
      <c r="F414" s="26">
        <f t="shared" si="60"/>
        <v>0</v>
      </c>
      <c r="G414" s="26">
        <f>IF(ISNA(MATCH(A414,祝日定義!E:E,0)),0,1)</f>
        <v>0</v>
      </c>
      <c r="H414" s="26">
        <f>IF(ISNA(MATCH(B414&amp;"/"&amp;C414,そのた定義!E:E,0)), 0, 1)</f>
        <v>0</v>
      </c>
      <c r="I414" s="26" t="b">
        <f t="shared" si="61"/>
        <v>0</v>
      </c>
      <c r="J414" s="26">
        <v>0</v>
      </c>
      <c r="K414" s="26" t="b">
        <f t="shared" si="56"/>
        <v>0</v>
      </c>
      <c r="L414" s="26" t="b">
        <f t="shared" si="57"/>
        <v>0</v>
      </c>
      <c r="M414" t="b">
        <f t="shared" si="62"/>
        <v>0</v>
      </c>
      <c r="N414" t="b">
        <f t="shared" si="63"/>
        <v>0</v>
      </c>
    </row>
    <row r="415" spans="1:14">
      <c r="A415" s="29">
        <v>44975</v>
      </c>
      <c r="B415" s="30">
        <f t="shared" si="55"/>
        <v>2</v>
      </c>
      <c r="C415" s="30">
        <f t="shared" si="58"/>
        <v>18</v>
      </c>
      <c r="D415" s="26">
        <f>MATCH(WEEKDAY(A415),そのた定義!A:A,0)</f>
        <v>8</v>
      </c>
      <c r="E415" s="33" t="str">
        <f t="shared" ca="1" si="59"/>
        <v>土</v>
      </c>
      <c r="F415" s="26">
        <f t="shared" si="60"/>
        <v>1</v>
      </c>
      <c r="G415" s="26">
        <f>IF(ISNA(MATCH(A415,祝日定義!E:E,0)),0,1)</f>
        <v>0</v>
      </c>
      <c r="H415" s="26">
        <f>IF(ISNA(MATCH(B415&amp;"/"&amp;C415,そのた定義!E:E,0)), 0, 1)</f>
        <v>0</v>
      </c>
      <c r="I415" s="23" t="b">
        <f t="shared" si="61"/>
        <v>1</v>
      </c>
      <c r="J415" s="26">
        <v>0</v>
      </c>
      <c r="K415" s="26" t="b">
        <f t="shared" si="56"/>
        <v>0</v>
      </c>
      <c r="L415" s="26" t="b">
        <f t="shared" si="57"/>
        <v>0</v>
      </c>
      <c r="M415" t="b">
        <f t="shared" si="62"/>
        <v>0</v>
      </c>
      <c r="N415" t="b">
        <f t="shared" si="63"/>
        <v>0</v>
      </c>
    </row>
    <row r="416" spans="1:14">
      <c r="A416" s="29">
        <v>44976</v>
      </c>
      <c r="B416" s="30">
        <f t="shared" si="55"/>
        <v>2</v>
      </c>
      <c r="C416" s="30">
        <f t="shared" si="58"/>
        <v>19</v>
      </c>
      <c r="D416" s="26">
        <f>MATCH(WEEKDAY(A416),そのた定義!A:A,0)</f>
        <v>2</v>
      </c>
      <c r="E416" s="32" t="str">
        <f t="shared" ca="1" si="59"/>
        <v>日</v>
      </c>
      <c r="F416" s="26">
        <f t="shared" si="60"/>
        <v>1</v>
      </c>
      <c r="G416" s="26">
        <f>IF(ISNA(MATCH(A416,祝日定義!E:E,0)),0,1)</f>
        <v>0</v>
      </c>
      <c r="H416" s="26">
        <f>IF(ISNA(MATCH(B416&amp;"/"&amp;C416,そのた定義!E:E,0)), 0, 1)</f>
        <v>0</v>
      </c>
      <c r="I416" s="23" t="b">
        <f t="shared" si="61"/>
        <v>1</v>
      </c>
      <c r="J416" s="26">
        <v>0</v>
      </c>
      <c r="K416" s="26" t="b">
        <f t="shared" si="56"/>
        <v>0</v>
      </c>
      <c r="L416" s="26" t="b">
        <f t="shared" si="57"/>
        <v>0</v>
      </c>
      <c r="M416" t="b">
        <f t="shared" si="62"/>
        <v>0</v>
      </c>
      <c r="N416" t="b">
        <f t="shared" si="63"/>
        <v>0</v>
      </c>
    </row>
    <row r="417" spans="1:14">
      <c r="A417" s="29">
        <v>44977</v>
      </c>
      <c r="B417" s="30">
        <f t="shared" si="55"/>
        <v>2</v>
      </c>
      <c r="C417" s="30">
        <f t="shared" si="58"/>
        <v>20</v>
      </c>
      <c r="D417" s="26">
        <f>MATCH(WEEKDAY(A417),そのた定義!A:A,0)</f>
        <v>3</v>
      </c>
      <c r="E417" s="26" t="str">
        <f t="shared" ca="1" si="59"/>
        <v>月</v>
      </c>
      <c r="F417" s="26">
        <f t="shared" si="60"/>
        <v>0</v>
      </c>
      <c r="G417" s="26">
        <f>IF(ISNA(MATCH(A417,祝日定義!E:E,0)),0,1)</f>
        <v>0</v>
      </c>
      <c r="H417" s="26">
        <f>IF(ISNA(MATCH(B417&amp;"/"&amp;C417,そのた定義!E:E,0)), 0, 1)</f>
        <v>0</v>
      </c>
      <c r="I417" s="26" t="b">
        <f t="shared" si="61"/>
        <v>0</v>
      </c>
      <c r="J417" s="26">
        <v>2</v>
      </c>
      <c r="K417" s="26" t="b">
        <f t="shared" si="56"/>
        <v>0</v>
      </c>
      <c r="L417" s="26" t="b">
        <f t="shared" si="57"/>
        <v>0</v>
      </c>
      <c r="M417" t="b">
        <f t="shared" si="62"/>
        <v>0</v>
      </c>
      <c r="N417" t="b">
        <f t="shared" si="63"/>
        <v>0</v>
      </c>
    </row>
    <row r="418" spans="1:14">
      <c r="A418" s="29">
        <v>44978</v>
      </c>
      <c r="B418" s="30">
        <f t="shared" si="55"/>
        <v>2</v>
      </c>
      <c r="C418" s="30">
        <f t="shared" si="58"/>
        <v>21</v>
      </c>
      <c r="D418" s="26">
        <f>MATCH(WEEKDAY(A418),そのた定義!A:A,0)</f>
        <v>4</v>
      </c>
      <c r="E418" s="26" t="str">
        <f t="shared" ca="1" si="59"/>
        <v>火</v>
      </c>
      <c r="F418" s="26">
        <f t="shared" si="60"/>
        <v>0</v>
      </c>
      <c r="G418" s="26">
        <f>IF(ISNA(MATCH(A418,祝日定義!E:E,0)),0,1)</f>
        <v>0</v>
      </c>
      <c r="H418" s="26">
        <f>IF(ISNA(MATCH(B418&amp;"/"&amp;C418,そのた定義!E:E,0)), 0, 1)</f>
        <v>0</v>
      </c>
      <c r="I418" s="26" t="b">
        <f t="shared" si="61"/>
        <v>0</v>
      </c>
      <c r="J418" s="26">
        <v>0</v>
      </c>
      <c r="K418" s="26" t="b">
        <f t="shared" si="56"/>
        <v>0</v>
      </c>
      <c r="L418" s="26" t="b">
        <f t="shared" si="57"/>
        <v>0</v>
      </c>
      <c r="M418" t="b">
        <f t="shared" si="62"/>
        <v>0</v>
      </c>
      <c r="N418" t="b">
        <f t="shared" si="63"/>
        <v>0</v>
      </c>
    </row>
    <row r="419" spans="1:14">
      <c r="A419" s="29">
        <v>44979</v>
      </c>
      <c r="B419" s="30">
        <f t="shared" si="55"/>
        <v>2</v>
      </c>
      <c r="C419" s="30">
        <f t="shared" si="58"/>
        <v>22</v>
      </c>
      <c r="D419" s="26">
        <f>MATCH(WEEKDAY(A419),そのた定義!A:A,0)</f>
        <v>5</v>
      </c>
      <c r="E419" s="26" t="str">
        <f t="shared" ca="1" si="59"/>
        <v>水</v>
      </c>
      <c r="F419" s="26">
        <f t="shared" si="60"/>
        <v>0</v>
      </c>
      <c r="G419" s="26">
        <f>IF(ISNA(MATCH(A419,祝日定義!E:E,0)),0,1)</f>
        <v>0</v>
      </c>
      <c r="H419" s="26">
        <f>IF(ISNA(MATCH(B419&amp;"/"&amp;C419,そのた定義!E:E,0)), 0, 1)</f>
        <v>0</v>
      </c>
      <c r="I419" s="26" t="b">
        <f t="shared" si="61"/>
        <v>0</v>
      </c>
      <c r="J419" s="26">
        <v>0</v>
      </c>
      <c r="K419" s="26" t="b">
        <f t="shared" si="56"/>
        <v>0</v>
      </c>
      <c r="L419" s="26" t="b">
        <f t="shared" si="57"/>
        <v>0</v>
      </c>
      <c r="M419" t="b">
        <f t="shared" si="62"/>
        <v>0</v>
      </c>
      <c r="N419" t="b">
        <f t="shared" si="63"/>
        <v>0</v>
      </c>
    </row>
    <row r="420" spans="1:14">
      <c r="A420" s="29">
        <v>44980</v>
      </c>
      <c r="B420" s="30">
        <f t="shared" si="55"/>
        <v>2</v>
      </c>
      <c r="C420" s="30">
        <f t="shared" si="58"/>
        <v>23</v>
      </c>
      <c r="D420" s="26">
        <f>MATCH(WEEKDAY(A420),そのた定義!A:A,0)</f>
        <v>6</v>
      </c>
      <c r="E420" s="31" t="str">
        <f t="shared" ca="1" si="59"/>
        <v>木</v>
      </c>
      <c r="F420" s="26">
        <f t="shared" si="60"/>
        <v>0</v>
      </c>
      <c r="G420" s="26">
        <f>IF(ISNA(MATCH(A420,祝日定義!E:E,0)),0,1)</f>
        <v>1</v>
      </c>
      <c r="H420" s="26">
        <f>IF(ISNA(MATCH(B420&amp;"/"&amp;C420,そのた定義!E:E,0)), 0, 1)</f>
        <v>0</v>
      </c>
      <c r="I420" s="23" t="b">
        <f t="shared" si="61"/>
        <v>1</v>
      </c>
      <c r="J420" s="26">
        <v>0</v>
      </c>
      <c r="K420" s="26" t="b">
        <f t="shared" si="56"/>
        <v>0</v>
      </c>
      <c r="L420" s="26" t="b">
        <f t="shared" si="57"/>
        <v>0</v>
      </c>
      <c r="M420" t="b">
        <f t="shared" si="62"/>
        <v>0</v>
      </c>
      <c r="N420" t="b">
        <f t="shared" si="63"/>
        <v>0</v>
      </c>
    </row>
    <row r="421" spans="1:14">
      <c r="A421" s="29">
        <v>44981</v>
      </c>
      <c r="B421" s="30">
        <f t="shared" si="55"/>
        <v>2</v>
      </c>
      <c r="C421" s="30">
        <f t="shared" si="58"/>
        <v>24</v>
      </c>
      <c r="D421" s="26">
        <f>MATCH(WEEKDAY(A421),そのた定義!A:A,0)</f>
        <v>7</v>
      </c>
      <c r="E421" s="26" t="str">
        <f t="shared" ca="1" si="59"/>
        <v>金</v>
      </c>
      <c r="F421" s="26">
        <f t="shared" si="60"/>
        <v>0</v>
      </c>
      <c r="G421" s="26">
        <f>IF(ISNA(MATCH(A421,祝日定義!E:E,0)),0,1)</f>
        <v>0</v>
      </c>
      <c r="H421" s="26">
        <f>IF(ISNA(MATCH(B421&amp;"/"&amp;C421,そのた定義!E:E,0)), 0, 1)</f>
        <v>0</v>
      </c>
      <c r="I421" s="26" t="b">
        <f t="shared" si="61"/>
        <v>0</v>
      </c>
      <c r="J421" s="26">
        <v>1</v>
      </c>
      <c r="K421" s="26" t="b">
        <f t="shared" si="56"/>
        <v>0</v>
      </c>
      <c r="L421" s="26" t="b">
        <f t="shared" si="57"/>
        <v>0</v>
      </c>
      <c r="M421" t="b">
        <f t="shared" si="62"/>
        <v>0</v>
      </c>
      <c r="N421" t="b">
        <f t="shared" si="63"/>
        <v>0</v>
      </c>
    </row>
    <row r="422" spans="1:14">
      <c r="A422" s="29">
        <v>44982</v>
      </c>
      <c r="B422" s="30">
        <f t="shared" si="55"/>
        <v>2</v>
      </c>
      <c r="C422" s="30">
        <f t="shared" si="58"/>
        <v>25</v>
      </c>
      <c r="D422" s="26">
        <f>MATCH(WEEKDAY(A422),そのた定義!A:A,0)</f>
        <v>8</v>
      </c>
      <c r="E422" s="33" t="str">
        <f t="shared" ca="1" si="59"/>
        <v>土</v>
      </c>
      <c r="F422" s="26">
        <f t="shared" si="60"/>
        <v>1</v>
      </c>
      <c r="G422" s="26">
        <f>IF(ISNA(MATCH(A422,祝日定義!E:E,0)),0,1)</f>
        <v>0</v>
      </c>
      <c r="H422" s="26">
        <f>IF(ISNA(MATCH(B422&amp;"/"&amp;C422,そのた定義!E:E,0)), 0, 1)</f>
        <v>0</v>
      </c>
      <c r="I422" s="23" t="b">
        <f t="shared" si="61"/>
        <v>1</v>
      </c>
      <c r="J422" s="26">
        <v>0</v>
      </c>
      <c r="K422" s="26" t="b">
        <f t="shared" si="56"/>
        <v>0</v>
      </c>
      <c r="L422" s="23" t="b">
        <f t="shared" si="57"/>
        <v>1</v>
      </c>
      <c r="M422" t="b">
        <f t="shared" si="62"/>
        <v>0</v>
      </c>
      <c r="N422" t="b">
        <f t="shared" si="63"/>
        <v>0</v>
      </c>
    </row>
    <row r="423" spans="1:14">
      <c r="A423" s="29">
        <v>44983</v>
      </c>
      <c r="B423" s="30">
        <f t="shared" si="55"/>
        <v>2</v>
      </c>
      <c r="C423" s="30">
        <f t="shared" si="58"/>
        <v>26</v>
      </c>
      <c r="D423" s="26">
        <f>MATCH(WEEKDAY(A423),そのた定義!A:A,0)</f>
        <v>2</v>
      </c>
      <c r="E423" s="32" t="str">
        <f t="shared" ca="1" si="59"/>
        <v>日</v>
      </c>
      <c r="F423" s="26">
        <f t="shared" si="60"/>
        <v>1</v>
      </c>
      <c r="G423" s="26">
        <f>IF(ISNA(MATCH(A423,祝日定義!E:E,0)),0,1)</f>
        <v>0</v>
      </c>
      <c r="H423" s="26">
        <f>IF(ISNA(MATCH(B423&amp;"/"&amp;C423,そのた定義!E:E,0)), 0, 1)</f>
        <v>0</v>
      </c>
      <c r="I423" s="23" t="b">
        <f t="shared" si="61"/>
        <v>1</v>
      </c>
      <c r="J423" s="26">
        <v>0</v>
      </c>
      <c r="K423" s="26" t="b">
        <f t="shared" si="56"/>
        <v>0</v>
      </c>
      <c r="L423" s="26" t="b">
        <f t="shared" si="57"/>
        <v>0</v>
      </c>
      <c r="M423" t="b">
        <f t="shared" si="62"/>
        <v>0</v>
      </c>
      <c r="N423" t="b">
        <f t="shared" si="63"/>
        <v>0</v>
      </c>
    </row>
    <row r="424" spans="1:14">
      <c r="A424" s="29">
        <v>44984</v>
      </c>
      <c r="B424" s="30">
        <f t="shared" si="55"/>
        <v>2</v>
      </c>
      <c r="C424" s="30">
        <f t="shared" si="58"/>
        <v>27</v>
      </c>
      <c r="D424" s="26">
        <f>MATCH(WEEKDAY(A424),そのた定義!A:A,0)</f>
        <v>3</v>
      </c>
      <c r="E424" s="26" t="str">
        <f t="shared" ca="1" si="59"/>
        <v>月</v>
      </c>
      <c r="F424" s="26">
        <f t="shared" si="60"/>
        <v>0</v>
      </c>
      <c r="G424" s="26">
        <f>IF(ISNA(MATCH(A424,祝日定義!E:E,0)),0,1)</f>
        <v>0</v>
      </c>
      <c r="H424" s="26">
        <f>IF(ISNA(MATCH(B424&amp;"/"&amp;C424,そのた定義!E:E,0)), 0, 1)</f>
        <v>0</v>
      </c>
      <c r="I424" s="26" t="b">
        <f t="shared" si="61"/>
        <v>0</v>
      </c>
      <c r="J424" s="26">
        <v>2</v>
      </c>
      <c r="K424" s="23" t="b">
        <f t="shared" si="56"/>
        <v>1</v>
      </c>
      <c r="L424" s="26" t="b">
        <f t="shared" si="57"/>
        <v>0</v>
      </c>
      <c r="M424" t="b">
        <f t="shared" si="62"/>
        <v>0</v>
      </c>
      <c r="N424" t="b">
        <f t="shared" si="63"/>
        <v>0</v>
      </c>
    </row>
    <row r="425" spans="1:14">
      <c r="A425" s="29">
        <v>44985</v>
      </c>
      <c r="B425" s="30">
        <f t="shared" si="55"/>
        <v>2</v>
      </c>
      <c r="C425" s="30">
        <f t="shared" si="58"/>
        <v>28</v>
      </c>
      <c r="D425" s="26">
        <f>MATCH(WEEKDAY(A425),そのた定義!A:A,0)</f>
        <v>4</v>
      </c>
      <c r="E425" s="26" t="str">
        <f t="shared" ca="1" si="59"/>
        <v>火</v>
      </c>
      <c r="F425" s="26">
        <f t="shared" si="60"/>
        <v>0</v>
      </c>
      <c r="G425" s="26">
        <f>IF(ISNA(MATCH(A425,祝日定義!E:E,0)),0,1)</f>
        <v>0</v>
      </c>
      <c r="H425" s="26">
        <f>IF(ISNA(MATCH(B425&amp;"/"&amp;C425,そのた定義!E:E,0)), 0, 1)</f>
        <v>0</v>
      </c>
      <c r="I425" s="26" t="b">
        <f t="shared" si="61"/>
        <v>0</v>
      </c>
      <c r="J425" s="26">
        <v>0</v>
      </c>
      <c r="K425" s="26" t="b">
        <f t="shared" si="56"/>
        <v>0</v>
      </c>
      <c r="L425" s="26" t="b">
        <f t="shared" si="57"/>
        <v>0</v>
      </c>
      <c r="M425" t="b">
        <f t="shared" si="62"/>
        <v>0</v>
      </c>
      <c r="N425" t="b">
        <f t="shared" si="63"/>
        <v>1</v>
      </c>
    </row>
    <row r="426" spans="1:14">
      <c r="A426" s="29">
        <v>44986</v>
      </c>
      <c r="B426" s="30">
        <f t="shared" si="55"/>
        <v>3</v>
      </c>
      <c r="C426" s="30">
        <f t="shared" si="58"/>
        <v>1</v>
      </c>
      <c r="D426" s="26">
        <f>MATCH(WEEKDAY(A426),そのた定義!A:A,0)</f>
        <v>5</v>
      </c>
      <c r="E426" s="26" t="str">
        <f t="shared" ca="1" si="59"/>
        <v>水</v>
      </c>
      <c r="F426" s="26">
        <f t="shared" si="60"/>
        <v>0</v>
      </c>
      <c r="G426" s="26">
        <f>IF(ISNA(MATCH(A426,祝日定義!E:E,0)),0,1)</f>
        <v>0</v>
      </c>
      <c r="H426" s="26">
        <f>IF(ISNA(MATCH(B426&amp;"/"&amp;C426,そのた定義!E:E,0)), 0, 1)</f>
        <v>0</v>
      </c>
      <c r="I426" s="26" t="b">
        <f t="shared" si="61"/>
        <v>0</v>
      </c>
      <c r="J426" s="26">
        <v>0</v>
      </c>
      <c r="K426" s="26" t="b">
        <f t="shared" si="56"/>
        <v>0</v>
      </c>
      <c r="L426" s="26" t="b">
        <f t="shared" si="57"/>
        <v>0</v>
      </c>
      <c r="M426" t="b">
        <f t="shared" si="62"/>
        <v>0</v>
      </c>
      <c r="N426" t="b">
        <f t="shared" si="63"/>
        <v>0</v>
      </c>
    </row>
    <row r="427" spans="1:14">
      <c r="A427" s="29">
        <v>44987</v>
      </c>
      <c r="B427" s="30">
        <f t="shared" si="55"/>
        <v>3</v>
      </c>
      <c r="C427" s="30">
        <f t="shared" si="58"/>
        <v>2</v>
      </c>
      <c r="D427" s="26">
        <f>MATCH(WEEKDAY(A427),そのた定義!A:A,0)</f>
        <v>6</v>
      </c>
      <c r="E427" s="26" t="str">
        <f t="shared" ca="1" si="59"/>
        <v>木</v>
      </c>
      <c r="F427" s="26">
        <f t="shared" si="60"/>
        <v>0</v>
      </c>
      <c r="G427" s="26">
        <f>IF(ISNA(MATCH(A427,祝日定義!E:E,0)),0,1)</f>
        <v>0</v>
      </c>
      <c r="H427" s="26">
        <f>IF(ISNA(MATCH(B427&amp;"/"&amp;C427,そのた定義!E:E,0)), 0, 1)</f>
        <v>0</v>
      </c>
      <c r="I427" s="26" t="b">
        <f t="shared" si="61"/>
        <v>0</v>
      </c>
      <c r="J427" s="26">
        <v>0</v>
      </c>
      <c r="K427" s="26" t="b">
        <f t="shared" si="56"/>
        <v>0</v>
      </c>
      <c r="L427" s="26" t="b">
        <f t="shared" si="57"/>
        <v>0</v>
      </c>
      <c r="M427" t="b">
        <f t="shared" si="62"/>
        <v>0</v>
      </c>
      <c r="N427" t="b">
        <f t="shared" si="63"/>
        <v>0</v>
      </c>
    </row>
    <row r="428" spans="1:14">
      <c r="A428" s="29">
        <v>44988</v>
      </c>
      <c r="B428" s="30">
        <f t="shared" si="55"/>
        <v>3</v>
      </c>
      <c r="C428" s="30">
        <f t="shared" si="58"/>
        <v>3</v>
      </c>
      <c r="D428" s="26">
        <f>MATCH(WEEKDAY(A428),そのた定義!A:A,0)</f>
        <v>7</v>
      </c>
      <c r="E428" s="26" t="str">
        <f t="shared" ca="1" si="59"/>
        <v>金</v>
      </c>
      <c r="F428" s="26">
        <f t="shared" si="60"/>
        <v>0</v>
      </c>
      <c r="G428" s="26">
        <f>IF(ISNA(MATCH(A428,祝日定義!E:E,0)),0,1)</f>
        <v>0</v>
      </c>
      <c r="H428" s="26">
        <f>IF(ISNA(MATCH(B428&amp;"/"&amp;C428,そのた定義!E:E,0)), 0, 1)</f>
        <v>0</v>
      </c>
      <c r="I428" s="26" t="b">
        <f t="shared" si="61"/>
        <v>0</v>
      </c>
      <c r="J428" s="26">
        <v>0</v>
      </c>
      <c r="K428" s="26" t="b">
        <f t="shared" si="56"/>
        <v>0</v>
      </c>
      <c r="L428" s="26" t="b">
        <f t="shared" si="57"/>
        <v>0</v>
      </c>
      <c r="M428" t="b">
        <f t="shared" si="62"/>
        <v>0</v>
      </c>
      <c r="N428" t="b">
        <f t="shared" si="63"/>
        <v>0</v>
      </c>
    </row>
    <row r="429" spans="1:14">
      <c r="A429" s="29">
        <v>44989</v>
      </c>
      <c r="B429" s="30">
        <f t="shared" si="55"/>
        <v>3</v>
      </c>
      <c r="C429" s="30">
        <f t="shared" si="58"/>
        <v>4</v>
      </c>
      <c r="D429" s="26">
        <f>MATCH(WEEKDAY(A429),そのた定義!A:A,0)</f>
        <v>8</v>
      </c>
      <c r="E429" s="33" t="str">
        <f t="shared" ca="1" si="59"/>
        <v>土</v>
      </c>
      <c r="F429" s="26">
        <f t="shared" si="60"/>
        <v>1</v>
      </c>
      <c r="G429" s="26">
        <f>IF(ISNA(MATCH(A429,祝日定義!E:E,0)),0,1)</f>
        <v>0</v>
      </c>
      <c r="H429" s="26">
        <f>IF(ISNA(MATCH(B429&amp;"/"&amp;C429,そのた定義!E:E,0)), 0, 1)</f>
        <v>0</v>
      </c>
      <c r="I429" s="23" t="b">
        <f t="shared" si="61"/>
        <v>1</v>
      </c>
      <c r="J429" s="26">
        <v>0</v>
      </c>
      <c r="K429" s="26" t="b">
        <f t="shared" si="56"/>
        <v>0</v>
      </c>
      <c r="L429" s="26" t="b">
        <f t="shared" si="57"/>
        <v>0</v>
      </c>
      <c r="M429" t="b">
        <f t="shared" si="62"/>
        <v>0</v>
      </c>
      <c r="N429" t="b">
        <f t="shared" si="63"/>
        <v>0</v>
      </c>
    </row>
    <row r="430" spans="1:14">
      <c r="A430" s="29">
        <v>44990</v>
      </c>
      <c r="B430" s="30">
        <f t="shared" si="55"/>
        <v>3</v>
      </c>
      <c r="C430" s="30">
        <f t="shared" si="58"/>
        <v>5</v>
      </c>
      <c r="D430" s="26">
        <f>MATCH(WEEKDAY(A430),そのた定義!A:A,0)</f>
        <v>2</v>
      </c>
      <c r="E430" s="32" t="str">
        <f t="shared" ca="1" si="59"/>
        <v>日</v>
      </c>
      <c r="F430" s="26">
        <f t="shared" si="60"/>
        <v>1</v>
      </c>
      <c r="G430" s="26">
        <f>IF(ISNA(MATCH(A430,祝日定義!E:E,0)),0,1)</f>
        <v>0</v>
      </c>
      <c r="H430" s="26">
        <f>IF(ISNA(MATCH(B430&amp;"/"&amp;C430,そのた定義!E:E,0)), 0, 1)</f>
        <v>0</v>
      </c>
      <c r="I430" s="23" t="b">
        <f t="shared" si="61"/>
        <v>1</v>
      </c>
      <c r="J430" s="26">
        <v>0</v>
      </c>
      <c r="K430" s="26" t="b">
        <f t="shared" si="56"/>
        <v>0</v>
      </c>
      <c r="L430" s="26" t="b">
        <f t="shared" si="57"/>
        <v>0</v>
      </c>
      <c r="M430" t="b">
        <f t="shared" si="62"/>
        <v>0</v>
      </c>
      <c r="N430" t="b">
        <f t="shared" si="63"/>
        <v>0</v>
      </c>
    </row>
    <row r="431" spans="1:14">
      <c r="A431" s="29">
        <v>44991</v>
      </c>
      <c r="B431" s="30">
        <f t="shared" si="55"/>
        <v>3</v>
      </c>
      <c r="C431" s="30">
        <f t="shared" si="58"/>
        <v>6</v>
      </c>
      <c r="D431" s="26">
        <f>MATCH(WEEKDAY(A431),そのた定義!A:A,0)</f>
        <v>3</v>
      </c>
      <c r="E431" s="26" t="str">
        <f t="shared" ca="1" si="59"/>
        <v>月</v>
      </c>
      <c r="F431" s="26">
        <f t="shared" si="60"/>
        <v>0</v>
      </c>
      <c r="G431" s="26">
        <f>IF(ISNA(MATCH(A431,祝日定義!E:E,0)),0,1)</f>
        <v>0</v>
      </c>
      <c r="H431" s="26">
        <f>IF(ISNA(MATCH(B431&amp;"/"&amp;C431,そのた定義!E:E,0)), 0, 1)</f>
        <v>0</v>
      </c>
      <c r="I431" s="26" t="b">
        <f t="shared" si="61"/>
        <v>0</v>
      </c>
      <c r="J431" s="26">
        <v>2</v>
      </c>
      <c r="K431" s="26" t="b">
        <f t="shared" si="56"/>
        <v>0</v>
      </c>
      <c r="L431" s="26" t="b">
        <f t="shared" si="57"/>
        <v>0</v>
      </c>
      <c r="M431" t="b">
        <f t="shared" si="62"/>
        <v>0</v>
      </c>
      <c r="N431" t="b">
        <f t="shared" si="63"/>
        <v>0</v>
      </c>
    </row>
    <row r="432" spans="1:14">
      <c r="A432" s="29">
        <v>44992</v>
      </c>
      <c r="B432" s="30">
        <f t="shared" si="55"/>
        <v>3</v>
      </c>
      <c r="C432" s="30">
        <f t="shared" si="58"/>
        <v>7</v>
      </c>
      <c r="D432" s="26">
        <f>MATCH(WEEKDAY(A432),そのた定義!A:A,0)</f>
        <v>4</v>
      </c>
      <c r="E432" s="26" t="str">
        <f t="shared" ca="1" si="59"/>
        <v>火</v>
      </c>
      <c r="F432" s="26">
        <f t="shared" si="60"/>
        <v>0</v>
      </c>
      <c r="G432" s="26">
        <f>IF(ISNA(MATCH(A432,祝日定義!E:E,0)),0,1)</f>
        <v>0</v>
      </c>
      <c r="H432" s="26">
        <f>IF(ISNA(MATCH(B432&amp;"/"&amp;C432,そのた定義!E:E,0)), 0, 1)</f>
        <v>0</v>
      </c>
      <c r="I432" s="26" t="b">
        <f t="shared" si="61"/>
        <v>0</v>
      </c>
      <c r="J432" s="26">
        <v>0</v>
      </c>
      <c r="K432" s="26" t="b">
        <f t="shared" si="56"/>
        <v>0</v>
      </c>
      <c r="L432" s="26" t="b">
        <f t="shared" si="57"/>
        <v>0</v>
      </c>
      <c r="M432" t="b">
        <f t="shared" si="62"/>
        <v>0</v>
      </c>
      <c r="N432" t="b">
        <f t="shared" si="63"/>
        <v>0</v>
      </c>
    </row>
    <row r="433" spans="1:14">
      <c r="A433" s="29">
        <v>44993</v>
      </c>
      <c r="B433" s="30">
        <f t="shared" si="55"/>
        <v>3</v>
      </c>
      <c r="C433" s="30">
        <f t="shared" si="58"/>
        <v>8</v>
      </c>
      <c r="D433" s="26">
        <f>MATCH(WEEKDAY(A433),そのた定義!A:A,0)</f>
        <v>5</v>
      </c>
      <c r="E433" s="26" t="str">
        <f t="shared" ca="1" si="59"/>
        <v>水</v>
      </c>
      <c r="F433" s="26">
        <f t="shared" si="60"/>
        <v>0</v>
      </c>
      <c r="G433" s="26">
        <f>IF(ISNA(MATCH(A433,祝日定義!E:E,0)),0,1)</f>
        <v>0</v>
      </c>
      <c r="H433" s="26">
        <f>IF(ISNA(MATCH(B433&amp;"/"&amp;C433,そのた定義!E:E,0)), 0, 1)</f>
        <v>0</v>
      </c>
      <c r="I433" s="26" t="b">
        <f t="shared" si="61"/>
        <v>0</v>
      </c>
      <c r="J433" s="26">
        <v>0</v>
      </c>
      <c r="K433" s="26" t="b">
        <f t="shared" si="56"/>
        <v>0</v>
      </c>
      <c r="L433" s="26" t="b">
        <f t="shared" si="57"/>
        <v>0</v>
      </c>
      <c r="M433" t="b">
        <f t="shared" si="62"/>
        <v>0</v>
      </c>
      <c r="N433" t="b">
        <f t="shared" si="63"/>
        <v>0</v>
      </c>
    </row>
    <row r="434" spans="1:14">
      <c r="A434" s="29">
        <v>44994</v>
      </c>
      <c r="B434" s="30">
        <f t="shared" si="55"/>
        <v>3</v>
      </c>
      <c r="C434" s="30">
        <f t="shared" si="58"/>
        <v>9</v>
      </c>
      <c r="D434" s="26">
        <f>MATCH(WEEKDAY(A434),そのた定義!A:A,0)</f>
        <v>6</v>
      </c>
      <c r="E434" s="26" t="str">
        <f t="shared" ca="1" si="59"/>
        <v>木</v>
      </c>
      <c r="F434" s="26">
        <f t="shared" si="60"/>
        <v>0</v>
      </c>
      <c r="G434" s="26">
        <f>IF(ISNA(MATCH(A434,祝日定義!E:E,0)),0,1)</f>
        <v>0</v>
      </c>
      <c r="H434" s="26">
        <f>IF(ISNA(MATCH(B434&amp;"/"&amp;C434,そのた定義!E:E,0)), 0, 1)</f>
        <v>0</v>
      </c>
      <c r="I434" s="26" t="b">
        <f t="shared" si="61"/>
        <v>0</v>
      </c>
      <c r="J434" s="26">
        <v>0</v>
      </c>
      <c r="K434" s="26" t="b">
        <f t="shared" si="56"/>
        <v>0</v>
      </c>
      <c r="L434" s="26" t="b">
        <f t="shared" si="57"/>
        <v>0</v>
      </c>
      <c r="M434" t="b">
        <f t="shared" si="62"/>
        <v>0</v>
      </c>
      <c r="N434" t="b">
        <f t="shared" si="63"/>
        <v>0</v>
      </c>
    </row>
    <row r="435" spans="1:14">
      <c r="A435" s="29">
        <v>44995</v>
      </c>
      <c r="B435" s="30">
        <f t="shared" si="55"/>
        <v>3</v>
      </c>
      <c r="C435" s="30">
        <f t="shared" si="58"/>
        <v>10</v>
      </c>
      <c r="D435" s="26">
        <f>MATCH(WEEKDAY(A435),そのた定義!A:A,0)</f>
        <v>7</v>
      </c>
      <c r="E435" s="26" t="str">
        <f t="shared" ca="1" si="59"/>
        <v>金</v>
      </c>
      <c r="F435" s="26">
        <f t="shared" si="60"/>
        <v>0</v>
      </c>
      <c r="G435" s="26">
        <f>IF(ISNA(MATCH(A435,祝日定義!E:E,0)),0,1)</f>
        <v>0</v>
      </c>
      <c r="H435" s="26">
        <f>IF(ISNA(MATCH(B435&amp;"/"&amp;C435,そのた定義!E:E,0)), 0, 1)</f>
        <v>0</v>
      </c>
      <c r="I435" s="26" t="b">
        <f t="shared" si="61"/>
        <v>0</v>
      </c>
      <c r="J435" s="26">
        <v>0</v>
      </c>
      <c r="K435" s="26" t="b">
        <f t="shared" si="56"/>
        <v>0</v>
      </c>
      <c r="L435" s="26" t="b">
        <f t="shared" si="57"/>
        <v>0</v>
      </c>
      <c r="M435" t="b">
        <f t="shared" si="62"/>
        <v>0</v>
      </c>
      <c r="N435" t="b">
        <f t="shared" si="63"/>
        <v>0</v>
      </c>
    </row>
    <row r="436" spans="1:14">
      <c r="A436" s="29">
        <v>44996</v>
      </c>
      <c r="B436" s="30">
        <f t="shared" si="55"/>
        <v>3</v>
      </c>
      <c r="C436" s="30">
        <f t="shared" si="58"/>
        <v>11</v>
      </c>
      <c r="D436" s="26">
        <f>MATCH(WEEKDAY(A436),そのた定義!A:A,0)</f>
        <v>8</v>
      </c>
      <c r="E436" s="33" t="str">
        <f t="shared" ca="1" si="59"/>
        <v>土</v>
      </c>
      <c r="F436" s="26">
        <f t="shared" si="60"/>
        <v>1</v>
      </c>
      <c r="G436" s="26">
        <f>IF(ISNA(MATCH(A436,祝日定義!E:E,0)),0,1)</f>
        <v>0</v>
      </c>
      <c r="H436" s="26">
        <f>IF(ISNA(MATCH(B436&amp;"/"&amp;C436,そのた定義!E:E,0)), 0, 1)</f>
        <v>0</v>
      </c>
      <c r="I436" s="23" t="b">
        <f t="shared" si="61"/>
        <v>1</v>
      </c>
      <c r="J436" s="26">
        <v>0</v>
      </c>
      <c r="K436" s="26" t="b">
        <f t="shared" si="56"/>
        <v>0</v>
      </c>
      <c r="L436" s="26" t="b">
        <f t="shared" si="57"/>
        <v>0</v>
      </c>
      <c r="M436" t="b">
        <f t="shared" si="62"/>
        <v>0</v>
      </c>
      <c r="N436" t="b">
        <f t="shared" si="63"/>
        <v>0</v>
      </c>
    </row>
    <row r="437" spans="1:14">
      <c r="A437" s="29">
        <v>44997</v>
      </c>
      <c r="B437" s="30">
        <f t="shared" si="55"/>
        <v>3</v>
      </c>
      <c r="C437" s="30">
        <f t="shared" si="58"/>
        <v>12</v>
      </c>
      <c r="D437" s="26">
        <f>MATCH(WEEKDAY(A437),そのた定義!A:A,0)</f>
        <v>2</v>
      </c>
      <c r="E437" s="32" t="str">
        <f t="shared" ca="1" si="59"/>
        <v>日</v>
      </c>
      <c r="F437" s="26">
        <f t="shared" si="60"/>
        <v>1</v>
      </c>
      <c r="G437" s="26">
        <f>IF(ISNA(MATCH(A437,祝日定義!E:E,0)),0,1)</f>
        <v>0</v>
      </c>
      <c r="H437" s="26">
        <f>IF(ISNA(MATCH(B437&amp;"/"&amp;C437,そのた定義!E:E,0)), 0, 1)</f>
        <v>0</v>
      </c>
      <c r="I437" s="23" t="b">
        <f t="shared" si="61"/>
        <v>1</v>
      </c>
      <c r="J437" s="26">
        <v>0</v>
      </c>
      <c r="K437" s="26" t="b">
        <f t="shared" si="56"/>
        <v>0</v>
      </c>
      <c r="L437" s="26" t="b">
        <f t="shared" si="57"/>
        <v>0</v>
      </c>
      <c r="M437" t="b">
        <f t="shared" si="62"/>
        <v>0</v>
      </c>
      <c r="N437" t="b">
        <f t="shared" si="63"/>
        <v>0</v>
      </c>
    </row>
    <row r="438" spans="1:14">
      <c r="A438" s="29">
        <v>44998</v>
      </c>
      <c r="B438" s="30">
        <f t="shared" si="55"/>
        <v>3</v>
      </c>
      <c r="C438" s="30">
        <f t="shared" si="58"/>
        <v>13</v>
      </c>
      <c r="D438" s="26">
        <f>MATCH(WEEKDAY(A438),そのた定義!A:A,0)</f>
        <v>3</v>
      </c>
      <c r="E438" s="26" t="str">
        <f t="shared" ca="1" si="59"/>
        <v>月</v>
      </c>
      <c r="F438" s="26">
        <f t="shared" si="60"/>
        <v>0</v>
      </c>
      <c r="G438" s="26">
        <f>IF(ISNA(MATCH(A438,祝日定義!E:E,0)),0,1)</f>
        <v>0</v>
      </c>
      <c r="H438" s="26">
        <f>IF(ISNA(MATCH(B438&amp;"/"&amp;C438,そのた定義!E:E,0)), 0, 1)</f>
        <v>0</v>
      </c>
      <c r="I438" s="26" t="b">
        <f t="shared" si="61"/>
        <v>0</v>
      </c>
      <c r="J438" s="26">
        <v>2</v>
      </c>
      <c r="K438" s="26" t="b">
        <f t="shared" si="56"/>
        <v>0</v>
      </c>
      <c r="L438" s="26" t="b">
        <f t="shared" si="57"/>
        <v>0</v>
      </c>
      <c r="M438" t="b">
        <f t="shared" si="62"/>
        <v>0</v>
      </c>
      <c r="N438" t="b">
        <f t="shared" si="63"/>
        <v>0</v>
      </c>
    </row>
    <row r="439" spans="1:14">
      <c r="A439" s="29">
        <v>44999</v>
      </c>
      <c r="B439" s="30">
        <f t="shared" si="55"/>
        <v>3</v>
      </c>
      <c r="C439" s="30">
        <f t="shared" si="58"/>
        <v>14</v>
      </c>
      <c r="D439" s="26">
        <f>MATCH(WEEKDAY(A439),そのた定義!A:A,0)</f>
        <v>4</v>
      </c>
      <c r="E439" s="26" t="str">
        <f t="shared" ca="1" si="59"/>
        <v>火</v>
      </c>
      <c r="F439" s="26">
        <f t="shared" si="60"/>
        <v>0</v>
      </c>
      <c r="G439" s="26">
        <f>IF(ISNA(MATCH(A439,祝日定義!E:E,0)),0,1)</f>
        <v>0</v>
      </c>
      <c r="H439" s="26">
        <f>IF(ISNA(MATCH(B439&amp;"/"&amp;C439,そのた定義!E:E,0)), 0, 1)</f>
        <v>0</v>
      </c>
      <c r="I439" s="26" t="b">
        <f t="shared" si="61"/>
        <v>0</v>
      </c>
      <c r="J439" s="26">
        <v>0</v>
      </c>
      <c r="K439" s="26" t="b">
        <f t="shared" si="56"/>
        <v>0</v>
      </c>
      <c r="L439" s="26" t="b">
        <f t="shared" si="57"/>
        <v>0</v>
      </c>
      <c r="M439" t="b">
        <f t="shared" si="62"/>
        <v>0</v>
      </c>
      <c r="N439" t="b">
        <f t="shared" si="63"/>
        <v>0</v>
      </c>
    </row>
    <row r="440" spans="1:14">
      <c r="A440" s="29">
        <v>45000</v>
      </c>
      <c r="B440" s="30">
        <f t="shared" si="55"/>
        <v>3</v>
      </c>
      <c r="C440" s="30">
        <f t="shared" si="58"/>
        <v>15</v>
      </c>
      <c r="D440" s="26">
        <f>MATCH(WEEKDAY(A440),そのた定義!A:A,0)</f>
        <v>5</v>
      </c>
      <c r="E440" s="26" t="str">
        <f t="shared" ca="1" si="59"/>
        <v>水</v>
      </c>
      <c r="F440" s="26">
        <f t="shared" si="60"/>
        <v>0</v>
      </c>
      <c r="G440" s="26">
        <f>IF(ISNA(MATCH(A440,祝日定義!E:E,0)),0,1)</f>
        <v>0</v>
      </c>
      <c r="H440" s="26">
        <f>IF(ISNA(MATCH(B440&amp;"/"&amp;C440,そのた定義!E:E,0)), 0, 1)</f>
        <v>0</v>
      </c>
      <c r="I440" s="26" t="b">
        <f t="shared" si="61"/>
        <v>0</v>
      </c>
      <c r="J440" s="26">
        <v>0</v>
      </c>
      <c r="K440" s="26" t="b">
        <f t="shared" si="56"/>
        <v>0</v>
      </c>
      <c r="L440" s="26" t="b">
        <f t="shared" si="57"/>
        <v>0</v>
      </c>
      <c r="M440" t="b">
        <f t="shared" si="62"/>
        <v>0</v>
      </c>
      <c r="N440" t="b">
        <f t="shared" si="63"/>
        <v>0</v>
      </c>
    </row>
    <row r="441" spans="1:14">
      <c r="A441" s="29">
        <v>45001</v>
      </c>
      <c r="B441" s="30">
        <f t="shared" si="55"/>
        <v>3</v>
      </c>
      <c r="C441" s="30">
        <f t="shared" si="58"/>
        <v>16</v>
      </c>
      <c r="D441" s="26">
        <f>MATCH(WEEKDAY(A441),そのた定義!A:A,0)</f>
        <v>6</v>
      </c>
      <c r="E441" s="26" t="str">
        <f t="shared" ca="1" si="59"/>
        <v>木</v>
      </c>
      <c r="F441" s="26">
        <f t="shared" si="60"/>
        <v>0</v>
      </c>
      <c r="G441" s="26">
        <f>IF(ISNA(MATCH(A441,祝日定義!E:E,0)),0,1)</f>
        <v>0</v>
      </c>
      <c r="H441" s="26">
        <f>IF(ISNA(MATCH(B441&amp;"/"&amp;C441,そのた定義!E:E,0)), 0, 1)</f>
        <v>0</v>
      </c>
      <c r="I441" s="26" t="b">
        <f t="shared" si="61"/>
        <v>0</v>
      </c>
      <c r="J441" s="26">
        <v>0</v>
      </c>
      <c r="K441" s="26" t="b">
        <f t="shared" si="56"/>
        <v>0</v>
      </c>
      <c r="L441" s="26" t="b">
        <f t="shared" si="57"/>
        <v>0</v>
      </c>
      <c r="M441" t="b">
        <f t="shared" si="62"/>
        <v>0</v>
      </c>
      <c r="N441" t="b">
        <f t="shared" si="63"/>
        <v>0</v>
      </c>
    </row>
    <row r="442" spans="1:14">
      <c r="A442" s="29">
        <v>45002</v>
      </c>
      <c r="B442" s="30">
        <f t="shared" si="55"/>
        <v>3</v>
      </c>
      <c r="C442" s="30">
        <f t="shared" si="58"/>
        <v>17</v>
      </c>
      <c r="D442" s="26">
        <f>MATCH(WEEKDAY(A442),そのた定義!A:A,0)</f>
        <v>7</v>
      </c>
      <c r="E442" s="26" t="str">
        <f t="shared" ca="1" si="59"/>
        <v>金</v>
      </c>
      <c r="F442" s="26">
        <f t="shared" si="60"/>
        <v>0</v>
      </c>
      <c r="G442" s="26">
        <f>IF(ISNA(MATCH(A442,祝日定義!E:E,0)),0,1)</f>
        <v>0</v>
      </c>
      <c r="H442" s="26">
        <f>IF(ISNA(MATCH(B442&amp;"/"&amp;C442,そのた定義!E:E,0)), 0, 1)</f>
        <v>0</v>
      </c>
      <c r="I442" s="26" t="b">
        <f t="shared" si="61"/>
        <v>0</v>
      </c>
      <c r="J442" s="26">
        <v>0</v>
      </c>
      <c r="K442" s="26" t="b">
        <f t="shared" si="56"/>
        <v>0</v>
      </c>
      <c r="L442" s="26" t="b">
        <f t="shared" si="57"/>
        <v>0</v>
      </c>
      <c r="M442" t="b">
        <f t="shared" si="62"/>
        <v>0</v>
      </c>
      <c r="N442" t="b">
        <f t="shared" si="63"/>
        <v>0</v>
      </c>
    </row>
    <row r="443" spans="1:14">
      <c r="A443" s="29">
        <v>45003</v>
      </c>
      <c r="B443" s="30">
        <f t="shared" si="55"/>
        <v>3</v>
      </c>
      <c r="C443" s="30">
        <f t="shared" si="58"/>
        <v>18</v>
      </c>
      <c r="D443" s="26">
        <f>MATCH(WEEKDAY(A443),そのた定義!A:A,0)</f>
        <v>8</v>
      </c>
      <c r="E443" s="33" t="str">
        <f t="shared" ca="1" si="59"/>
        <v>土</v>
      </c>
      <c r="F443" s="26">
        <f t="shared" si="60"/>
        <v>1</v>
      </c>
      <c r="G443" s="26">
        <f>IF(ISNA(MATCH(A443,祝日定義!E:E,0)),0,1)</f>
        <v>0</v>
      </c>
      <c r="H443" s="26">
        <f>IF(ISNA(MATCH(B443&amp;"/"&amp;C443,そのた定義!E:E,0)), 0, 1)</f>
        <v>0</v>
      </c>
      <c r="I443" s="23" t="b">
        <f t="shared" si="61"/>
        <v>1</v>
      </c>
      <c r="J443" s="26">
        <v>0</v>
      </c>
      <c r="K443" s="26" t="b">
        <f t="shared" si="56"/>
        <v>0</v>
      </c>
      <c r="L443" s="26" t="b">
        <f t="shared" si="57"/>
        <v>0</v>
      </c>
      <c r="M443" t="b">
        <f t="shared" si="62"/>
        <v>0</v>
      </c>
      <c r="N443" t="b">
        <f t="shared" si="63"/>
        <v>0</v>
      </c>
    </row>
    <row r="444" spans="1:14">
      <c r="A444" s="29">
        <v>45004</v>
      </c>
      <c r="B444" s="30">
        <f t="shared" si="55"/>
        <v>3</v>
      </c>
      <c r="C444" s="30">
        <f t="shared" si="58"/>
        <v>19</v>
      </c>
      <c r="D444" s="26">
        <f>MATCH(WEEKDAY(A444),そのた定義!A:A,0)</f>
        <v>2</v>
      </c>
      <c r="E444" s="32" t="str">
        <f t="shared" ca="1" si="59"/>
        <v>日</v>
      </c>
      <c r="F444" s="26">
        <f t="shared" si="60"/>
        <v>1</v>
      </c>
      <c r="G444" s="26">
        <f>IF(ISNA(MATCH(A444,祝日定義!E:E,0)),0,1)</f>
        <v>0</v>
      </c>
      <c r="H444" s="26">
        <f>IF(ISNA(MATCH(B444&amp;"/"&amp;C444,そのた定義!E:E,0)), 0, 1)</f>
        <v>0</v>
      </c>
      <c r="I444" s="23" t="b">
        <f t="shared" si="61"/>
        <v>1</v>
      </c>
      <c r="J444" s="26">
        <v>0</v>
      </c>
      <c r="K444" s="26" t="b">
        <f t="shared" si="56"/>
        <v>0</v>
      </c>
      <c r="L444" s="26" t="b">
        <f t="shared" si="57"/>
        <v>0</v>
      </c>
      <c r="M444" t="b">
        <f t="shared" si="62"/>
        <v>0</v>
      </c>
      <c r="N444" t="b">
        <f t="shared" si="63"/>
        <v>0</v>
      </c>
    </row>
    <row r="445" spans="1:14">
      <c r="A445" s="29">
        <v>45005</v>
      </c>
      <c r="B445" s="30">
        <f t="shared" si="55"/>
        <v>3</v>
      </c>
      <c r="C445" s="30">
        <f t="shared" si="58"/>
        <v>20</v>
      </c>
      <c r="D445" s="26">
        <f>MATCH(WEEKDAY(A445),そのた定義!A:A,0)</f>
        <v>3</v>
      </c>
      <c r="E445" s="26" t="str">
        <f t="shared" ca="1" si="59"/>
        <v>月</v>
      </c>
      <c r="F445" s="26">
        <f t="shared" si="60"/>
        <v>0</v>
      </c>
      <c r="G445" s="26">
        <f>IF(ISNA(MATCH(A445,祝日定義!E:E,0)),0,1)</f>
        <v>0</v>
      </c>
      <c r="H445" s="26">
        <f>IF(ISNA(MATCH(B445&amp;"/"&amp;C445,そのた定義!E:E,0)), 0, 1)</f>
        <v>0</v>
      </c>
      <c r="I445" s="26" t="b">
        <f t="shared" si="61"/>
        <v>0</v>
      </c>
      <c r="J445" s="26">
        <v>2</v>
      </c>
      <c r="K445" s="26" t="b">
        <f t="shared" si="56"/>
        <v>0</v>
      </c>
      <c r="L445" s="26" t="b">
        <f t="shared" si="57"/>
        <v>0</v>
      </c>
      <c r="M445" t="b">
        <f t="shared" si="62"/>
        <v>0</v>
      </c>
      <c r="N445" t="b">
        <f t="shared" si="63"/>
        <v>0</v>
      </c>
    </row>
    <row r="446" spans="1:14">
      <c r="A446" s="29">
        <v>45006</v>
      </c>
      <c r="B446" s="30">
        <f t="shared" si="55"/>
        <v>3</v>
      </c>
      <c r="C446" s="30">
        <f t="shared" si="58"/>
        <v>21</v>
      </c>
      <c r="D446" s="26">
        <f>MATCH(WEEKDAY(A446),そのた定義!A:A,0)</f>
        <v>4</v>
      </c>
      <c r="E446" s="31" t="str">
        <f t="shared" ca="1" si="59"/>
        <v>火</v>
      </c>
      <c r="F446" s="26">
        <f t="shared" si="60"/>
        <v>0</v>
      </c>
      <c r="G446" s="26">
        <f>IF(ISNA(MATCH(A446,祝日定義!E:E,0)),0,1)</f>
        <v>1</v>
      </c>
      <c r="H446" s="26">
        <f>IF(ISNA(MATCH(B446&amp;"/"&amp;C446,そのた定義!E:E,0)), 0, 1)</f>
        <v>0</v>
      </c>
      <c r="I446" s="23" t="b">
        <f t="shared" si="61"/>
        <v>1</v>
      </c>
      <c r="J446" s="26">
        <v>0</v>
      </c>
      <c r="K446" s="26" t="b">
        <f t="shared" si="56"/>
        <v>0</v>
      </c>
      <c r="L446" s="26" t="b">
        <f t="shared" si="57"/>
        <v>0</v>
      </c>
      <c r="M446" t="b">
        <f t="shared" si="62"/>
        <v>0</v>
      </c>
      <c r="N446" t="b">
        <f t="shared" si="63"/>
        <v>0</v>
      </c>
    </row>
    <row r="447" spans="1:14">
      <c r="A447" s="29">
        <v>45007</v>
      </c>
      <c r="B447" s="30">
        <f t="shared" si="55"/>
        <v>3</v>
      </c>
      <c r="C447" s="30">
        <f t="shared" si="58"/>
        <v>22</v>
      </c>
      <c r="D447" s="26">
        <f>MATCH(WEEKDAY(A447),そのた定義!A:A,0)</f>
        <v>5</v>
      </c>
      <c r="E447" s="26" t="str">
        <f t="shared" ca="1" si="59"/>
        <v>水</v>
      </c>
      <c r="F447" s="26">
        <f t="shared" si="60"/>
        <v>0</v>
      </c>
      <c r="G447" s="26">
        <f>IF(ISNA(MATCH(A447,祝日定義!E:E,0)),0,1)</f>
        <v>0</v>
      </c>
      <c r="H447" s="26">
        <f>IF(ISNA(MATCH(B447&amp;"/"&amp;C447,そのた定義!E:E,0)), 0, 1)</f>
        <v>0</v>
      </c>
      <c r="I447" s="26" t="b">
        <f t="shared" si="61"/>
        <v>0</v>
      </c>
      <c r="J447" s="26">
        <v>1</v>
      </c>
      <c r="K447" s="26" t="b">
        <f t="shared" si="56"/>
        <v>0</v>
      </c>
      <c r="L447" s="26" t="b">
        <f t="shared" si="57"/>
        <v>0</v>
      </c>
      <c r="M447" t="b">
        <f t="shared" si="62"/>
        <v>0</v>
      </c>
      <c r="N447" t="b">
        <f t="shared" si="63"/>
        <v>0</v>
      </c>
    </row>
    <row r="448" spans="1:14">
      <c r="A448" s="29">
        <v>45008</v>
      </c>
      <c r="B448" s="30">
        <f t="shared" si="55"/>
        <v>3</v>
      </c>
      <c r="C448" s="30">
        <f t="shared" si="58"/>
        <v>23</v>
      </c>
      <c r="D448" s="26">
        <f>MATCH(WEEKDAY(A448),そのた定義!A:A,0)</f>
        <v>6</v>
      </c>
      <c r="E448" s="26" t="str">
        <f t="shared" ca="1" si="59"/>
        <v>木</v>
      </c>
      <c r="F448" s="26">
        <f t="shared" si="60"/>
        <v>0</v>
      </c>
      <c r="G448" s="26">
        <f>IF(ISNA(MATCH(A448,祝日定義!E:E,0)),0,1)</f>
        <v>0</v>
      </c>
      <c r="H448" s="26">
        <f>IF(ISNA(MATCH(B448&amp;"/"&amp;C448,そのた定義!E:E,0)), 0, 1)</f>
        <v>0</v>
      </c>
      <c r="I448" s="26" t="b">
        <f t="shared" si="61"/>
        <v>0</v>
      </c>
      <c r="J448" s="26">
        <v>0</v>
      </c>
      <c r="K448" s="26" t="b">
        <f t="shared" si="56"/>
        <v>0</v>
      </c>
      <c r="L448" s="26" t="b">
        <f t="shared" si="57"/>
        <v>0</v>
      </c>
      <c r="M448" t="b">
        <f t="shared" si="62"/>
        <v>0</v>
      </c>
      <c r="N448" t="b">
        <f t="shared" si="63"/>
        <v>0</v>
      </c>
    </row>
    <row r="449" spans="1:14">
      <c r="A449" s="29">
        <v>45009</v>
      </c>
      <c r="B449" s="30">
        <f t="shared" si="55"/>
        <v>3</v>
      </c>
      <c r="C449" s="30">
        <f t="shared" si="58"/>
        <v>24</v>
      </c>
      <c r="D449" s="26">
        <f>MATCH(WEEKDAY(A449),そのた定義!A:A,0)</f>
        <v>7</v>
      </c>
      <c r="E449" s="26" t="str">
        <f t="shared" ca="1" si="59"/>
        <v>金</v>
      </c>
      <c r="F449" s="26">
        <f t="shared" si="60"/>
        <v>0</v>
      </c>
      <c r="G449" s="26">
        <f>IF(ISNA(MATCH(A449,祝日定義!E:E,0)),0,1)</f>
        <v>0</v>
      </c>
      <c r="H449" s="26">
        <f>IF(ISNA(MATCH(B449&amp;"/"&amp;C449,そのた定義!E:E,0)), 0, 1)</f>
        <v>0</v>
      </c>
      <c r="I449" s="26" t="b">
        <f t="shared" si="61"/>
        <v>0</v>
      </c>
      <c r="J449" s="26">
        <v>0</v>
      </c>
      <c r="K449" s="26" t="b">
        <f t="shared" si="56"/>
        <v>0</v>
      </c>
      <c r="L449" s="26" t="b">
        <f t="shared" si="57"/>
        <v>0</v>
      </c>
      <c r="M449" t="b">
        <f t="shared" si="62"/>
        <v>0</v>
      </c>
      <c r="N449" t="b">
        <f t="shared" si="63"/>
        <v>0</v>
      </c>
    </row>
    <row r="450" spans="1:14">
      <c r="A450" s="29">
        <v>45010</v>
      </c>
      <c r="B450" s="30">
        <f t="shared" ref="B450:B513" si="64">MONTH(A450)</f>
        <v>3</v>
      </c>
      <c r="C450" s="30">
        <f t="shared" si="58"/>
        <v>25</v>
      </c>
      <c r="D450" s="26">
        <f>MATCH(WEEKDAY(A450),そのた定義!A:A,0)</f>
        <v>8</v>
      </c>
      <c r="E450" s="33" t="str">
        <f t="shared" ca="1" si="59"/>
        <v>土</v>
      </c>
      <c r="F450" s="26">
        <f t="shared" si="60"/>
        <v>1</v>
      </c>
      <c r="G450" s="26">
        <f>IF(ISNA(MATCH(A450,祝日定義!E:E,0)),0,1)</f>
        <v>0</v>
      </c>
      <c r="H450" s="26">
        <f>IF(ISNA(MATCH(B450&amp;"/"&amp;C450,そのた定義!E:E,0)), 0, 1)</f>
        <v>0</v>
      </c>
      <c r="I450" s="23" t="b">
        <f t="shared" si="61"/>
        <v>1</v>
      </c>
      <c r="J450" s="26">
        <v>0</v>
      </c>
      <c r="K450" s="26" t="b">
        <f t="shared" ref="K450:K513" si="65">AND(C450&gt;25,DAY(A450-J450)&lt;=25)</f>
        <v>0</v>
      </c>
      <c r="L450" s="23" t="b">
        <f t="shared" ref="L450:L513" si="66">C450=25</f>
        <v>1</v>
      </c>
      <c r="M450" t="b">
        <f t="shared" si="62"/>
        <v>0</v>
      </c>
      <c r="N450" t="b">
        <f t="shared" si="63"/>
        <v>0</v>
      </c>
    </row>
    <row r="451" spans="1:14">
      <c r="A451" s="29">
        <v>45011</v>
      </c>
      <c r="B451" s="30">
        <f t="shared" si="64"/>
        <v>3</v>
      </c>
      <c r="C451" s="30">
        <f t="shared" ref="C451:C514" si="67">DAY(A451)</f>
        <v>26</v>
      </c>
      <c r="D451" s="26">
        <f>MATCH(WEEKDAY(A451),そのた定義!A:A,0)</f>
        <v>2</v>
      </c>
      <c r="E451" s="32" t="str">
        <f t="shared" ref="E451:E514" ca="1" si="68">INDIRECT("そのた定義!"&amp;"B"&amp;D451)</f>
        <v>日</v>
      </c>
      <c r="F451" s="26">
        <f t="shared" ref="F451:F514" si="69">IF(OR(D451=8,D451=2),1,0)</f>
        <v>1</v>
      </c>
      <c r="G451" s="26">
        <f>IF(ISNA(MATCH(A451,祝日定義!E:E,0)),0,1)</f>
        <v>0</v>
      </c>
      <c r="H451" s="26">
        <f>IF(ISNA(MATCH(B451&amp;"/"&amp;C451,そのた定義!E:E,0)), 0, 1)</f>
        <v>0</v>
      </c>
      <c r="I451" s="23" t="b">
        <f t="shared" ref="I451:I514" si="70">SUM(F451:H451)&gt;0</f>
        <v>1</v>
      </c>
      <c r="J451" s="26">
        <v>0</v>
      </c>
      <c r="K451" s="26" t="b">
        <f t="shared" si="65"/>
        <v>0</v>
      </c>
      <c r="L451" s="26" t="b">
        <f t="shared" si="66"/>
        <v>0</v>
      </c>
      <c r="M451" t="b">
        <f t="shared" ref="M451:M514" si="71">B451&lt;&gt;MONTH(A451-J451)</f>
        <v>0</v>
      </c>
      <c r="N451" t="b">
        <f t="shared" ref="N451:N514" si="72">B451&lt;&gt;MONTH(A451+1)</f>
        <v>0</v>
      </c>
    </row>
    <row r="452" spans="1:14">
      <c r="A452" s="29">
        <v>45012</v>
      </c>
      <c r="B452" s="30">
        <f t="shared" si="64"/>
        <v>3</v>
      </c>
      <c r="C452" s="30">
        <f t="shared" si="67"/>
        <v>27</v>
      </c>
      <c r="D452" s="26">
        <f>MATCH(WEEKDAY(A452),そのた定義!A:A,0)</f>
        <v>3</v>
      </c>
      <c r="E452" s="26" t="str">
        <f t="shared" ca="1" si="68"/>
        <v>月</v>
      </c>
      <c r="F452" s="26">
        <f t="shared" si="69"/>
        <v>0</v>
      </c>
      <c r="G452" s="26">
        <f>IF(ISNA(MATCH(A452,祝日定義!E:E,0)),0,1)</f>
        <v>0</v>
      </c>
      <c r="H452" s="26">
        <f>IF(ISNA(MATCH(B452&amp;"/"&amp;C452,そのた定義!E:E,0)), 0, 1)</f>
        <v>0</v>
      </c>
      <c r="I452" s="26" t="b">
        <f t="shared" si="70"/>
        <v>0</v>
      </c>
      <c r="J452" s="26">
        <v>2</v>
      </c>
      <c r="K452" s="23" t="b">
        <f t="shared" si="65"/>
        <v>1</v>
      </c>
      <c r="L452" s="26" t="b">
        <f t="shared" si="66"/>
        <v>0</v>
      </c>
      <c r="M452" t="b">
        <f t="shared" si="71"/>
        <v>0</v>
      </c>
      <c r="N452" t="b">
        <f t="shared" si="72"/>
        <v>0</v>
      </c>
    </row>
    <row r="453" spans="1:14">
      <c r="A453" s="29">
        <v>45013</v>
      </c>
      <c r="B453" s="30">
        <f t="shared" si="64"/>
        <v>3</v>
      </c>
      <c r="C453" s="30">
        <f t="shared" si="67"/>
        <v>28</v>
      </c>
      <c r="D453" s="26">
        <f>MATCH(WEEKDAY(A453),そのた定義!A:A,0)</f>
        <v>4</v>
      </c>
      <c r="E453" s="26" t="str">
        <f t="shared" ca="1" si="68"/>
        <v>火</v>
      </c>
      <c r="F453" s="26">
        <f t="shared" si="69"/>
        <v>0</v>
      </c>
      <c r="G453" s="26">
        <f>IF(ISNA(MATCH(A453,祝日定義!E:E,0)),0,1)</f>
        <v>0</v>
      </c>
      <c r="H453" s="26">
        <f>IF(ISNA(MATCH(B453&amp;"/"&amp;C453,そのた定義!E:E,0)), 0, 1)</f>
        <v>0</v>
      </c>
      <c r="I453" s="26" t="b">
        <f t="shared" si="70"/>
        <v>0</v>
      </c>
      <c r="J453" s="26">
        <v>0</v>
      </c>
      <c r="K453" s="26" t="b">
        <f t="shared" si="65"/>
        <v>0</v>
      </c>
      <c r="L453" s="26" t="b">
        <f t="shared" si="66"/>
        <v>0</v>
      </c>
      <c r="M453" t="b">
        <f t="shared" si="71"/>
        <v>0</v>
      </c>
      <c r="N453" t="b">
        <f t="shared" si="72"/>
        <v>0</v>
      </c>
    </row>
    <row r="454" spans="1:14">
      <c r="A454" s="29">
        <v>45014</v>
      </c>
      <c r="B454" s="30">
        <f t="shared" si="64"/>
        <v>3</v>
      </c>
      <c r="C454" s="30">
        <f t="shared" si="67"/>
        <v>29</v>
      </c>
      <c r="D454" s="26">
        <f>MATCH(WEEKDAY(A454),そのた定義!A:A,0)</f>
        <v>5</v>
      </c>
      <c r="E454" s="26" t="str">
        <f t="shared" ca="1" si="68"/>
        <v>水</v>
      </c>
      <c r="F454" s="26">
        <f t="shared" si="69"/>
        <v>0</v>
      </c>
      <c r="G454" s="26">
        <f>IF(ISNA(MATCH(A454,祝日定義!E:E,0)),0,1)</f>
        <v>0</v>
      </c>
      <c r="H454" s="26">
        <f>IF(ISNA(MATCH(B454&amp;"/"&amp;C454,そのた定義!E:E,0)), 0, 1)</f>
        <v>0</v>
      </c>
      <c r="I454" s="26" t="b">
        <f t="shared" si="70"/>
        <v>0</v>
      </c>
      <c r="J454" s="26">
        <v>0</v>
      </c>
      <c r="K454" s="26" t="b">
        <f t="shared" si="65"/>
        <v>0</v>
      </c>
      <c r="L454" s="26" t="b">
        <f t="shared" si="66"/>
        <v>0</v>
      </c>
      <c r="M454" t="b">
        <f t="shared" si="71"/>
        <v>0</v>
      </c>
      <c r="N454" t="b">
        <f t="shared" si="72"/>
        <v>0</v>
      </c>
    </row>
    <row r="455" spans="1:14">
      <c r="A455" s="29">
        <v>45015</v>
      </c>
      <c r="B455" s="30">
        <f t="shared" si="64"/>
        <v>3</v>
      </c>
      <c r="C455" s="30">
        <f t="shared" si="67"/>
        <v>30</v>
      </c>
      <c r="D455" s="26">
        <f>MATCH(WEEKDAY(A455),そのた定義!A:A,0)</f>
        <v>6</v>
      </c>
      <c r="E455" s="26" t="str">
        <f t="shared" ca="1" si="68"/>
        <v>木</v>
      </c>
      <c r="F455" s="26">
        <f t="shared" si="69"/>
        <v>0</v>
      </c>
      <c r="G455" s="26">
        <f>IF(ISNA(MATCH(A455,祝日定義!E:E,0)),0,1)</f>
        <v>0</v>
      </c>
      <c r="H455" s="26">
        <f>IF(ISNA(MATCH(B455&amp;"/"&amp;C455,そのた定義!E:E,0)), 0, 1)</f>
        <v>0</v>
      </c>
      <c r="I455" s="26" t="b">
        <f t="shared" si="70"/>
        <v>0</v>
      </c>
      <c r="J455" s="26">
        <v>0</v>
      </c>
      <c r="K455" s="26" t="b">
        <f t="shared" si="65"/>
        <v>0</v>
      </c>
      <c r="L455" s="26" t="b">
        <f t="shared" si="66"/>
        <v>0</v>
      </c>
      <c r="M455" t="b">
        <f t="shared" si="71"/>
        <v>0</v>
      </c>
      <c r="N455" t="b">
        <f t="shared" si="72"/>
        <v>0</v>
      </c>
    </row>
    <row r="456" spans="1:14">
      <c r="A456" s="29">
        <v>45016</v>
      </c>
      <c r="B456" s="30">
        <f t="shared" si="64"/>
        <v>3</v>
      </c>
      <c r="C456" s="30">
        <f t="shared" si="67"/>
        <v>31</v>
      </c>
      <c r="D456" s="26">
        <f>MATCH(WEEKDAY(A456),そのた定義!A:A,0)</f>
        <v>7</v>
      </c>
      <c r="E456" s="26" t="str">
        <f t="shared" ca="1" si="68"/>
        <v>金</v>
      </c>
      <c r="F456" s="26">
        <f t="shared" si="69"/>
        <v>0</v>
      </c>
      <c r="G456" s="26">
        <f>IF(ISNA(MATCH(A456,祝日定義!E:E,0)),0,1)</f>
        <v>0</v>
      </c>
      <c r="H456" s="26">
        <f>IF(ISNA(MATCH(B456&amp;"/"&amp;C456,そのた定義!E:E,0)), 0, 1)</f>
        <v>0</v>
      </c>
      <c r="I456" s="26" t="b">
        <f t="shared" si="70"/>
        <v>0</v>
      </c>
      <c r="J456" s="26">
        <v>0</v>
      </c>
      <c r="K456" s="26" t="b">
        <f t="shared" si="65"/>
        <v>0</v>
      </c>
      <c r="L456" s="26" t="b">
        <f t="shared" si="66"/>
        <v>0</v>
      </c>
      <c r="M456" t="b">
        <f t="shared" si="71"/>
        <v>0</v>
      </c>
      <c r="N456" t="b">
        <f t="shared" si="72"/>
        <v>1</v>
      </c>
    </row>
    <row r="457" spans="1:14">
      <c r="A457" s="29">
        <v>45017</v>
      </c>
      <c r="B457" s="30">
        <f t="shared" si="64"/>
        <v>4</v>
      </c>
      <c r="C457" s="30">
        <f t="shared" si="67"/>
        <v>1</v>
      </c>
      <c r="D457" s="26">
        <f>MATCH(WEEKDAY(A457),そのた定義!A:A,0)</f>
        <v>8</v>
      </c>
      <c r="E457" s="33" t="str">
        <f t="shared" ca="1" si="68"/>
        <v>土</v>
      </c>
      <c r="F457" s="26">
        <f t="shared" si="69"/>
        <v>1</v>
      </c>
      <c r="G457" s="26">
        <f>IF(ISNA(MATCH(A457,祝日定義!E:E,0)),0,1)</f>
        <v>0</v>
      </c>
      <c r="H457" s="26">
        <f>IF(ISNA(MATCH(B457&amp;"/"&amp;C457,そのた定義!E:E,0)), 0, 1)</f>
        <v>0</v>
      </c>
      <c r="I457" s="23" t="b">
        <f t="shared" si="70"/>
        <v>1</v>
      </c>
      <c r="J457" s="26">
        <v>0</v>
      </c>
      <c r="K457" s="26" t="b">
        <f t="shared" si="65"/>
        <v>0</v>
      </c>
      <c r="L457" s="26" t="b">
        <f t="shared" si="66"/>
        <v>0</v>
      </c>
      <c r="M457" t="b">
        <f t="shared" si="71"/>
        <v>0</v>
      </c>
      <c r="N457" t="b">
        <f t="shared" si="72"/>
        <v>0</v>
      </c>
    </row>
    <row r="458" spans="1:14">
      <c r="A458" s="29">
        <v>45018</v>
      </c>
      <c r="B458" s="30">
        <f t="shared" si="64"/>
        <v>4</v>
      </c>
      <c r="C458" s="30">
        <f t="shared" si="67"/>
        <v>2</v>
      </c>
      <c r="D458" s="26">
        <f>MATCH(WEEKDAY(A458),そのた定義!A:A,0)</f>
        <v>2</v>
      </c>
      <c r="E458" s="32" t="str">
        <f t="shared" ca="1" si="68"/>
        <v>日</v>
      </c>
      <c r="F458" s="26">
        <f t="shared" si="69"/>
        <v>1</v>
      </c>
      <c r="G458" s="26">
        <f>IF(ISNA(MATCH(A458,祝日定義!E:E,0)),0,1)</f>
        <v>0</v>
      </c>
      <c r="H458" s="26">
        <f>IF(ISNA(MATCH(B458&amp;"/"&amp;C458,そのた定義!E:E,0)), 0, 1)</f>
        <v>0</v>
      </c>
      <c r="I458" s="23" t="b">
        <f t="shared" si="70"/>
        <v>1</v>
      </c>
      <c r="J458" s="26">
        <v>0</v>
      </c>
      <c r="K458" s="26" t="b">
        <f t="shared" si="65"/>
        <v>0</v>
      </c>
      <c r="L458" s="26" t="b">
        <f t="shared" si="66"/>
        <v>0</v>
      </c>
      <c r="M458" t="b">
        <f t="shared" si="71"/>
        <v>0</v>
      </c>
      <c r="N458" t="b">
        <f t="shared" si="72"/>
        <v>0</v>
      </c>
    </row>
    <row r="459" spans="1:14">
      <c r="A459" s="29">
        <v>45019</v>
      </c>
      <c r="B459" s="30">
        <f t="shared" si="64"/>
        <v>4</v>
      </c>
      <c r="C459" s="30">
        <f t="shared" si="67"/>
        <v>3</v>
      </c>
      <c r="D459" s="26">
        <f>MATCH(WEEKDAY(A459),そのた定義!A:A,0)</f>
        <v>3</v>
      </c>
      <c r="E459" s="26" t="str">
        <f t="shared" ca="1" si="68"/>
        <v>月</v>
      </c>
      <c r="F459" s="26">
        <f t="shared" si="69"/>
        <v>0</v>
      </c>
      <c r="G459" s="26">
        <f>IF(ISNA(MATCH(A459,祝日定義!E:E,0)),0,1)</f>
        <v>0</v>
      </c>
      <c r="H459" s="26">
        <f>IF(ISNA(MATCH(B459&amp;"/"&amp;C459,そのた定義!E:E,0)), 0, 1)</f>
        <v>0</v>
      </c>
      <c r="I459" s="26" t="b">
        <f t="shared" si="70"/>
        <v>0</v>
      </c>
      <c r="J459" s="26">
        <v>2</v>
      </c>
      <c r="K459" s="26" t="b">
        <f t="shared" si="65"/>
        <v>0</v>
      </c>
      <c r="L459" s="26" t="b">
        <f t="shared" si="66"/>
        <v>0</v>
      </c>
      <c r="M459" t="b">
        <f t="shared" si="71"/>
        <v>0</v>
      </c>
      <c r="N459" t="b">
        <f t="shared" si="72"/>
        <v>0</v>
      </c>
    </row>
    <row r="460" spans="1:14">
      <c r="A460" s="29">
        <v>45020</v>
      </c>
      <c r="B460" s="30">
        <f t="shared" si="64"/>
        <v>4</v>
      </c>
      <c r="C460" s="30">
        <f t="shared" si="67"/>
        <v>4</v>
      </c>
      <c r="D460" s="26">
        <f>MATCH(WEEKDAY(A460),そのた定義!A:A,0)</f>
        <v>4</v>
      </c>
      <c r="E460" s="26" t="str">
        <f t="shared" ca="1" si="68"/>
        <v>火</v>
      </c>
      <c r="F460" s="26">
        <f t="shared" si="69"/>
        <v>0</v>
      </c>
      <c r="G460" s="26">
        <f>IF(ISNA(MATCH(A460,祝日定義!E:E,0)),0,1)</f>
        <v>0</v>
      </c>
      <c r="H460" s="26">
        <f>IF(ISNA(MATCH(B460&amp;"/"&amp;C460,そのた定義!E:E,0)), 0, 1)</f>
        <v>0</v>
      </c>
      <c r="I460" s="26" t="b">
        <f t="shared" si="70"/>
        <v>0</v>
      </c>
      <c r="J460" s="26">
        <v>0</v>
      </c>
      <c r="K460" s="26" t="b">
        <f t="shared" si="65"/>
        <v>0</v>
      </c>
      <c r="L460" s="26" t="b">
        <f t="shared" si="66"/>
        <v>0</v>
      </c>
      <c r="M460" t="b">
        <f t="shared" si="71"/>
        <v>0</v>
      </c>
      <c r="N460" t="b">
        <f t="shared" si="72"/>
        <v>0</v>
      </c>
    </row>
    <row r="461" spans="1:14">
      <c r="A461" s="29">
        <v>45021</v>
      </c>
      <c r="B461" s="30">
        <f t="shared" si="64"/>
        <v>4</v>
      </c>
      <c r="C461" s="30">
        <f t="shared" si="67"/>
        <v>5</v>
      </c>
      <c r="D461" s="26">
        <f>MATCH(WEEKDAY(A461),そのた定義!A:A,0)</f>
        <v>5</v>
      </c>
      <c r="E461" s="26" t="str">
        <f t="shared" ca="1" si="68"/>
        <v>水</v>
      </c>
      <c r="F461" s="26">
        <f t="shared" si="69"/>
        <v>0</v>
      </c>
      <c r="G461" s="26">
        <f>IF(ISNA(MATCH(A461,祝日定義!E:E,0)),0,1)</f>
        <v>0</v>
      </c>
      <c r="H461" s="26">
        <f>IF(ISNA(MATCH(B461&amp;"/"&amp;C461,そのた定義!E:E,0)), 0, 1)</f>
        <v>0</v>
      </c>
      <c r="I461" s="26" t="b">
        <f t="shared" si="70"/>
        <v>0</v>
      </c>
      <c r="J461" s="26">
        <v>0</v>
      </c>
      <c r="K461" s="26" t="b">
        <f t="shared" si="65"/>
        <v>0</v>
      </c>
      <c r="L461" s="26" t="b">
        <f t="shared" si="66"/>
        <v>0</v>
      </c>
      <c r="M461" t="b">
        <f t="shared" si="71"/>
        <v>0</v>
      </c>
      <c r="N461" t="b">
        <f t="shared" si="72"/>
        <v>0</v>
      </c>
    </row>
    <row r="462" spans="1:14">
      <c r="A462" s="29">
        <v>45022</v>
      </c>
      <c r="B462" s="30">
        <f t="shared" si="64"/>
        <v>4</v>
      </c>
      <c r="C462" s="30">
        <f t="shared" si="67"/>
        <v>6</v>
      </c>
      <c r="D462" s="26">
        <f>MATCH(WEEKDAY(A462),そのた定義!A:A,0)</f>
        <v>6</v>
      </c>
      <c r="E462" s="26" t="str">
        <f t="shared" ca="1" si="68"/>
        <v>木</v>
      </c>
      <c r="F462" s="26">
        <f t="shared" si="69"/>
        <v>0</v>
      </c>
      <c r="G462" s="26">
        <f>IF(ISNA(MATCH(A462,祝日定義!E:E,0)),0,1)</f>
        <v>0</v>
      </c>
      <c r="H462" s="26">
        <f>IF(ISNA(MATCH(B462&amp;"/"&amp;C462,そのた定義!E:E,0)), 0, 1)</f>
        <v>0</v>
      </c>
      <c r="I462" s="26" t="b">
        <f t="shared" si="70"/>
        <v>0</v>
      </c>
      <c r="J462" s="26">
        <v>0</v>
      </c>
      <c r="K462" s="26" t="b">
        <f t="shared" si="65"/>
        <v>0</v>
      </c>
      <c r="L462" s="26" t="b">
        <f t="shared" si="66"/>
        <v>0</v>
      </c>
      <c r="M462" t="b">
        <f t="shared" si="71"/>
        <v>0</v>
      </c>
      <c r="N462" t="b">
        <f t="shared" si="72"/>
        <v>0</v>
      </c>
    </row>
    <row r="463" spans="1:14">
      <c r="A463" s="29">
        <v>45023</v>
      </c>
      <c r="B463" s="30">
        <f t="shared" si="64"/>
        <v>4</v>
      </c>
      <c r="C463" s="30">
        <f t="shared" si="67"/>
        <v>7</v>
      </c>
      <c r="D463" s="26">
        <f>MATCH(WEEKDAY(A463),そのた定義!A:A,0)</f>
        <v>7</v>
      </c>
      <c r="E463" s="26" t="str">
        <f t="shared" ca="1" si="68"/>
        <v>金</v>
      </c>
      <c r="F463" s="26">
        <f t="shared" si="69"/>
        <v>0</v>
      </c>
      <c r="G463" s="26">
        <f>IF(ISNA(MATCH(A463,祝日定義!E:E,0)),0,1)</f>
        <v>0</v>
      </c>
      <c r="H463" s="26">
        <f>IF(ISNA(MATCH(B463&amp;"/"&amp;C463,そのた定義!E:E,0)), 0, 1)</f>
        <v>0</v>
      </c>
      <c r="I463" s="26" t="b">
        <f t="shared" si="70"/>
        <v>0</v>
      </c>
      <c r="J463" s="26">
        <v>0</v>
      </c>
      <c r="K463" s="26" t="b">
        <f t="shared" si="65"/>
        <v>0</v>
      </c>
      <c r="L463" s="26" t="b">
        <f t="shared" si="66"/>
        <v>0</v>
      </c>
      <c r="M463" t="b">
        <f t="shared" si="71"/>
        <v>0</v>
      </c>
      <c r="N463" t="b">
        <f t="shared" si="72"/>
        <v>0</v>
      </c>
    </row>
    <row r="464" spans="1:14">
      <c r="A464" s="29">
        <v>45024</v>
      </c>
      <c r="B464" s="30">
        <f t="shared" si="64"/>
        <v>4</v>
      </c>
      <c r="C464" s="30">
        <f t="shared" si="67"/>
        <v>8</v>
      </c>
      <c r="D464" s="26">
        <f>MATCH(WEEKDAY(A464),そのた定義!A:A,0)</f>
        <v>8</v>
      </c>
      <c r="E464" s="33" t="str">
        <f t="shared" ca="1" si="68"/>
        <v>土</v>
      </c>
      <c r="F464" s="26">
        <f t="shared" si="69"/>
        <v>1</v>
      </c>
      <c r="G464" s="26">
        <f>IF(ISNA(MATCH(A464,祝日定義!E:E,0)),0,1)</f>
        <v>0</v>
      </c>
      <c r="H464" s="26">
        <f>IF(ISNA(MATCH(B464&amp;"/"&amp;C464,そのた定義!E:E,0)), 0, 1)</f>
        <v>0</v>
      </c>
      <c r="I464" s="23" t="b">
        <f t="shared" si="70"/>
        <v>1</v>
      </c>
      <c r="J464" s="26">
        <v>0</v>
      </c>
      <c r="K464" s="26" t="b">
        <f t="shared" si="65"/>
        <v>0</v>
      </c>
      <c r="L464" s="26" t="b">
        <f t="shared" si="66"/>
        <v>0</v>
      </c>
      <c r="M464" t="b">
        <f t="shared" si="71"/>
        <v>0</v>
      </c>
      <c r="N464" t="b">
        <f t="shared" si="72"/>
        <v>0</v>
      </c>
    </row>
    <row r="465" spans="1:14">
      <c r="A465" s="29">
        <v>45025</v>
      </c>
      <c r="B465" s="30">
        <f t="shared" si="64"/>
        <v>4</v>
      </c>
      <c r="C465" s="30">
        <f t="shared" si="67"/>
        <v>9</v>
      </c>
      <c r="D465" s="26">
        <f>MATCH(WEEKDAY(A465),そのた定義!A:A,0)</f>
        <v>2</v>
      </c>
      <c r="E465" s="32" t="str">
        <f t="shared" ca="1" si="68"/>
        <v>日</v>
      </c>
      <c r="F465" s="26">
        <f t="shared" si="69"/>
        <v>1</v>
      </c>
      <c r="G465" s="26">
        <f>IF(ISNA(MATCH(A465,祝日定義!E:E,0)),0,1)</f>
        <v>0</v>
      </c>
      <c r="H465" s="26">
        <f>IF(ISNA(MATCH(B465&amp;"/"&amp;C465,そのた定義!E:E,0)), 0, 1)</f>
        <v>0</v>
      </c>
      <c r="I465" s="23" t="b">
        <f t="shared" si="70"/>
        <v>1</v>
      </c>
      <c r="J465" s="26">
        <v>0</v>
      </c>
      <c r="K465" s="26" t="b">
        <f t="shared" si="65"/>
        <v>0</v>
      </c>
      <c r="L465" s="26" t="b">
        <f t="shared" si="66"/>
        <v>0</v>
      </c>
      <c r="M465" t="b">
        <f t="shared" si="71"/>
        <v>0</v>
      </c>
      <c r="N465" t="b">
        <f t="shared" si="72"/>
        <v>0</v>
      </c>
    </row>
    <row r="466" spans="1:14">
      <c r="A466" s="29">
        <v>45026</v>
      </c>
      <c r="B466" s="30">
        <f t="shared" si="64"/>
        <v>4</v>
      </c>
      <c r="C466" s="30">
        <f t="shared" si="67"/>
        <v>10</v>
      </c>
      <c r="D466" s="26">
        <f>MATCH(WEEKDAY(A466),そのた定義!A:A,0)</f>
        <v>3</v>
      </c>
      <c r="E466" s="26" t="str">
        <f t="shared" ca="1" si="68"/>
        <v>月</v>
      </c>
      <c r="F466" s="26">
        <f t="shared" si="69"/>
        <v>0</v>
      </c>
      <c r="G466" s="26">
        <f>IF(ISNA(MATCH(A466,祝日定義!E:E,0)),0,1)</f>
        <v>0</v>
      </c>
      <c r="H466" s="26">
        <f>IF(ISNA(MATCH(B466&amp;"/"&amp;C466,そのた定義!E:E,0)), 0, 1)</f>
        <v>0</v>
      </c>
      <c r="I466" s="26" t="b">
        <f t="shared" si="70"/>
        <v>0</v>
      </c>
      <c r="J466" s="26">
        <v>2</v>
      </c>
      <c r="K466" s="26" t="b">
        <f t="shared" si="65"/>
        <v>0</v>
      </c>
      <c r="L466" s="26" t="b">
        <f t="shared" si="66"/>
        <v>0</v>
      </c>
      <c r="M466" t="b">
        <f t="shared" si="71"/>
        <v>0</v>
      </c>
      <c r="N466" t="b">
        <f t="shared" si="72"/>
        <v>0</v>
      </c>
    </row>
    <row r="467" spans="1:14">
      <c r="A467" s="29">
        <v>45027</v>
      </c>
      <c r="B467" s="30">
        <f t="shared" si="64"/>
        <v>4</v>
      </c>
      <c r="C467" s="30">
        <f t="shared" si="67"/>
        <v>11</v>
      </c>
      <c r="D467" s="26">
        <f>MATCH(WEEKDAY(A467),そのた定義!A:A,0)</f>
        <v>4</v>
      </c>
      <c r="E467" s="26" t="str">
        <f t="shared" ca="1" si="68"/>
        <v>火</v>
      </c>
      <c r="F467" s="26">
        <f t="shared" si="69"/>
        <v>0</v>
      </c>
      <c r="G467" s="26">
        <f>IF(ISNA(MATCH(A467,祝日定義!E:E,0)),0,1)</f>
        <v>0</v>
      </c>
      <c r="H467" s="26">
        <f>IF(ISNA(MATCH(B467&amp;"/"&amp;C467,そのた定義!E:E,0)), 0, 1)</f>
        <v>0</v>
      </c>
      <c r="I467" s="26" t="b">
        <f t="shared" si="70"/>
        <v>0</v>
      </c>
      <c r="J467" s="26">
        <v>0</v>
      </c>
      <c r="K467" s="26" t="b">
        <f t="shared" si="65"/>
        <v>0</v>
      </c>
      <c r="L467" s="26" t="b">
        <f t="shared" si="66"/>
        <v>0</v>
      </c>
      <c r="M467" t="b">
        <f t="shared" si="71"/>
        <v>0</v>
      </c>
      <c r="N467" t="b">
        <f t="shared" si="72"/>
        <v>0</v>
      </c>
    </row>
    <row r="468" spans="1:14">
      <c r="A468" s="29">
        <v>45028</v>
      </c>
      <c r="B468" s="30">
        <f t="shared" si="64"/>
        <v>4</v>
      </c>
      <c r="C468" s="30">
        <f t="shared" si="67"/>
        <v>12</v>
      </c>
      <c r="D468" s="26">
        <f>MATCH(WEEKDAY(A468),そのた定義!A:A,0)</f>
        <v>5</v>
      </c>
      <c r="E468" s="26" t="str">
        <f t="shared" ca="1" si="68"/>
        <v>水</v>
      </c>
      <c r="F468" s="26">
        <f t="shared" si="69"/>
        <v>0</v>
      </c>
      <c r="G468" s="26">
        <f>IF(ISNA(MATCH(A468,祝日定義!E:E,0)),0,1)</f>
        <v>0</v>
      </c>
      <c r="H468" s="26">
        <f>IF(ISNA(MATCH(B468&amp;"/"&amp;C468,そのた定義!E:E,0)), 0, 1)</f>
        <v>0</v>
      </c>
      <c r="I468" s="26" t="b">
        <f t="shared" si="70"/>
        <v>0</v>
      </c>
      <c r="J468" s="26">
        <v>0</v>
      </c>
      <c r="K468" s="26" t="b">
        <f t="shared" si="65"/>
        <v>0</v>
      </c>
      <c r="L468" s="26" t="b">
        <f t="shared" si="66"/>
        <v>0</v>
      </c>
      <c r="M468" t="b">
        <f t="shared" si="71"/>
        <v>0</v>
      </c>
      <c r="N468" t="b">
        <f t="shared" si="72"/>
        <v>0</v>
      </c>
    </row>
    <row r="469" spans="1:14">
      <c r="A469" s="29">
        <v>45029</v>
      </c>
      <c r="B469" s="30">
        <f t="shared" si="64"/>
        <v>4</v>
      </c>
      <c r="C469" s="30">
        <f t="shared" si="67"/>
        <v>13</v>
      </c>
      <c r="D469" s="26">
        <f>MATCH(WEEKDAY(A469),そのた定義!A:A,0)</f>
        <v>6</v>
      </c>
      <c r="E469" s="26" t="str">
        <f t="shared" ca="1" si="68"/>
        <v>木</v>
      </c>
      <c r="F469" s="26">
        <f t="shared" si="69"/>
        <v>0</v>
      </c>
      <c r="G469" s="26">
        <f>IF(ISNA(MATCH(A469,祝日定義!E:E,0)),0,1)</f>
        <v>0</v>
      </c>
      <c r="H469" s="26">
        <f>IF(ISNA(MATCH(B469&amp;"/"&amp;C469,そのた定義!E:E,0)), 0, 1)</f>
        <v>0</v>
      </c>
      <c r="I469" s="26" t="b">
        <f t="shared" si="70"/>
        <v>0</v>
      </c>
      <c r="J469" s="26">
        <v>0</v>
      </c>
      <c r="K469" s="26" t="b">
        <f t="shared" si="65"/>
        <v>0</v>
      </c>
      <c r="L469" s="26" t="b">
        <f t="shared" si="66"/>
        <v>0</v>
      </c>
      <c r="M469" t="b">
        <f t="shared" si="71"/>
        <v>0</v>
      </c>
      <c r="N469" t="b">
        <f t="shared" si="72"/>
        <v>0</v>
      </c>
    </row>
    <row r="470" spans="1:14">
      <c r="A470" s="29">
        <v>45030</v>
      </c>
      <c r="B470" s="30">
        <f t="shared" si="64"/>
        <v>4</v>
      </c>
      <c r="C470" s="30">
        <f t="shared" si="67"/>
        <v>14</v>
      </c>
      <c r="D470" s="26">
        <f>MATCH(WEEKDAY(A470),そのた定義!A:A,0)</f>
        <v>7</v>
      </c>
      <c r="E470" s="26" t="str">
        <f t="shared" ca="1" si="68"/>
        <v>金</v>
      </c>
      <c r="F470" s="26">
        <f t="shared" si="69"/>
        <v>0</v>
      </c>
      <c r="G470" s="26">
        <f>IF(ISNA(MATCH(A470,祝日定義!E:E,0)),0,1)</f>
        <v>0</v>
      </c>
      <c r="H470" s="26">
        <f>IF(ISNA(MATCH(B470&amp;"/"&amp;C470,そのた定義!E:E,0)), 0, 1)</f>
        <v>0</v>
      </c>
      <c r="I470" s="26" t="b">
        <f t="shared" si="70"/>
        <v>0</v>
      </c>
      <c r="J470" s="26">
        <v>0</v>
      </c>
      <c r="K470" s="26" t="b">
        <f t="shared" si="65"/>
        <v>0</v>
      </c>
      <c r="L470" s="26" t="b">
        <f t="shared" si="66"/>
        <v>0</v>
      </c>
      <c r="M470" t="b">
        <f t="shared" si="71"/>
        <v>0</v>
      </c>
      <c r="N470" t="b">
        <f t="shared" si="72"/>
        <v>0</v>
      </c>
    </row>
    <row r="471" spans="1:14">
      <c r="A471" s="29">
        <v>45031</v>
      </c>
      <c r="B471" s="30">
        <f t="shared" si="64"/>
        <v>4</v>
      </c>
      <c r="C471" s="30">
        <f t="shared" si="67"/>
        <v>15</v>
      </c>
      <c r="D471" s="26">
        <f>MATCH(WEEKDAY(A471),そのた定義!A:A,0)</f>
        <v>8</v>
      </c>
      <c r="E471" s="33" t="str">
        <f t="shared" ca="1" si="68"/>
        <v>土</v>
      </c>
      <c r="F471" s="26">
        <f t="shared" si="69"/>
        <v>1</v>
      </c>
      <c r="G471" s="26">
        <f>IF(ISNA(MATCH(A471,祝日定義!E:E,0)),0,1)</f>
        <v>0</v>
      </c>
      <c r="H471" s="26">
        <f>IF(ISNA(MATCH(B471&amp;"/"&amp;C471,そのた定義!E:E,0)), 0, 1)</f>
        <v>0</v>
      </c>
      <c r="I471" s="23" t="b">
        <f t="shared" si="70"/>
        <v>1</v>
      </c>
      <c r="J471" s="26">
        <v>0</v>
      </c>
      <c r="K471" s="26" t="b">
        <f t="shared" si="65"/>
        <v>0</v>
      </c>
      <c r="L471" s="26" t="b">
        <f t="shared" si="66"/>
        <v>0</v>
      </c>
      <c r="M471" t="b">
        <f t="shared" si="71"/>
        <v>0</v>
      </c>
      <c r="N471" t="b">
        <f t="shared" si="72"/>
        <v>0</v>
      </c>
    </row>
    <row r="472" spans="1:14">
      <c r="A472" s="29">
        <v>45032</v>
      </c>
      <c r="B472" s="30">
        <f t="shared" si="64"/>
        <v>4</v>
      </c>
      <c r="C472" s="30">
        <f t="shared" si="67"/>
        <v>16</v>
      </c>
      <c r="D472" s="26">
        <f>MATCH(WEEKDAY(A472),そのた定義!A:A,0)</f>
        <v>2</v>
      </c>
      <c r="E472" s="32" t="str">
        <f t="shared" ca="1" si="68"/>
        <v>日</v>
      </c>
      <c r="F472" s="26">
        <f t="shared" si="69"/>
        <v>1</v>
      </c>
      <c r="G472" s="26">
        <f>IF(ISNA(MATCH(A472,祝日定義!E:E,0)),0,1)</f>
        <v>0</v>
      </c>
      <c r="H472" s="26">
        <f>IF(ISNA(MATCH(B472&amp;"/"&amp;C472,そのた定義!E:E,0)), 0, 1)</f>
        <v>0</v>
      </c>
      <c r="I472" s="23" t="b">
        <f t="shared" si="70"/>
        <v>1</v>
      </c>
      <c r="J472" s="26">
        <v>0</v>
      </c>
      <c r="K472" s="26" t="b">
        <f t="shared" si="65"/>
        <v>0</v>
      </c>
      <c r="L472" s="26" t="b">
        <f t="shared" si="66"/>
        <v>0</v>
      </c>
      <c r="M472" t="b">
        <f t="shared" si="71"/>
        <v>0</v>
      </c>
      <c r="N472" t="b">
        <f t="shared" si="72"/>
        <v>0</v>
      </c>
    </row>
    <row r="473" spans="1:14">
      <c r="A473" s="29">
        <v>45033</v>
      </c>
      <c r="B473" s="30">
        <f t="shared" si="64"/>
        <v>4</v>
      </c>
      <c r="C473" s="30">
        <f t="shared" si="67"/>
        <v>17</v>
      </c>
      <c r="D473" s="26">
        <f>MATCH(WEEKDAY(A473),そのた定義!A:A,0)</f>
        <v>3</v>
      </c>
      <c r="E473" s="26" t="str">
        <f t="shared" ca="1" si="68"/>
        <v>月</v>
      </c>
      <c r="F473" s="26">
        <f t="shared" si="69"/>
        <v>0</v>
      </c>
      <c r="G473" s="26">
        <f>IF(ISNA(MATCH(A473,祝日定義!E:E,0)),0,1)</f>
        <v>0</v>
      </c>
      <c r="H473" s="26">
        <f>IF(ISNA(MATCH(B473&amp;"/"&amp;C473,そのた定義!E:E,0)), 0, 1)</f>
        <v>0</v>
      </c>
      <c r="I473" s="26" t="b">
        <f t="shared" si="70"/>
        <v>0</v>
      </c>
      <c r="J473" s="26">
        <v>2</v>
      </c>
      <c r="K473" s="26" t="b">
        <f t="shared" si="65"/>
        <v>0</v>
      </c>
      <c r="L473" s="26" t="b">
        <f t="shared" si="66"/>
        <v>0</v>
      </c>
      <c r="M473" t="b">
        <f t="shared" si="71"/>
        <v>0</v>
      </c>
      <c r="N473" t="b">
        <f t="shared" si="72"/>
        <v>0</v>
      </c>
    </row>
    <row r="474" spans="1:14">
      <c r="A474" s="29">
        <v>45034</v>
      </c>
      <c r="B474" s="30">
        <f t="shared" si="64"/>
        <v>4</v>
      </c>
      <c r="C474" s="30">
        <f t="shared" si="67"/>
        <v>18</v>
      </c>
      <c r="D474" s="26">
        <f>MATCH(WEEKDAY(A474),そのた定義!A:A,0)</f>
        <v>4</v>
      </c>
      <c r="E474" s="26" t="str">
        <f t="shared" ca="1" si="68"/>
        <v>火</v>
      </c>
      <c r="F474" s="26">
        <f t="shared" si="69"/>
        <v>0</v>
      </c>
      <c r="G474" s="26">
        <f>IF(ISNA(MATCH(A474,祝日定義!E:E,0)),0,1)</f>
        <v>0</v>
      </c>
      <c r="H474" s="26">
        <f>IF(ISNA(MATCH(B474&amp;"/"&amp;C474,そのた定義!E:E,0)), 0, 1)</f>
        <v>0</v>
      </c>
      <c r="I474" s="26" t="b">
        <f t="shared" si="70"/>
        <v>0</v>
      </c>
      <c r="J474" s="26">
        <v>0</v>
      </c>
      <c r="K474" s="26" t="b">
        <f t="shared" si="65"/>
        <v>0</v>
      </c>
      <c r="L474" s="26" t="b">
        <f t="shared" si="66"/>
        <v>0</v>
      </c>
      <c r="M474" t="b">
        <f t="shared" si="71"/>
        <v>0</v>
      </c>
      <c r="N474" t="b">
        <f t="shared" si="72"/>
        <v>0</v>
      </c>
    </row>
    <row r="475" spans="1:14">
      <c r="A475" s="29">
        <v>45035</v>
      </c>
      <c r="B475" s="30">
        <f t="shared" si="64"/>
        <v>4</v>
      </c>
      <c r="C475" s="30">
        <f t="shared" si="67"/>
        <v>19</v>
      </c>
      <c r="D475" s="26">
        <f>MATCH(WEEKDAY(A475),そのた定義!A:A,0)</f>
        <v>5</v>
      </c>
      <c r="E475" s="26" t="str">
        <f t="shared" ca="1" si="68"/>
        <v>水</v>
      </c>
      <c r="F475" s="26">
        <f t="shared" si="69"/>
        <v>0</v>
      </c>
      <c r="G475" s="26">
        <f>IF(ISNA(MATCH(A475,祝日定義!E:E,0)),0,1)</f>
        <v>0</v>
      </c>
      <c r="H475" s="26">
        <f>IF(ISNA(MATCH(B475&amp;"/"&amp;C475,そのた定義!E:E,0)), 0, 1)</f>
        <v>0</v>
      </c>
      <c r="I475" s="26" t="b">
        <f t="shared" si="70"/>
        <v>0</v>
      </c>
      <c r="J475" s="26">
        <v>0</v>
      </c>
      <c r="K475" s="26" t="b">
        <f t="shared" si="65"/>
        <v>0</v>
      </c>
      <c r="L475" s="26" t="b">
        <f t="shared" si="66"/>
        <v>0</v>
      </c>
      <c r="M475" t="b">
        <f t="shared" si="71"/>
        <v>0</v>
      </c>
      <c r="N475" t="b">
        <f t="shared" si="72"/>
        <v>0</v>
      </c>
    </row>
    <row r="476" spans="1:14">
      <c r="A476" s="29">
        <v>45036</v>
      </c>
      <c r="B476" s="30">
        <f t="shared" si="64"/>
        <v>4</v>
      </c>
      <c r="C476" s="30">
        <f t="shared" si="67"/>
        <v>20</v>
      </c>
      <c r="D476" s="26">
        <f>MATCH(WEEKDAY(A476),そのた定義!A:A,0)</f>
        <v>6</v>
      </c>
      <c r="E476" s="26" t="str">
        <f t="shared" ca="1" si="68"/>
        <v>木</v>
      </c>
      <c r="F476" s="26">
        <f t="shared" si="69"/>
        <v>0</v>
      </c>
      <c r="G476" s="26">
        <f>IF(ISNA(MATCH(A476,祝日定義!E:E,0)),0,1)</f>
        <v>0</v>
      </c>
      <c r="H476" s="26">
        <f>IF(ISNA(MATCH(B476&amp;"/"&amp;C476,そのた定義!E:E,0)), 0, 1)</f>
        <v>0</v>
      </c>
      <c r="I476" s="26" t="b">
        <f t="shared" si="70"/>
        <v>0</v>
      </c>
      <c r="J476" s="26">
        <v>0</v>
      </c>
      <c r="K476" s="26" t="b">
        <f t="shared" si="65"/>
        <v>0</v>
      </c>
      <c r="L476" s="26" t="b">
        <f t="shared" si="66"/>
        <v>0</v>
      </c>
      <c r="M476" t="b">
        <f t="shared" si="71"/>
        <v>0</v>
      </c>
      <c r="N476" t="b">
        <f t="shared" si="72"/>
        <v>0</v>
      </c>
    </row>
    <row r="477" spans="1:14">
      <c r="A477" s="29">
        <v>45037</v>
      </c>
      <c r="B477" s="30">
        <f t="shared" si="64"/>
        <v>4</v>
      </c>
      <c r="C477" s="30">
        <f t="shared" si="67"/>
        <v>21</v>
      </c>
      <c r="D477" s="26">
        <f>MATCH(WEEKDAY(A477),そのた定義!A:A,0)</f>
        <v>7</v>
      </c>
      <c r="E477" s="26" t="str">
        <f t="shared" ca="1" si="68"/>
        <v>金</v>
      </c>
      <c r="F477" s="26">
        <f t="shared" si="69"/>
        <v>0</v>
      </c>
      <c r="G477" s="26">
        <f>IF(ISNA(MATCH(A477,祝日定義!E:E,0)),0,1)</f>
        <v>0</v>
      </c>
      <c r="H477" s="26">
        <f>IF(ISNA(MATCH(B477&amp;"/"&amp;C477,そのた定義!E:E,0)), 0, 1)</f>
        <v>0</v>
      </c>
      <c r="I477" s="26" t="b">
        <f t="shared" si="70"/>
        <v>0</v>
      </c>
      <c r="J477" s="26">
        <v>0</v>
      </c>
      <c r="K477" s="26" t="b">
        <f t="shared" si="65"/>
        <v>0</v>
      </c>
      <c r="L477" s="26" t="b">
        <f t="shared" si="66"/>
        <v>0</v>
      </c>
      <c r="M477" t="b">
        <f t="shared" si="71"/>
        <v>0</v>
      </c>
      <c r="N477" t="b">
        <f t="shared" si="72"/>
        <v>0</v>
      </c>
    </row>
    <row r="478" spans="1:14">
      <c r="A478" s="29">
        <v>45038</v>
      </c>
      <c r="B478" s="30">
        <f t="shared" si="64"/>
        <v>4</v>
      </c>
      <c r="C478" s="30">
        <f t="shared" si="67"/>
        <v>22</v>
      </c>
      <c r="D478" s="26">
        <f>MATCH(WEEKDAY(A478),そのた定義!A:A,0)</f>
        <v>8</v>
      </c>
      <c r="E478" s="33" t="str">
        <f t="shared" ca="1" si="68"/>
        <v>土</v>
      </c>
      <c r="F478" s="26">
        <f t="shared" si="69"/>
        <v>1</v>
      </c>
      <c r="G478" s="26">
        <f>IF(ISNA(MATCH(A478,祝日定義!E:E,0)),0,1)</f>
        <v>0</v>
      </c>
      <c r="H478" s="26">
        <f>IF(ISNA(MATCH(B478&amp;"/"&amp;C478,そのた定義!E:E,0)), 0, 1)</f>
        <v>0</v>
      </c>
      <c r="I478" s="23" t="b">
        <f t="shared" si="70"/>
        <v>1</v>
      </c>
      <c r="J478" s="26">
        <v>0</v>
      </c>
      <c r="K478" s="26" t="b">
        <f t="shared" si="65"/>
        <v>0</v>
      </c>
      <c r="L478" s="26" t="b">
        <f t="shared" si="66"/>
        <v>0</v>
      </c>
      <c r="M478" t="b">
        <f t="shared" si="71"/>
        <v>0</v>
      </c>
      <c r="N478" t="b">
        <f t="shared" si="72"/>
        <v>0</v>
      </c>
    </row>
    <row r="479" spans="1:14">
      <c r="A479" s="29">
        <v>45039</v>
      </c>
      <c r="B479" s="30">
        <f t="shared" si="64"/>
        <v>4</v>
      </c>
      <c r="C479" s="30">
        <f t="shared" si="67"/>
        <v>23</v>
      </c>
      <c r="D479" s="26">
        <f>MATCH(WEEKDAY(A479),そのた定義!A:A,0)</f>
        <v>2</v>
      </c>
      <c r="E479" s="32" t="str">
        <f t="shared" ca="1" si="68"/>
        <v>日</v>
      </c>
      <c r="F479" s="26">
        <f t="shared" si="69"/>
        <v>1</v>
      </c>
      <c r="G479" s="26">
        <f>IF(ISNA(MATCH(A479,祝日定義!E:E,0)),0,1)</f>
        <v>0</v>
      </c>
      <c r="H479" s="26">
        <f>IF(ISNA(MATCH(B479&amp;"/"&amp;C479,そのた定義!E:E,0)), 0, 1)</f>
        <v>0</v>
      </c>
      <c r="I479" s="23" t="b">
        <f t="shared" si="70"/>
        <v>1</v>
      </c>
      <c r="J479" s="26">
        <v>0</v>
      </c>
      <c r="K479" s="26" t="b">
        <f t="shared" si="65"/>
        <v>0</v>
      </c>
      <c r="L479" s="26" t="b">
        <f t="shared" si="66"/>
        <v>0</v>
      </c>
      <c r="M479" t="b">
        <f t="shared" si="71"/>
        <v>0</v>
      </c>
      <c r="N479" t="b">
        <f t="shared" si="72"/>
        <v>0</v>
      </c>
    </row>
    <row r="480" spans="1:14">
      <c r="A480" s="29">
        <v>45040</v>
      </c>
      <c r="B480" s="30">
        <f t="shared" si="64"/>
        <v>4</v>
      </c>
      <c r="C480" s="30">
        <f t="shared" si="67"/>
        <v>24</v>
      </c>
      <c r="D480" s="26">
        <f>MATCH(WEEKDAY(A480),そのた定義!A:A,0)</f>
        <v>3</v>
      </c>
      <c r="E480" s="26" t="str">
        <f t="shared" ca="1" si="68"/>
        <v>月</v>
      </c>
      <c r="F480" s="26">
        <f t="shared" si="69"/>
        <v>0</v>
      </c>
      <c r="G480" s="26">
        <f>IF(ISNA(MATCH(A480,祝日定義!E:E,0)),0,1)</f>
        <v>0</v>
      </c>
      <c r="H480" s="26">
        <f>IF(ISNA(MATCH(B480&amp;"/"&amp;C480,そのた定義!E:E,0)), 0, 1)</f>
        <v>0</v>
      </c>
      <c r="I480" s="26" t="b">
        <f t="shared" si="70"/>
        <v>0</v>
      </c>
      <c r="J480" s="26">
        <v>2</v>
      </c>
      <c r="K480" s="26" t="b">
        <f t="shared" si="65"/>
        <v>0</v>
      </c>
      <c r="L480" s="26" t="b">
        <f t="shared" si="66"/>
        <v>0</v>
      </c>
      <c r="M480" t="b">
        <f t="shared" si="71"/>
        <v>0</v>
      </c>
      <c r="N480" t="b">
        <f t="shared" si="72"/>
        <v>0</v>
      </c>
    </row>
    <row r="481" spans="1:14">
      <c r="A481" s="29">
        <v>45041</v>
      </c>
      <c r="B481" s="30">
        <f t="shared" si="64"/>
        <v>4</v>
      </c>
      <c r="C481" s="30">
        <f t="shared" si="67"/>
        <v>25</v>
      </c>
      <c r="D481" s="26">
        <f>MATCH(WEEKDAY(A481),そのた定義!A:A,0)</f>
        <v>4</v>
      </c>
      <c r="E481" s="26" t="str">
        <f t="shared" ca="1" si="68"/>
        <v>火</v>
      </c>
      <c r="F481" s="26">
        <f t="shared" si="69"/>
        <v>0</v>
      </c>
      <c r="G481" s="26">
        <f>IF(ISNA(MATCH(A481,祝日定義!E:E,0)),0,1)</f>
        <v>0</v>
      </c>
      <c r="H481" s="26">
        <f>IF(ISNA(MATCH(B481&amp;"/"&amp;C481,そのた定義!E:E,0)), 0, 1)</f>
        <v>0</v>
      </c>
      <c r="I481" s="26" t="b">
        <f t="shared" si="70"/>
        <v>0</v>
      </c>
      <c r="J481" s="26">
        <v>0</v>
      </c>
      <c r="K481" s="26" t="b">
        <f t="shared" si="65"/>
        <v>0</v>
      </c>
      <c r="L481" s="23" t="b">
        <f t="shared" si="66"/>
        <v>1</v>
      </c>
      <c r="M481" t="b">
        <f t="shared" si="71"/>
        <v>0</v>
      </c>
      <c r="N481" t="b">
        <f t="shared" si="72"/>
        <v>0</v>
      </c>
    </row>
    <row r="482" spans="1:14">
      <c r="A482" s="29">
        <v>45042</v>
      </c>
      <c r="B482" s="30">
        <f t="shared" si="64"/>
        <v>4</v>
      </c>
      <c r="C482" s="30">
        <f t="shared" si="67"/>
        <v>26</v>
      </c>
      <c r="D482" s="26">
        <f>MATCH(WEEKDAY(A482),そのた定義!A:A,0)</f>
        <v>5</v>
      </c>
      <c r="E482" s="26" t="str">
        <f t="shared" ca="1" si="68"/>
        <v>水</v>
      </c>
      <c r="F482" s="26">
        <f t="shared" si="69"/>
        <v>0</v>
      </c>
      <c r="G482" s="26">
        <f>IF(ISNA(MATCH(A482,祝日定義!E:E,0)),0,1)</f>
        <v>0</v>
      </c>
      <c r="H482" s="26">
        <f>IF(ISNA(MATCH(B482&amp;"/"&amp;C482,そのた定義!E:E,0)), 0, 1)</f>
        <v>0</v>
      </c>
      <c r="I482" s="26" t="b">
        <f t="shared" si="70"/>
        <v>0</v>
      </c>
      <c r="J482" s="26">
        <v>0</v>
      </c>
      <c r="K482" s="26" t="b">
        <f t="shared" si="65"/>
        <v>0</v>
      </c>
      <c r="L482" s="26" t="b">
        <f t="shared" si="66"/>
        <v>0</v>
      </c>
      <c r="M482" t="b">
        <f t="shared" si="71"/>
        <v>0</v>
      </c>
      <c r="N482" t="b">
        <f t="shared" si="72"/>
        <v>0</v>
      </c>
    </row>
    <row r="483" spans="1:14">
      <c r="A483" s="29">
        <v>45043</v>
      </c>
      <c r="B483" s="30">
        <f t="shared" si="64"/>
        <v>4</v>
      </c>
      <c r="C483" s="30">
        <f t="shared" si="67"/>
        <v>27</v>
      </c>
      <c r="D483" s="26">
        <f>MATCH(WEEKDAY(A483),そのた定義!A:A,0)</f>
        <v>6</v>
      </c>
      <c r="E483" s="26" t="str">
        <f t="shared" ca="1" si="68"/>
        <v>木</v>
      </c>
      <c r="F483" s="26">
        <f t="shared" si="69"/>
        <v>0</v>
      </c>
      <c r="G483" s="26">
        <f>IF(ISNA(MATCH(A483,祝日定義!E:E,0)),0,1)</f>
        <v>0</v>
      </c>
      <c r="H483" s="26">
        <f>IF(ISNA(MATCH(B483&amp;"/"&amp;C483,そのた定義!E:E,0)), 0, 1)</f>
        <v>0</v>
      </c>
      <c r="I483" s="26" t="b">
        <f t="shared" si="70"/>
        <v>0</v>
      </c>
      <c r="J483" s="26">
        <v>0</v>
      </c>
      <c r="K483" s="26" t="b">
        <f t="shared" si="65"/>
        <v>0</v>
      </c>
      <c r="L483" s="26" t="b">
        <f t="shared" si="66"/>
        <v>0</v>
      </c>
      <c r="M483" t="b">
        <f t="shared" si="71"/>
        <v>0</v>
      </c>
      <c r="N483" t="b">
        <f t="shared" si="72"/>
        <v>0</v>
      </c>
    </row>
    <row r="484" spans="1:14">
      <c r="A484" s="29">
        <v>45044</v>
      </c>
      <c r="B484" s="30">
        <f t="shared" si="64"/>
        <v>4</v>
      </c>
      <c r="C484" s="30">
        <f t="shared" si="67"/>
        <v>28</v>
      </c>
      <c r="D484" s="26">
        <f>MATCH(WEEKDAY(A484),そのた定義!A:A,0)</f>
        <v>7</v>
      </c>
      <c r="E484" s="26" t="str">
        <f t="shared" ca="1" si="68"/>
        <v>金</v>
      </c>
      <c r="F484" s="26">
        <f t="shared" si="69"/>
        <v>0</v>
      </c>
      <c r="G484" s="26">
        <f>IF(ISNA(MATCH(A484,祝日定義!E:E,0)),0,1)</f>
        <v>0</v>
      </c>
      <c r="H484" s="26">
        <f>IF(ISNA(MATCH(B484&amp;"/"&amp;C484,そのた定義!E:E,0)), 0, 1)</f>
        <v>0</v>
      </c>
      <c r="I484" s="26" t="b">
        <f t="shared" si="70"/>
        <v>0</v>
      </c>
      <c r="J484" s="26">
        <v>0</v>
      </c>
      <c r="K484" s="26" t="b">
        <f t="shared" si="65"/>
        <v>0</v>
      </c>
      <c r="L484" s="26" t="b">
        <f t="shared" si="66"/>
        <v>0</v>
      </c>
      <c r="M484" t="b">
        <f t="shared" si="71"/>
        <v>0</v>
      </c>
      <c r="N484" t="b">
        <f t="shared" si="72"/>
        <v>0</v>
      </c>
    </row>
    <row r="485" spans="1:14">
      <c r="A485" s="29">
        <v>45045</v>
      </c>
      <c r="B485" s="30">
        <f t="shared" si="64"/>
        <v>4</v>
      </c>
      <c r="C485" s="30">
        <f t="shared" si="67"/>
        <v>29</v>
      </c>
      <c r="D485" s="26">
        <f>MATCH(WEEKDAY(A485),そのた定義!A:A,0)</f>
        <v>8</v>
      </c>
      <c r="E485" s="33" t="str">
        <f t="shared" ca="1" si="68"/>
        <v>土</v>
      </c>
      <c r="F485" s="26">
        <f t="shared" si="69"/>
        <v>1</v>
      </c>
      <c r="G485" s="26">
        <f>IF(ISNA(MATCH(A485,祝日定義!E:E,0)),0,1)</f>
        <v>1</v>
      </c>
      <c r="H485" s="26">
        <f>IF(ISNA(MATCH(B485&amp;"/"&amp;C485,そのた定義!E:E,0)), 0, 1)</f>
        <v>0</v>
      </c>
      <c r="I485" s="23" t="b">
        <f t="shared" si="70"/>
        <v>1</v>
      </c>
      <c r="J485" s="26">
        <v>0</v>
      </c>
      <c r="K485" s="26" t="b">
        <f t="shared" si="65"/>
        <v>0</v>
      </c>
      <c r="L485" s="26" t="b">
        <f t="shared" si="66"/>
        <v>0</v>
      </c>
      <c r="M485" t="b">
        <f t="shared" si="71"/>
        <v>0</v>
      </c>
      <c r="N485" t="b">
        <f t="shared" si="72"/>
        <v>0</v>
      </c>
    </row>
    <row r="486" spans="1:14">
      <c r="A486" s="29">
        <v>45046</v>
      </c>
      <c r="B486" s="30">
        <f t="shared" si="64"/>
        <v>4</v>
      </c>
      <c r="C486" s="30">
        <f t="shared" si="67"/>
        <v>30</v>
      </c>
      <c r="D486" s="26">
        <f>MATCH(WEEKDAY(A486),そのた定義!A:A,0)</f>
        <v>2</v>
      </c>
      <c r="E486" s="32" t="str">
        <f t="shared" ca="1" si="68"/>
        <v>日</v>
      </c>
      <c r="F486" s="26">
        <f t="shared" si="69"/>
        <v>1</v>
      </c>
      <c r="G486" s="26">
        <f>IF(ISNA(MATCH(A486,祝日定義!E:E,0)),0,1)</f>
        <v>0</v>
      </c>
      <c r="H486" s="26">
        <f>IF(ISNA(MATCH(B486&amp;"/"&amp;C486,そのた定義!E:E,0)), 0, 1)</f>
        <v>0</v>
      </c>
      <c r="I486" s="23" t="b">
        <f t="shared" si="70"/>
        <v>1</v>
      </c>
      <c r="J486" s="26">
        <v>0</v>
      </c>
      <c r="K486" s="26" t="b">
        <f t="shared" si="65"/>
        <v>0</v>
      </c>
      <c r="L486" s="26" t="b">
        <f t="shared" si="66"/>
        <v>0</v>
      </c>
      <c r="M486" t="b">
        <f t="shared" si="71"/>
        <v>0</v>
      </c>
      <c r="N486" t="b">
        <f t="shared" si="72"/>
        <v>1</v>
      </c>
    </row>
    <row r="487" spans="1:14">
      <c r="A487" s="29">
        <v>45047</v>
      </c>
      <c r="B487" s="30">
        <f t="shared" si="64"/>
        <v>5</v>
      </c>
      <c r="C487" s="30">
        <f t="shared" si="67"/>
        <v>1</v>
      </c>
      <c r="D487" s="26">
        <f>MATCH(WEEKDAY(A487),そのた定義!A:A,0)</f>
        <v>3</v>
      </c>
      <c r="E487" s="26" t="str">
        <f t="shared" ca="1" si="68"/>
        <v>月</v>
      </c>
      <c r="F487" s="26">
        <f t="shared" si="69"/>
        <v>0</v>
      </c>
      <c r="G487" s="26">
        <f>IF(ISNA(MATCH(A487,祝日定義!E:E,0)),0,1)</f>
        <v>0</v>
      </c>
      <c r="H487" s="26">
        <f>IF(ISNA(MATCH(B487&amp;"/"&amp;C487,そのた定義!E:E,0)), 0, 1)</f>
        <v>0</v>
      </c>
      <c r="I487" s="26" t="b">
        <f t="shared" si="70"/>
        <v>0</v>
      </c>
      <c r="J487" s="26">
        <v>2</v>
      </c>
      <c r="K487" s="26" t="b">
        <f t="shared" si="65"/>
        <v>0</v>
      </c>
      <c r="L487" s="26" t="b">
        <f t="shared" si="66"/>
        <v>0</v>
      </c>
      <c r="M487" t="b">
        <f t="shared" si="71"/>
        <v>1</v>
      </c>
      <c r="N487" t="b">
        <f t="shared" si="72"/>
        <v>0</v>
      </c>
    </row>
    <row r="488" spans="1:14">
      <c r="A488" s="29">
        <v>45048</v>
      </c>
      <c r="B488" s="30">
        <f t="shared" si="64"/>
        <v>5</v>
      </c>
      <c r="C488" s="30">
        <f t="shared" si="67"/>
        <v>2</v>
      </c>
      <c r="D488" s="26">
        <f>MATCH(WEEKDAY(A488),そのた定義!A:A,0)</f>
        <v>4</v>
      </c>
      <c r="E488" s="26" t="str">
        <f t="shared" ca="1" si="68"/>
        <v>火</v>
      </c>
      <c r="F488" s="26">
        <f t="shared" si="69"/>
        <v>0</v>
      </c>
      <c r="G488" s="26">
        <f>IF(ISNA(MATCH(A488,祝日定義!E:E,0)),0,1)</f>
        <v>0</v>
      </c>
      <c r="H488" s="26">
        <f>IF(ISNA(MATCH(B488&amp;"/"&amp;C488,そのた定義!E:E,0)), 0, 1)</f>
        <v>0</v>
      </c>
      <c r="I488" s="26" t="b">
        <f t="shared" si="70"/>
        <v>0</v>
      </c>
      <c r="J488" s="26">
        <v>0</v>
      </c>
      <c r="K488" s="26" t="b">
        <f t="shared" si="65"/>
        <v>0</v>
      </c>
      <c r="L488" s="26" t="b">
        <f t="shared" si="66"/>
        <v>0</v>
      </c>
      <c r="M488" t="b">
        <f t="shared" si="71"/>
        <v>0</v>
      </c>
      <c r="N488" t="b">
        <f t="shared" si="72"/>
        <v>0</v>
      </c>
    </row>
    <row r="489" spans="1:14">
      <c r="A489" s="29">
        <v>45049</v>
      </c>
      <c r="B489" s="30">
        <f t="shared" si="64"/>
        <v>5</v>
      </c>
      <c r="C489" s="30">
        <f t="shared" si="67"/>
        <v>3</v>
      </c>
      <c r="D489" s="26">
        <f>MATCH(WEEKDAY(A489),そのた定義!A:A,0)</f>
        <v>5</v>
      </c>
      <c r="E489" s="31" t="str">
        <f t="shared" ca="1" si="68"/>
        <v>水</v>
      </c>
      <c r="F489" s="26">
        <f t="shared" si="69"/>
        <v>0</v>
      </c>
      <c r="G489" s="26">
        <f>IF(ISNA(MATCH(A489,祝日定義!E:E,0)),0,1)</f>
        <v>1</v>
      </c>
      <c r="H489" s="26">
        <f>IF(ISNA(MATCH(B489&amp;"/"&amp;C489,そのた定義!E:E,0)), 0, 1)</f>
        <v>0</v>
      </c>
      <c r="I489" s="23" t="b">
        <f t="shared" si="70"/>
        <v>1</v>
      </c>
      <c r="J489" s="26">
        <v>0</v>
      </c>
      <c r="K489" s="26" t="b">
        <f t="shared" si="65"/>
        <v>0</v>
      </c>
      <c r="L489" s="26" t="b">
        <f t="shared" si="66"/>
        <v>0</v>
      </c>
      <c r="M489" t="b">
        <f t="shared" si="71"/>
        <v>0</v>
      </c>
      <c r="N489" t="b">
        <f t="shared" si="72"/>
        <v>0</v>
      </c>
    </row>
    <row r="490" spans="1:14">
      <c r="A490" s="29">
        <v>45050</v>
      </c>
      <c r="B490" s="30">
        <f t="shared" si="64"/>
        <v>5</v>
      </c>
      <c r="C490" s="30">
        <f t="shared" si="67"/>
        <v>4</v>
      </c>
      <c r="D490" s="26">
        <f>MATCH(WEEKDAY(A490),そのた定義!A:A,0)</f>
        <v>6</v>
      </c>
      <c r="E490" s="31" t="str">
        <f t="shared" ca="1" si="68"/>
        <v>木</v>
      </c>
      <c r="F490" s="26">
        <f t="shared" si="69"/>
        <v>0</v>
      </c>
      <c r="G490" s="26">
        <f>IF(ISNA(MATCH(A490,祝日定義!E:E,0)),0,1)</f>
        <v>1</v>
      </c>
      <c r="H490" s="26">
        <f>IF(ISNA(MATCH(B490&amp;"/"&amp;C490,そのた定義!E:E,0)), 0, 1)</f>
        <v>0</v>
      </c>
      <c r="I490" s="23" t="b">
        <f t="shared" si="70"/>
        <v>1</v>
      </c>
      <c r="J490" s="26">
        <v>0</v>
      </c>
      <c r="K490" s="26" t="b">
        <f t="shared" si="65"/>
        <v>0</v>
      </c>
      <c r="L490" s="26" t="b">
        <f t="shared" si="66"/>
        <v>0</v>
      </c>
      <c r="M490" t="b">
        <f t="shared" si="71"/>
        <v>0</v>
      </c>
      <c r="N490" t="b">
        <f t="shared" si="72"/>
        <v>0</v>
      </c>
    </row>
    <row r="491" spans="1:14">
      <c r="A491" s="29">
        <v>45051</v>
      </c>
      <c r="B491" s="30">
        <f t="shared" si="64"/>
        <v>5</v>
      </c>
      <c r="C491" s="30">
        <f t="shared" si="67"/>
        <v>5</v>
      </c>
      <c r="D491" s="26">
        <f>MATCH(WEEKDAY(A491),そのた定義!A:A,0)</f>
        <v>7</v>
      </c>
      <c r="E491" s="31" t="str">
        <f t="shared" ca="1" si="68"/>
        <v>金</v>
      </c>
      <c r="F491" s="26">
        <f t="shared" si="69"/>
        <v>0</v>
      </c>
      <c r="G491" s="26">
        <f>IF(ISNA(MATCH(A491,祝日定義!E:E,0)),0,1)</f>
        <v>1</v>
      </c>
      <c r="H491" s="26">
        <f>IF(ISNA(MATCH(B491&amp;"/"&amp;C491,そのた定義!E:E,0)), 0, 1)</f>
        <v>0</v>
      </c>
      <c r="I491" s="23" t="b">
        <f t="shared" si="70"/>
        <v>1</v>
      </c>
      <c r="J491" s="26">
        <v>0</v>
      </c>
      <c r="K491" s="26" t="b">
        <f t="shared" si="65"/>
        <v>0</v>
      </c>
      <c r="L491" s="26" t="b">
        <f t="shared" si="66"/>
        <v>0</v>
      </c>
      <c r="M491" t="b">
        <f t="shared" si="71"/>
        <v>0</v>
      </c>
      <c r="N491" t="b">
        <f t="shared" si="72"/>
        <v>0</v>
      </c>
    </row>
    <row r="492" spans="1:14">
      <c r="A492" s="29">
        <v>45052</v>
      </c>
      <c r="B492" s="30">
        <f t="shared" si="64"/>
        <v>5</v>
      </c>
      <c r="C492" s="30">
        <f t="shared" si="67"/>
        <v>6</v>
      </c>
      <c r="D492" s="26">
        <f>MATCH(WEEKDAY(A492),そのた定義!A:A,0)</f>
        <v>8</v>
      </c>
      <c r="E492" s="33" t="str">
        <f t="shared" ca="1" si="68"/>
        <v>土</v>
      </c>
      <c r="F492" s="26">
        <f t="shared" si="69"/>
        <v>1</v>
      </c>
      <c r="G492" s="26">
        <f>IF(ISNA(MATCH(A492,祝日定義!E:E,0)),0,1)</f>
        <v>0</v>
      </c>
      <c r="H492" s="26">
        <f>IF(ISNA(MATCH(B492&amp;"/"&amp;C492,そのた定義!E:E,0)), 0, 1)</f>
        <v>0</v>
      </c>
      <c r="I492" s="23" t="b">
        <f t="shared" si="70"/>
        <v>1</v>
      </c>
      <c r="J492" s="26">
        <v>0</v>
      </c>
      <c r="K492" s="26" t="b">
        <f t="shared" si="65"/>
        <v>0</v>
      </c>
      <c r="L492" s="26" t="b">
        <f t="shared" si="66"/>
        <v>0</v>
      </c>
      <c r="M492" t="b">
        <f t="shared" si="71"/>
        <v>0</v>
      </c>
      <c r="N492" t="b">
        <f t="shared" si="72"/>
        <v>0</v>
      </c>
    </row>
    <row r="493" spans="1:14">
      <c r="A493" s="29">
        <v>45053</v>
      </c>
      <c r="B493" s="30">
        <f t="shared" si="64"/>
        <v>5</v>
      </c>
      <c r="C493" s="30">
        <f t="shared" si="67"/>
        <v>7</v>
      </c>
      <c r="D493" s="26">
        <f>MATCH(WEEKDAY(A493),そのた定義!A:A,0)</f>
        <v>2</v>
      </c>
      <c r="E493" s="32" t="str">
        <f t="shared" ca="1" si="68"/>
        <v>日</v>
      </c>
      <c r="F493" s="26">
        <f t="shared" si="69"/>
        <v>1</v>
      </c>
      <c r="G493" s="26">
        <f>IF(ISNA(MATCH(A493,祝日定義!E:E,0)),0,1)</f>
        <v>0</v>
      </c>
      <c r="H493" s="26">
        <f>IF(ISNA(MATCH(B493&amp;"/"&amp;C493,そのた定義!E:E,0)), 0, 1)</f>
        <v>0</v>
      </c>
      <c r="I493" s="23" t="b">
        <f t="shared" si="70"/>
        <v>1</v>
      </c>
      <c r="J493" s="26">
        <v>0</v>
      </c>
      <c r="K493" s="26" t="b">
        <f t="shared" si="65"/>
        <v>0</v>
      </c>
      <c r="L493" s="26" t="b">
        <f t="shared" si="66"/>
        <v>0</v>
      </c>
      <c r="M493" t="b">
        <f t="shared" si="71"/>
        <v>0</v>
      </c>
      <c r="N493" t="b">
        <f t="shared" si="72"/>
        <v>0</v>
      </c>
    </row>
    <row r="494" spans="1:14">
      <c r="A494" s="29">
        <v>45054</v>
      </c>
      <c r="B494" s="30">
        <f t="shared" si="64"/>
        <v>5</v>
      </c>
      <c r="C494" s="30">
        <f t="shared" si="67"/>
        <v>8</v>
      </c>
      <c r="D494" s="26">
        <f>MATCH(WEEKDAY(A494),そのた定義!A:A,0)</f>
        <v>3</v>
      </c>
      <c r="E494" s="26" t="str">
        <f t="shared" ca="1" si="68"/>
        <v>月</v>
      </c>
      <c r="F494" s="26">
        <f t="shared" si="69"/>
        <v>0</v>
      </c>
      <c r="G494" s="26">
        <f>IF(ISNA(MATCH(A494,祝日定義!E:E,0)),0,1)</f>
        <v>0</v>
      </c>
      <c r="H494" s="26">
        <f>IF(ISNA(MATCH(B494&amp;"/"&amp;C494,そのた定義!E:E,0)), 0, 1)</f>
        <v>0</v>
      </c>
      <c r="I494" s="26" t="b">
        <f t="shared" si="70"/>
        <v>0</v>
      </c>
      <c r="J494" s="26">
        <v>5</v>
      </c>
      <c r="K494" s="26" t="b">
        <f t="shared" si="65"/>
        <v>0</v>
      </c>
      <c r="L494" s="26" t="b">
        <f t="shared" si="66"/>
        <v>0</v>
      </c>
      <c r="M494" t="b">
        <f t="shared" si="71"/>
        <v>0</v>
      </c>
      <c r="N494" t="b">
        <f t="shared" si="72"/>
        <v>0</v>
      </c>
    </row>
    <row r="495" spans="1:14">
      <c r="A495" s="29">
        <v>45055</v>
      </c>
      <c r="B495" s="30">
        <f t="shared" si="64"/>
        <v>5</v>
      </c>
      <c r="C495" s="30">
        <f t="shared" si="67"/>
        <v>9</v>
      </c>
      <c r="D495" s="26">
        <f>MATCH(WEEKDAY(A495),そのた定義!A:A,0)</f>
        <v>4</v>
      </c>
      <c r="E495" s="26" t="str">
        <f t="shared" ca="1" si="68"/>
        <v>火</v>
      </c>
      <c r="F495" s="26">
        <f t="shared" si="69"/>
        <v>0</v>
      </c>
      <c r="G495" s="26">
        <f>IF(ISNA(MATCH(A495,祝日定義!E:E,0)),0,1)</f>
        <v>0</v>
      </c>
      <c r="H495" s="26">
        <f>IF(ISNA(MATCH(B495&amp;"/"&amp;C495,そのた定義!E:E,0)), 0, 1)</f>
        <v>0</v>
      </c>
      <c r="I495" s="26" t="b">
        <f t="shared" si="70"/>
        <v>0</v>
      </c>
      <c r="J495" s="26">
        <v>0</v>
      </c>
      <c r="K495" s="26" t="b">
        <f t="shared" si="65"/>
        <v>0</v>
      </c>
      <c r="L495" s="26" t="b">
        <f t="shared" si="66"/>
        <v>0</v>
      </c>
      <c r="M495" t="b">
        <f t="shared" si="71"/>
        <v>0</v>
      </c>
      <c r="N495" t="b">
        <f t="shared" si="72"/>
        <v>0</v>
      </c>
    </row>
    <row r="496" spans="1:14">
      <c r="A496" s="29">
        <v>45056</v>
      </c>
      <c r="B496" s="30">
        <f t="shared" si="64"/>
        <v>5</v>
      </c>
      <c r="C496" s="30">
        <f t="shared" si="67"/>
        <v>10</v>
      </c>
      <c r="D496" s="26">
        <f>MATCH(WEEKDAY(A496),そのた定義!A:A,0)</f>
        <v>5</v>
      </c>
      <c r="E496" s="26" t="str">
        <f t="shared" ca="1" si="68"/>
        <v>水</v>
      </c>
      <c r="F496" s="26">
        <f t="shared" si="69"/>
        <v>0</v>
      </c>
      <c r="G496" s="26">
        <f>IF(ISNA(MATCH(A496,祝日定義!E:E,0)),0,1)</f>
        <v>0</v>
      </c>
      <c r="H496" s="26">
        <f>IF(ISNA(MATCH(B496&amp;"/"&amp;C496,そのた定義!E:E,0)), 0, 1)</f>
        <v>0</v>
      </c>
      <c r="I496" s="26" t="b">
        <f t="shared" si="70"/>
        <v>0</v>
      </c>
      <c r="J496" s="26">
        <v>0</v>
      </c>
      <c r="K496" s="26" t="b">
        <f t="shared" si="65"/>
        <v>0</v>
      </c>
      <c r="L496" s="26" t="b">
        <f t="shared" si="66"/>
        <v>0</v>
      </c>
      <c r="M496" t="b">
        <f t="shared" si="71"/>
        <v>0</v>
      </c>
      <c r="N496" t="b">
        <f t="shared" si="72"/>
        <v>0</v>
      </c>
    </row>
    <row r="497" spans="1:14">
      <c r="A497" s="29">
        <v>45057</v>
      </c>
      <c r="B497" s="30">
        <f t="shared" si="64"/>
        <v>5</v>
      </c>
      <c r="C497" s="30">
        <f t="shared" si="67"/>
        <v>11</v>
      </c>
      <c r="D497" s="26">
        <f>MATCH(WEEKDAY(A497),そのた定義!A:A,0)</f>
        <v>6</v>
      </c>
      <c r="E497" s="26" t="str">
        <f t="shared" ca="1" si="68"/>
        <v>木</v>
      </c>
      <c r="F497" s="26">
        <f t="shared" si="69"/>
        <v>0</v>
      </c>
      <c r="G497" s="26">
        <f>IF(ISNA(MATCH(A497,祝日定義!E:E,0)),0,1)</f>
        <v>0</v>
      </c>
      <c r="H497" s="26">
        <f>IF(ISNA(MATCH(B497&amp;"/"&amp;C497,そのた定義!E:E,0)), 0, 1)</f>
        <v>0</v>
      </c>
      <c r="I497" s="26" t="b">
        <f t="shared" si="70"/>
        <v>0</v>
      </c>
      <c r="J497" s="26">
        <v>0</v>
      </c>
      <c r="K497" s="26" t="b">
        <f t="shared" si="65"/>
        <v>0</v>
      </c>
      <c r="L497" s="26" t="b">
        <f t="shared" si="66"/>
        <v>0</v>
      </c>
      <c r="M497" t="b">
        <f t="shared" si="71"/>
        <v>0</v>
      </c>
      <c r="N497" t="b">
        <f t="shared" si="72"/>
        <v>0</v>
      </c>
    </row>
    <row r="498" spans="1:14">
      <c r="A498" s="29">
        <v>45058</v>
      </c>
      <c r="B498" s="30">
        <f t="shared" si="64"/>
        <v>5</v>
      </c>
      <c r="C498" s="30">
        <f t="shared" si="67"/>
        <v>12</v>
      </c>
      <c r="D498" s="26">
        <f>MATCH(WEEKDAY(A498),そのた定義!A:A,0)</f>
        <v>7</v>
      </c>
      <c r="E498" s="26" t="str">
        <f t="shared" ca="1" si="68"/>
        <v>金</v>
      </c>
      <c r="F498" s="26">
        <f t="shared" si="69"/>
        <v>0</v>
      </c>
      <c r="G498" s="26">
        <f>IF(ISNA(MATCH(A498,祝日定義!E:E,0)),0,1)</f>
        <v>0</v>
      </c>
      <c r="H498" s="26">
        <f>IF(ISNA(MATCH(B498&amp;"/"&amp;C498,そのた定義!E:E,0)), 0, 1)</f>
        <v>0</v>
      </c>
      <c r="I498" s="26" t="b">
        <f t="shared" si="70"/>
        <v>0</v>
      </c>
      <c r="J498" s="26">
        <v>0</v>
      </c>
      <c r="K498" s="26" t="b">
        <f t="shared" si="65"/>
        <v>0</v>
      </c>
      <c r="L498" s="26" t="b">
        <f t="shared" si="66"/>
        <v>0</v>
      </c>
      <c r="M498" t="b">
        <f t="shared" si="71"/>
        <v>0</v>
      </c>
      <c r="N498" t="b">
        <f t="shared" si="72"/>
        <v>0</v>
      </c>
    </row>
    <row r="499" spans="1:14">
      <c r="A499" s="29">
        <v>45059</v>
      </c>
      <c r="B499" s="30">
        <f t="shared" si="64"/>
        <v>5</v>
      </c>
      <c r="C499" s="30">
        <f t="shared" si="67"/>
        <v>13</v>
      </c>
      <c r="D499" s="26">
        <f>MATCH(WEEKDAY(A499),そのた定義!A:A,0)</f>
        <v>8</v>
      </c>
      <c r="E499" s="33" t="str">
        <f t="shared" ca="1" si="68"/>
        <v>土</v>
      </c>
      <c r="F499" s="26">
        <f t="shared" si="69"/>
        <v>1</v>
      </c>
      <c r="G499" s="26">
        <f>IF(ISNA(MATCH(A499,祝日定義!E:E,0)),0,1)</f>
        <v>0</v>
      </c>
      <c r="H499" s="26">
        <f>IF(ISNA(MATCH(B499&amp;"/"&amp;C499,そのた定義!E:E,0)), 0, 1)</f>
        <v>0</v>
      </c>
      <c r="I499" s="23" t="b">
        <f t="shared" si="70"/>
        <v>1</v>
      </c>
      <c r="J499" s="26">
        <v>0</v>
      </c>
      <c r="K499" s="26" t="b">
        <f t="shared" si="65"/>
        <v>0</v>
      </c>
      <c r="L499" s="26" t="b">
        <f t="shared" si="66"/>
        <v>0</v>
      </c>
      <c r="M499" t="b">
        <f t="shared" si="71"/>
        <v>0</v>
      </c>
      <c r="N499" t="b">
        <f t="shared" si="72"/>
        <v>0</v>
      </c>
    </row>
    <row r="500" spans="1:14">
      <c r="A500" s="29">
        <v>45060</v>
      </c>
      <c r="B500" s="30">
        <f t="shared" si="64"/>
        <v>5</v>
      </c>
      <c r="C500" s="30">
        <f t="shared" si="67"/>
        <v>14</v>
      </c>
      <c r="D500" s="26">
        <f>MATCH(WEEKDAY(A500),そのた定義!A:A,0)</f>
        <v>2</v>
      </c>
      <c r="E500" s="32" t="str">
        <f t="shared" ca="1" si="68"/>
        <v>日</v>
      </c>
      <c r="F500" s="26">
        <f t="shared" si="69"/>
        <v>1</v>
      </c>
      <c r="G500" s="26">
        <f>IF(ISNA(MATCH(A500,祝日定義!E:E,0)),0,1)</f>
        <v>0</v>
      </c>
      <c r="H500" s="26">
        <f>IF(ISNA(MATCH(B500&amp;"/"&amp;C500,そのた定義!E:E,0)), 0, 1)</f>
        <v>0</v>
      </c>
      <c r="I500" s="23" t="b">
        <f t="shared" si="70"/>
        <v>1</v>
      </c>
      <c r="J500" s="26">
        <v>0</v>
      </c>
      <c r="K500" s="26" t="b">
        <f t="shared" si="65"/>
        <v>0</v>
      </c>
      <c r="L500" s="26" t="b">
        <f t="shared" si="66"/>
        <v>0</v>
      </c>
      <c r="M500" t="b">
        <f t="shared" si="71"/>
        <v>0</v>
      </c>
      <c r="N500" t="b">
        <f t="shared" si="72"/>
        <v>0</v>
      </c>
    </row>
    <row r="501" spans="1:14">
      <c r="A501" s="29">
        <v>45061</v>
      </c>
      <c r="B501" s="30">
        <f t="shared" si="64"/>
        <v>5</v>
      </c>
      <c r="C501" s="30">
        <f t="shared" si="67"/>
        <v>15</v>
      </c>
      <c r="D501" s="26">
        <f>MATCH(WEEKDAY(A501),そのた定義!A:A,0)</f>
        <v>3</v>
      </c>
      <c r="E501" s="26" t="str">
        <f t="shared" ca="1" si="68"/>
        <v>月</v>
      </c>
      <c r="F501" s="26">
        <f t="shared" si="69"/>
        <v>0</v>
      </c>
      <c r="G501" s="26">
        <f>IF(ISNA(MATCH(A501,祝日定義!E:E,0)),0,1)</f>
        <v>0</v>
      </c>
      <c r="H501" s="26">
        <f>IF(ISNA(MATCH(B501&amp;"/"&amp;C501,そのた定義!E:E,0)), 0, 1)</f>
        <v>0</v>
      </c>
      <c r="I501" s="26" t="b">
        <f t="shared" si="70"/>
        <v>0</v>
      </c>
      <c r="J501" s="26">
        <v>2</v>
      </c>
      <c r="K501" s="26" t="b">
        <f t="shared" si="65"/>
        <v>0</v>
      </c>
      <c r="L501" s="26" t="b">
        <f t="shared" si="66"/>
        <v>0</v>
      </c>
      <c r="M501" t="b">
        <f t="shared" si="71"/>
        <v>0</v>
      </c>
      <c r="N501" t="b">
        <f t="shared" si="72"/>
        <v>0</v>
      </c>
    </row>
    <row r="502" spans="1:14">
      <c r="A502" s="29">
        <v>45062</v>
      </c>
      <c r="B502" s="30">
        <f t="shared" si="64"/>
        <v>5</v>
      </c>
      <c r="C502" s="30">
        <f t="shared" si="67"/>
        <v>16</v>
      </c>
      <c r="D502" s="26">
        <f>MATCH(WEEKDAY(A502),そのた定義!A:A,0)</f>
        <v>4</v>
      </c>
      <c r="E502" s="26" t="str">
        <f t="shared" ca="1" si="68"/>
        <v>火</v>
      </c>
      <c r="F502" s="26">
        <f t="shared" si="69"/>
        <v>0</v>
      </c>
      <c r="G502" s="26">
        <f>IF(ISNA(MATCH(A502,祝日定義!E:E,0)),0,1)</f>
        <v>0</v>
      </c>
      <c r="H502" s="26">
        <f>IF(ISNA(MATCH(B502&amp;"/"&amp;C502,そのた定義!E:E,0)), 0, 1)</f>
        <v>0</v>
      </c>
      <c r="I502" s="26" t="b">
        <f t="shared" si="70"/>
        <v>0</v>
      </c>
      <c r="J502" s="26">
        <v>0</v>
      </c>
      <c r="K502" s="26" t="b">
        <f t="shared" si="65"/>
        <v>0</v>
      </c>
      <c r="L502" s="26" t="b">
        <f t="shared" si="66"/>
        <v>0</v>
      </c>
      <c r="M502" t="b">
        <f t="shared" si="71"/>
        <v>0</v>
      </c>
      <c r="N502" t="b">
        <f t="shared" si="72"/>
        <v>0</v>
      </c>
    </row>
    <row r="503" spans="1:14">
      <c r="A503" s="29">
        <v>45063</v>
      </c>
      <c r="B503" s="30">
        <f t="shared" si="64"/>
        <v>5</v>
      </c>
      <c r="C503" s="30">
        <f t="shared" si="67"/>
        <v>17</v>
      </c>
      <c r="D503" s="26">
        <f>MATCH(WEEKDAY(A503),そのた定義!A:A,0)</f>
        <v>5</v>
      </c>
      <c r="E503" s="26" t="str">
        <f t="shared" ca="1" si="68"/>
        <v>水</v>
      </c>
      <c r="F503" s="26">
        <f t="shared" si="69"/>
        <v>0</v>
      </c>
      <c r="G503" s="26">
        <f>IF(ISNA(MATCH(A503,祝日定義!E:E,0)),0,1)</f>
        <v>0</v>
      </c>
      <c r="H503" s="26">
        <f>IF(ISNA(MATCH(B503&amp;"/"&amp;C503,そのた定義!E:E,0)), 0, 1)</f>
        <v>0</v>
      </c>
      <c r="I503" s="26" t="b">
        <f t="shared" si="70"/>
        <v>0</v>
      </c>
      <c r="J503" s="26">
        <v>0</v>
      </c>
      <c r="K503" s="26" t="b">
        <f t="shared" si="65"/>
        <v>0</v>
      </c>
      <c r="L503" s="26" t="b">
        <f t="shared" si="66"/>
        <v>0</v>
      </c>
      <c r="M503" t="b">
        <f t="shared" si="71"/>
        <v>0</v>
      </c>
      <c r="N503" t="b">
        <f t="shared" si="72"/>
        <v>0</v>
      </c>
    </row>
    <row r="504" spans="1:14">
      <c r="A504" s="29">
        <v>45064</v>
      </c>
      <c r="B504" s="30">
        <f t="shared" si="64"/>
        <v>5</v>
      </c>
      <c r="C504" s="30">
        <f t="shared" si="67"/>
        <v>18</v>
      </c>
      <c r="D504" s="26">
        <f>MATCH(WEEKDAY(A504),そのた定義!A:A,0)</f>
        <v>6</v>
      </c>
      <c r="E504" s="26" t="str">
        <f t="shared" ca="1" si="68"/>
        <v>木</v>
      </c>
      <c r="F504" s="26">
        <f t="shared" si="69"/>
        <v>0</v>
      </c>
      <c r="G504" s="26">
        <f>IF(ISNA(MATCH(A504,祝日定義!E:E,0)),0,1)</f>
        <v>0</v>
      </c>
      <c r="H504" s="26">
        <f>IF(ISNA(MATCH(B504&amp;"/"&amp;C504,そのた定義!E:E,0)), 0, 1)</f>
        <v>0</v>
      </c>
      <c r="I504" s="26" t="b">
        <f t="shared" si="70"/>
        <v>0</v>
      </c>
      <c r="J504" s="26">
        <v>0</v>
      </c>
      <c r="K504" s="26" t="b">
        <f t="shared" si="65"/>
        <v>0</v>
      </c>
      <c r="L504" s="26" t="b">
        <f t="shared" si="66"/>
        <v>0</v>
      </c>
      <c r="M504" t="b">
        <f t="shared" si="71"/>
        <v>0</v>
      </c>
      <c r="N504" t="b">
        <f t="shared" si="72"/>
        <v>0</v>
      </c>
    </row>
    <row r="505" spans="1:14">
      <c r="A505" s="29">
        <v>45065</v>
      </c>
      <c r="B505" s="30">
        <f t="shared" si="64"/>
        <v>5</v>
      </c>
      <c r="C505" s="30">
        <f t="shared" si="67"/>
        <v>19</v>
      </c>
      <c r="D505" s="26">
        <f>MATCH(WEEKDAY(A505),そのた定義!A:A,0)</f>
        <v>7</v>
      </c>
      <c r="E505" s="26" t="str">
        <f t="shared" ca="1" si="68"/>
        <v>金</v>
      </c>
      <c r="F505" s="26">
        <f t="shared" si="69"/>
        <v>0</v>
      </c>
      <c r="G505" s="26">
        <f>IF(ISNA(MATCH(A505,祝日定義!E:E,0)),0,1)</f>
        <v>0</v>
      </c>
      <c r="H505" s="26">
        <f>IF(ISNA(MATCH(B505&amp;"/"&amp;C505,そのた定義!E:E,0)), 0, 1)</f>
        <v>0</v>
      </c>
      <c r="I505" s="26" t="b">
        <f t="shared" si="70"/>
        <v>0</v>
      </c>
      <c r="J505" s="26">
        <v>0</v>
      </c>
      <c r="K505" s="26" t="b">
        <f t="shared" si="65"/>
        <v>0</v>
      </c>
      <c r="L505" s="26" t="b">
        <f t="shared" si="66"/>
        <v>0</v>
      </c>
      <c r="M505" t="b">
        <f t="shared" si="71"/>
        <v>0</v>
      </c>
      <c r="N505" t="b">
        <f t="shared" si="72"/>
        <v>0</v>
      </c>
    </row>
    <row r="506" spans="1:14">
      <c r="A506" s="29">
        <v>45066</v>
      </c>
      <c r="B506" s="30">
        <f t="shared" si="64"/>
        <v>5</v>
      </c>
      <c r="C506" s="30">
        <f t="shared" si="67"/>
        <v>20</v>
      </c>
      <c r="D506" s="26">
        <f>MATCH(WEEKDAY(A506),そのた定義!A:A,0)</f>
        <v>8</v>
      </c>
      <c r="E506" s="33" t="str">
        <f t="shared" ca="1" si="68"/>
        <v>土</v>
      </c>
      <c r="F506" s="26">
        <f t="shared" si="69"/>
        <v>1</v>
      </c>
      <c r="G506" s="26">
        <f>IF(ISNA(MATCH(A506,祝日定義!E:E,0)),0,1)</f>
        <v>0</v>
      </c>
      <c r="H506" s="26">
        <f>IF(ISNA(MATCH(B506&amp;"/"&amp;C506,そのた定義!E:E,0)), 0, 1)</f>
        <v>0</v>
      </c>
      <c r="I506" s="23" t="b">
        <f t="shared" si="70"/>
        <v>1</v>
      </c>
      <c r="J506" s="26">
        <v>0</v>
      </c>
      <c r="K506" s="26" t="b">
        <f t="shared" si="65"/>
        <v>0</v>
      </c>
      <c r="L506" s="26" t="b">
        <f t="shared" si="66"/>
        <v>0</v>
      </c>
      <c r="M506" t="b">
        <f t="shared" si="71"/>
        <v>0</v>
      </c>
      <c r="N506" t="b">
        <f t="shared" si="72"/>
        <v>0</v>
      </c>
    </row>
    <row r="507" spans="1:14">
      <c r="A507" s="29">
        <v>45067</v>
      </c>
      <c r="B507" s="30">
        <f t="shared" si="64"/>
        <v>5</v>
      </c>
      <c r="C507" s="30">
        <f t="shared" si="67"/>
        <v>21</v>
      </c>
      <c r="D507" s="26">
        <f>MATCH(WEEKDAY(A507),そのた定義!A:A,0)</f>
        <v>2</v>
      </c>
      <c r="E507" s="32" t="str">
        <f t="shared" ca="1" si="68"/>
        <v>日</v>
      </c>
      <c r="F507" s="26">
        <f t="shared" si="69"/>
        <v>1</v>
      </c>
      <c r="G507" s="26">
        <f>IF(ISNA(MATCH(A507,祝日定義!E:E,0)),0,1)</f>
        <v>0</v>
      </c>
      <c r="H507" s="26">
        <f>IF(ISNA(MATCH(B507&amp;"/"&amp;C507,そのた定義!E:E,0)), 0, 1)</f>
        <v>0</v>
      </c>
      <c r="I507" s="23" t="b">
        <f t="shared" si="70"/>
        <v>1</v>
      </c>
      <c r="J507" s="26">
        <v>0</v>
      </c>
      <c r="K507" s="26" t="b">
        <f t="shared" si="65"/>
        <v>0</v>
      </c>
      <c r="L507" s="26" t="b">
        <f t="shared" si="66"/>
        <v>0</v>
      </c>
      <c r="M507" t="b">
        <f t="shared" si="71"/>
        <v>0</v>
      </c>
      <c r="N507" t="b">
        <f t="shared" si="72"/>
        <v>0</v>
      </c>
    </row>
    <row r="508" spans="1:14">
      <c r="A508" s="29">
        <v>45068</v>
      </c>
      <c r="B508" s="30">
        <f t="shared" si="64"/>
        <v>5</v>
      </c>
      <c r="C508" s="30">
        <f t="shared" si="67"/>
        <v>22</v>
      </c>
      <c r="D508" s="26">
        <f>MATCH(WEEKDAY(A508),そのた定義!A:A,0)</f>
        <v>3</v>
      </c>
      <c r="E508" s="26" t="str">
        <f t="shared" ca="1" si="68"/>
        <v>月</v>
      </c>
      <c r="F508" s="26">
        <f t="shared" si="69"/>
        <v>0</v>
      </c>
      <c r="G508" s="26">
        <f>IF(ISNA(MATCH(A508,祝日定義!E:E,0)),0,1)</f>
        <v>0</v>
      </c>
      <c r="H508" s="26">
        <f>IF(ISNA(MATCH(B508&amp;"/"&amp;C508,そのた定義!E:E,0)), 0, 1)</f>
        <v>0</v>
      </c>
      <c r="I508" s="26" t="b">
        <f t="shared" si="70"/>
        <v>0</v>
      </c>
      <c r="J508" s="26">
        <v>2</v>
      </c>
      <c r="K508" s="26" t="b">
        <f t="shared" si="65"/>
        <v>0</v>
      </c>
      <c r="L508" s="26" t="b">
        <f t="shared" si="66"/>
        <v>0</v>
      </c>
      <c r="M508" t="b">
        <f t="shared" si="71"/>
        <v>0</v>
      </c>
      <c r="N508" t="b">
        <f t="shared" si="72"/>
        <v>0</v>
      </c>
    </row>
    <row r="509" spans="1:14">
      <c r="A509" s="29">
        <v>45069</v>
      </c>
      <c r="B509" s="30">
        <f t="shared" si="64"/>
        <v>5</v>
      </c>
      <c r="C509" s="30">
        <f t="shared" si="67"/>
        <v>23</v>
      </c>
      <c r="D509" s="26">
        <f>MATCH(WEEKDAY(A509),そのた定義!A:A,0)</f>
        <v>4</v>
      </c>
      <c r="E509" s="26" t="str">
        <f t="shared" ca="1" si="68"/>
        <v>火</v>
      </c>
      <c r="F509" s="26">
        <f t="shared" si="69"/>
        <v>0</v>
      </c>
      <c r="G509" s="26">
        <f>IF(ISNA(MATCH(A509,祝日定義!E:E,0)),0,1)</f>
        <v>0</v>
      </c>
      <c r="H509" s="26">
        <f>IF(ISNA(MATCH(B509&amp;"/"&amp;C509,そのた定義!E:E,0)), 0, 1)</f>
        <v>0</v>
      </c>
      <c r="I509" s="26" t="b">
        <f t="shared" si="70"/>
        <v>0</v>
      </c>
      <c r="J509" s="26">
        <v>0</v>
      </c>
      <c r="K509" s="26" t="b">
        <f t="shared" si="65"/>
        <v>0</v>
      </c>
      <c r="L509" s="26" t="b">
        <f t="shared" si="66"/>
        <v>0</v>
      </c>
      <c r="M509" t="b">
        <f t="shared" si="71"/>
        <v>0</v>
      </c>
      <c r="N509" t="b">
        <f t="shared" si="72"/>
        <v>0</v>
      </c>
    </row>
    <row r="510" spans="1:14">
      <c r="A510" s="29">
        <v>45070</v>
      </c>
      <c r="B510" s="30">
        <f t="shared" si="64"/>
        <v>5</v>
      </c>
      <c r="C510" s="30">
        <f t="shared" si="67"/>
        <v>24</v>
      </c>
      <c r="D510" s="26">
        <f>MATCH(WEEKDAY(A510),そのた定義!A:A,0)</f>
        <v>5</v>
      </c>
      <c r="E510" s="26" t="str">
        <f t="shared" ca="1" si="68"/>
        <v>水</v>
      </c>
      <c r="F510" s="26">
        <f t="shared" si="69"/>
        <v>0</v>
      </c>
      <c r="G510" s="26">
        <f>IF(ISNA(MATCH(A510,祝日定義!E:E,0)),0,1)</f>
        <v>0</v>
      </c>
      <c r="H510" s="26">
        <f>IF(ISNA(MATCH(B510&amp;"/"&amp;C510,そのた定義!E:E,0)), 0, 1)</f>
        <v>0</v>
      </c>
      <c r="I510" s="26" t="b">
        <f t="shared" si="70"/>
        <v>0</v>
      </c>
      <c r="J510" s="26">
        <v>0</v>
      </c>
      <c r="K510" s="26" t="b">
        <f t="shared" si="65"/>
        <v>0</v>
      </c>
      <c r="L510" s="26" t="b">
        <f t="shared" si="66"/>
        <v>0</v>
      </c>
      <c r="M510" t="b">
        <f t="shared" si="71"/>
        <v>0</v>
      </c>
      <c r="N510" t="b">
        <f t="shared" si="72"/>
        <v>0</v>
      </c>
    </row>
    <row r="511" spans="1:14">
      <c r="A511" s="29">
        <v>45071</v>
      </c>
      <c r="B511" s="30">
        <f t="shared" si="64"/>
        <v>5</v>
      </c>
      <c r="C511" s="30">
        <f t="shared" si="67"/>
        <v>25</v>
      </c>
      <c r="D511" s="26">
        <f>MATCH(WEEKDAY(A511),そのた定義!A:A,0)</f>
        <v>6</v>
      </c>
      <c r="E511" s="26" t="str">
        <f t="shared" ca="1" si="68"/>
        <v>木</v>
      </c>
      <c r="F511" s="26">
        <f t="shared" si="69"/>
        <v>0</v>
      </c>
      <c r="G511" s="26">
        <f>IF(ISNA(MATCH(A511,祝日定義!E:E,0)),0,1)</f>
        <v>0</v>
      </c>
      <c r="H511" s="26">
        <f>IF(ISNA(MATCH(B511&amp;"/"&amp;C511,そのた定義!E:E,0)), 0, 1)</f>
        <v>0</v>
      </c>
      <c r="I511" s="26" t="b">
        <f t="shared" si="70"/>
        <v>0</v>
      </c>
      <c r="J511" s="26">
        <v>0</v>
      </c>
      <c r="K511" s="26" t="b">
        <f t="shared" si="65"/>
        <v>0</v>
      </c>
      <c r="L511" s="23" t="b">
        <f t="shared" si="66"/>
        <v>1</v>
      </c>
      <c r="M511" t="b">
        <f t="shared" si="71"/>
        <v>0</v>
      </c>
      <c r="N511" t="b">
        <f t="shared" si="72"/>
        <v>0</v>
      </c>
    </row>
    <row r="512" spans="1:14">
      <c r="A512" s="29">
        <v>45072</v>
      </c>
      <c r="B512" s="30">
        <f t="shared" si="64"/>
        <v>5</v>
      </c>
      <c r="C512" s="30">
        <f t="shared" si="67"/>
        <v>26</v>
      </c>
      <c r="D512" s="26">
        <f>MATCH(WEEKDAY(A512),そのた定義!A:A,0)</f>
        <v>7</v>
      </c>
      <c r="E512" s="26" t="str">
        <f t="shared" ca="1" si="68"/>
        <v>金</v>
      </c>
      <c r="F512" s="26">
        <f t="shared" si="69"/>
        <v>0</v>
      </c>
      <c r="G512" s="26">
        <f>IF(ISNA(MATCH(A512,祝日定義!E:E,0)),0,1)</f>
        <v>0</v>
      </c>
      <c r="H512" s="26">
        <f>IF(ISNA(MATCH(B512&amp;"/"&amp;C512,そのた定義!E:E,0)), 0, 1)</f>
        <v>0</v>
      </c>
      <c r="I512" s="26" t="b">
        <f t="shared" si="70"/>
        <v>0</v>
      </c>
      <c r="J512" s="26">
        <v>0</v>
      </c>
      <c r="K512" s="26" t="b">
        <f t="shared" si="65"/>
        <v>0</v>
      </c>
      <c r="L512" s="26" t="b">
        <f t="shared" si="66"/>
        <v>0</v>
      </c>
      <c r="M512" t="b">
        <f t="shared" si="71"/>
        <v>0</v>
      </c>
      <c r="N512" t="b">
        <f t="shared" si="72"/>
        <v>0</v>
      </c>
    </row>
    <row r="513" spans="1:14">
      <c r="A513" s="29">
        <v>45073</v>
      </c>
      <c r="B513" s="30">
        <f t="shared" si="64"/>
        <v>5</v>
      </c>
      <c r="C513" s="30">
        <f t="shared" si="67"/>
        <v>27</v>
      </c>
      <c r="D513" s="26">
        <f>MATCH(WEEKDAY(A513),そのた定義!A:A,0)</f>
        <v>8</v>
      </c>
      <c r="E513" s="33" t="str">
        <f t="shared" ca="1" si="68"/>
        <v>土</v>
      </c>
      <c r="F513" s="26">
        <f t="shared" si="69"/>
        <v>1</v>
      </c>
      <c r="G513" s="26">
        <f>IF(ISNA(MATCH(A513,祝日定義!E:E,0)),0,1)</f>
        <v>0</v>
      </c>
      <c r="H513" s="26">
        <f>IF(ISNA(MATCH(B513&amp;"/"&amp;C513,そのた定義!E:E,0)), 0, 1)</f>
        <v>0</v>
      </c>
      <c r="I513" s="23" t="b">
        <f t="shared" si="70"/>
        <v>1</v>
      </c>
      <c r="J513" s="26">
        <v>0</v>
      </c>
      <c r="K513" s="26" t="b">
        <f t="shared" si="65"/>
        <v>0</v>
      </c>
      <c r="L513" s="26" t="b">
        <f t="shared" si="66"/>
        <v>0</v>
      </c>
      <c r="M513" t="b">
        <f t="shared" si="71"/>
        <v>0</v>
      </c>
      <c r="N513" t="b">
        <f t="shared" si="72"/>
        <v>0</v>
      </c>
    </row>
    <row r="514" spans="1:14">
      <c r="A514" s="29">
        <v>45074</v>
      </c>
      <c r="B514" s="30">
        <f t="shared" ref="B514:B577" si="73">MONTH(A514)</f>
        <v>5</v>
      </c>
      <c r="C514" s="30">
        <f t="shared" si="67"/>
        <v>28</v>
      </c>
      <c r="D514" s="26">
        <f>MATCH(WEEKDAY(A514),そのた定義!A:A,0)</f>
        <v>2</v>
      </c>
      <c r="E514" s="32" t="str">
        <f t="shared" ca="1" si="68"/>
        <v>日</v>
      </c>
      <c r="F514" s="26">
        <f t="shared" si="69"/>
        <v>1</v>
      </c>
      <c r="G514" s="26">
        <f>IF(ISNA(MATCH(A514,祝日定義!E:E,0)),0,1)</f>
        <v>0</v>
      </c>
      <c r="H514" s="26">
        <f>IF(ISNA(MATCH(B514&amp;"/"&amp;C514,そのた定義!E:E,0)), 0, 1)</f>
        <v>0</v>
      </c>
      <c r="I514" s="23" t="b">
        <f t="shared" si="70"/>
        <v>1</v>
      </c>
      <c r="J514" s="26">
        <v>0</v>
      </c>
      <c r="K514" s="26" t="b">
        <f t="shared" ref="K514:K577" si="74">AND(C514&gt;25,DAY(A514-J514)&lt;=25)</f>
        <v>0</v>
      </c>
      <c r="L514" s="26" t="b">
        <f t="shared" ref="L514:L577" si="75">C514=25</f>
        <v>0</v>
      </c>
      <c r="M514" t="b">
        <f t="shared" si="71"/>
        <v>0</v>
      </c>
      <c r="N514" t="b">
        <f t="shared" si="72"/>
        <v>0</v>
      </c>
    </row>
    <row r="515" spans="1:14">
      <c r="A515" s="29">
        <v>45075</v>
      </c>
      <c r="B515" s="30">
        <f t="shared" si="73"/>
        <v>5</v>
      </c>
      <c r="C515" s="30">
        <f t="shared" ref="C515:C578" si="76">DAY(A515)</f>
        <v>29</v>
      </c>
      <c r="D515" s="26">
        <f>MATCH(WEEKDAY(A515),そのた定義!A:A,0)</f>
        <v>3</v>
      </c>
      <c r="E515" s="26" t="str">
        <f t="shared" ref="E515:E578" ca="1" si="77">INDIRECT("そのた定義!"&amp;"B"&amp;D515)</f>
        <v>月</v>
      </c>
      <c r="F515" s="26">
        <f t="shared" ref="F515:F578" si="78">IF(OR(D515=8,D515=2),1,0)</f>
        <v>0</v>
      </c>
      <c r="G515" s="26">
        <f>IF(ISNA(MATCH(A515,祝日定義!E:E,0)),0,1)</f>
        <v>0</v>
      </c>
      <c r="H515" s="26">
        <f>IF(ISNA(MATCH(B515&amp;"/"&amp;C515,そのた定義!E:E,0)), 0, 1)</f>
        <v>0</v>
      </c>
      <c r="I515" s="26" t="b">
        <f t="shared" ref="I515:I578" si="79">SUM(F515:H515)&gt;0</f>
        <v>0</v>
      </c>
      <c r="J515" s="26">
        <v>2</v>
      </c>
      <c r="K515" s="26" t="b">
        <f t="shared" si="74"/>
        <v>0</v>
      </c>
      <c r="L515" s="26" t="b">
        <f t="shared" si="75"/>
        <v>0</v>
      </c>
      <c r="M515" t="b">
        <f t="shared" ref="M515:M578" si="80">B515&lt;&gt;MONTH(A515-J515)</f>
        <v>0</v>
      </c>
      <c r="N515" t="b">
        <f t="shared" ref="N515:N578" si="81">B515&lt;&gt;MONTH(A515+1)</f>
        <v>0</v>
      </c>
    </row>
    <row r="516" spans="1:14">
      <c r="A516" s="29">
        <v>45076</v>
      </c>
      <c r="B516" s="30">
        <f t="shared" si="73"/>
        <v>5</v>
      </c>
      <c r="C516" s="30">
        <f t="shared" si="76"/>
        <v>30</v>
      </c>
      <c r="D516" s="26">
        <f>MATCH(WEEKDAY(A516),そのた定義!A:A,0)</f>
        <v>4</v>
      </c>
      <c r="E516" s="26" t="str">
        <f t="shared" ca="1" si="77"/>
        <v>火</v>
      </c>
      <c r="F516" s="26">
        <f t="shared" si="78"/>
        <v>0</v>
      </c>
      <c r="G516" s="26">
        <f>IF(ISNA(MATCH(A516,祝日定義!E:E,0)),0,1)</f>
        <v>0</v>
      </c>
      <c r="H516" s="26">
        <f>IF(ISNA(MATCH(B516&amp;"/"&amp;C516,そのた定義!E:E,0)), 0, 1)</f>
        <v>0</v>
      </c>
      <c r="I516" s="26" t="b">
        <f t="shared" si="79"/>
        <v>0</v>
      </c>
      <c r="J516" s="26">
        <v>0</v>
      </c>
      <c r="K516" s="26" t="b">
        <f t="shared" si="74"/>
        <v>0</v>
      </c>
      <c r="L516" s="26" t="b">
        <f t="shared" si="75"/>
        <v>0</v>
      </c>
      <c r="M516" t="b">
        <f t="shared" si="80"/>
        <v>0</v>
      </c>
      <c r="N516" t="b">
        <f t="shared" si="81"/>
        <v>0</v>
      </c>
    </row>
    <row r="517" spans="1:14">
      <c r="A517" s="29">
        <v>45077</v>
      </c>
      <c r="B517" s="30">
        <f t="shared" si="73"/>
        <v>5</v>
      </c>
      <c r="C517" s="30">
        <f t="shared" si="76"/>
        <v>31</v>
      </c>
      <c r="D517" s="26">
        <f>MATCH(WEEKDAY(A517),そのた定義!A:A,0)</f>
        <v>5</v>
      </c>
      <c r="E517" s="26" t="str">
        <f t="shared" ca="1" si="77"/>
        <v>水</v>
      </c>
      <c r="F517" s="26">
        <f t="shared" si="78"/>
        <v>0</v>
      </c>
      <c r="G517" s="26">
        <f>IF(ISNA(MATCH(A517,祝日定義!E:E,0)),0,1)</f>
        <v>0</v>
      </c>
      <c r="H517" s="26">
        <f>IF(ISNA(MATCH(B517&amp;"/"&amp;C517,そのた定義!E:E,0)), 0, 1)</f>
        <v>0</v>
      </c>
      <c r="I517" s="26" t="b">
        <f t="shared" si="79"/>
        <v>0</v>
      </c>
      <c r="J517" s="26">
        <v>0</v>
      </c>
      <c r="K517" s="26" t="b">
        <f t="shared" si="74"/>
        <v>0</v>
      </c>
      <c r="L517" s="26" t="b">
        <f t="shared" si="75"/>
        <v>0</v>
      </c>
      <c r="M517" t="b">
        <f t="shared" si="80"/>
        <v>0</v>
      </c>
      <c r="N517" t="b">
        <f t="shared" si="81"/>
        <v>1</v>
      </c>
    </row>
    <row r="518" spans="1:14">
      <c r="A518" s="29">
        <v>45078</v>
      </c>
      <c r="B518" s="30">
        <f t="shared" si="73"/>
        <v>6</v>
      </c>
      <c r="C518" s="30">
        <f t="shared" si="76"/>
        <v>1</v>
      </c>
      <c r="D518" s="26">
        <f>MATCH(WEEKDAY(A518),そのた定義!A:A,0)</f>
        <v>6</v>
      </c>
      <c r="E518" s="26" t="str">
        <f t="shared" ca="1" si="77"/>
        <v>木</v>
      </c>
      <c r="F518" s="26">
        <f t="shared" si="78"/>
        <v>0</v>
      </c>
      <c r="G518" s="26">
        <f>IF(ISNA(MATCH(A518,祝日定義!E:E,0)),0,1)</f>
        <v>0</v>
      </c>
      <c r="H518" s="26">
        <f>IF(ISNA(MATCH(B518&amp;"/"&amp;C518,そのた定義!E:E,0)), 0, 1)</f>
        <v>0</v>
      </c>
      <c r="I518" s="26" t="b">
        <f t="shared" si="79"/>
        <v>0</v>
      </c>
      <c r="J518" s="26">
        <v>0</v>
      </c>
      <c r="K518" s="26" t="b">
        <f t="shared" si="74"/>
        <v>0</v>
      </c>
      <c r="L518" s="26" t="b">
        <f t="shared" si="75"/>
        <v>0</v>
      </c>
      <c r="M518" t="b">
        <f t="shared" si="80"/>
        <v>0</v>
      </c>
      <c r="N518" t="b">
        <f t="shared" si="81"/>
        <v>0</v>
      </c>
    </row>
    <row r="519" spans="1:14">
      <c r="A519" s="29">
        <v>45079</v>
      </c>
      <c r="B519" s="30">
        <f t="shared" si="73"/>
        <v>6</v>
      </c>
      <c r="C519" s="30">
        <f t="shared" si="76"/>
        <v>2</v>
      </c>
      <c r="D519" s="26">
        <f>MATCH(WEEKDAY(A519),そのた定義!A:A,0)</f>
        <v>7</v>
      </c>
      <c r="E519" s="26" t="str">
        <f t="shared" ca="1" si="77"/>
        <v>金</v>
      </c>
      <c r="F519" s="26">
        <f t="shared" si="78"/>
        <v>0</v>
      </c>
      <c r="G519" s="26">
        <f>IF(ISNA(MATCH(A519,祝日定義!E:E,0)),0,1)</f>
        <v>0</v>
      </c>
      <c r="H519" s="26">
        <f>IF(ISNA(MATCH(B519&amp;"/"&amp;C519,そのた定義!E:E,0)), 0, 1)</f>
        <v>0</v>
      </c>
      <c r="I519" s="26" t="b">
        <f t="shared" si="79"/>
        <v>0</v>
      </c>
      <c r="J519" s="26">
        <v>0</v>
      </c>
      <c r="K519" s="26" t="b">
        <f t="shared" si="74"/>
        <v>0</v>
      </c>
      <c r="L519" s="26" t="b">
        <f t="shared" si="75"/>
        <v>0</v>
      </c>
      <c r="M519" t="b">
        <f t="shared" si="80"/>
        <v>0</v>
      </c>
      <c r="N519" t="b">
        <f t="shared" si="81"/>
        <v>0</v>
      </c>
    </row>
    <row r="520" spans="1:14">
      <c r="A520" s="29">
        <v>45080</v>
      </c>
      <c r="B520" s="30">
        <f t="shared" si="73"/>
        <v>6</v>
      </c>
      <c r="C520" s="30">
        <f t="shared" si="76"/>
        <v>3</v>
      </c>
      <c r="D520" s="26">
        <f>MATCH(WEEKDAY(A520),そのた定義!A:A,0)</f>
        <v>8</v>
      </c>
      <c r="E520" s="33" t="str">
        <f t="shared" ca="1" si="77"/>
        <v>土</v>
      </c>
      <c r="F520" s="26">
        <f t="shared" si="78"/>
        <v>1</v>
      </c>
      <c r="G520" s="26">
        <f>IF(ISNA(MATCH(A520,祝日定義!E:E,0)),0,1)</f>
        <v>0</v>
      </c>
      <c r="H520" s="26">
        <f>IF(ISNA(MATCH(B520&amp;"/"&amp;C520,そのた定義!E:E,0)), 0, 1)</f>
        <v>0</v>
      </c>
      <c r="I520" s="23" t="b">
        <f t="shared" si="79"/>
        <v>1</v>
      </c>
      <c r="J520" s="26">
        <v>0</v>
      </c>
      <c r="K520" s="26" t="b">
        <f t="shared" si="74"/>
        <v>0</v>
      </c>
      <c r="L520" s="26" t="b">
        <f t="shared" si="75"/>
        <v>0</v>
      </c>
      <c r="M520" t="b">
        <f t="shared" si="80"/>
        <v>0</v>
      </c>
      <c r="N520" t="b">
        <f t="shared" si="81"/>
        <v>0</v>
      </c>
    </row>
    <row r="521" spans="1:14">
      <c r="A521" s="29">
        <v>45081</v>
      </c>
      <c r="B521" s="30">
        <f t="shared" si="73"/>
        <v>6</v>
      </c>
      <c r="C521" s="30">
        <f t="shared" si="76"/>
        <v>4</v>
      </c>
      <c r="D521" s="26">
        <f>MATCH(WEEKDAY(A521),そのた定義!A:A,0)</f>
        <v>2</v>
      </c>
      <c r="E521" s="32" t="str">
        <f t="shared" ca="1" si="77"/>
        <v>日</v>
      </c>
      <c r="F521" s="26">
        <f t="shared" si="78"/>
        <v>1</v>
      </c>
      <c r="G521" s="26">
        <f>IF(ISNA(MATCH(A521,祝日定義!E:E,0)),0,1)</f>
        <v>0</v>
      </c>
      <c r="H521" s="26">
        <f>IF(ISNA(MATCH(B521&amp;"/"&amp;C521,そのた定義!E:E,0)), 0, 1)</f>
        <v>0</v>
      </c>
      <c r="I521" s="23" t="b">
        <f t="shared" si="79"/>
        <v>1</v>
      </c>
      <c r="J521" s="26">
        <v>0</v>
      </c>
      <c r="K521" s="26" t="b">
        <f t="shared" si="74"/>
        <v>0</v>
      </c>
      <c r="L521" s="26" t="b">
        <f t="shared" si="75"/>
        <v>0</v>
      </c>
      <c r="M521" t="b">
        <f t="shared" si="80"/>
        <v>0</v>
      </c>
      <c r="N521" t="b">
        <f t="shared" si="81"/>
        <v>0</v>
      </c>
    </row>
    <row r="522" spans="1:14">
      <c r="A522" s="29">
        <v>45082</v>
      </c>
      <c r="B522" s="30">
        <f t="shared" si="73"/>
        <v>6</v>
      </c>
      <c r="C522" s="30">
        <f t="shared" si="76"/>
        <v>5</v>
      </c>
      <c r="D522" s="26">
        <f>MATCH(WEEKDAY(A522),そのた定義!A:A,0)</f>
        <v>3</v>
      </c>
      <c r="E522" s="26" t="str">
        <f t="shared" ca="1" si="77"/>
        <v>月</v>
      </c>
      <c r="F522" s="26">
        <f t="shared" si="78"/>
        <v>0</v>
      </c>
      <c r="G522" s="26">
        <f>IF(ISNA(MATCH(A522,祝日定義!E:E,0)),0,1)</f>
        <v>0</v>
      </c>
      <c r="H522" s="26">
        <f>IF(ISNA(MATCH(B522&amp;"/"&amp;C522,そのた定義!E:E,0)), 0, 1)</f>
        <v>0</v>
      </c>
      <c r="I522" s="26" t="b">
        <f t="shared" si="79"/>
        <v>0</v>
      </c>
      <c r="J522" s="26">
        <v>2</v>
      </c>
      <c r="K522" s="26" t="b">
        <f t="shared" si="74"/>
        <v>0</v>
      </c>
      <c r="L522" s="26" t="b">
        <f t="shared" si="75"/>
        <v>0</v>
      </c>
      <c r="M522" t="b">
        <f t="shared" si="80"/>
        <v>0</v>
      </c>
      <c r="N522" t="b">
        <f t="shared" si="81"/>
        <v>0</v>
      </c>
    </row>
    <row r="523" spans="1:14">
      <c r="A523" s="29">
        <v>45083</v>
      </c>
      <c r="B523" s="30">
        <f t="shared" si="73"/>
        <v>6</v>
      </c>
      <c r="C523" s="30">
        <f t="shared" si="76"/>
        <v>6</v>
      </c>
      <c r="D523" s="26">
        <f>MATCH(WEEKDAY(A523),そのた定義!A:A,0)</f>
        <v>4</v>
      </c>
      <c r="E523" s="26" t="str">
        <f t="shared" ca="1" si="77"/>
        <v>火</v>
      </c>
      <c r="F523" s="26">
        <f t="shared" si="78"/>
        <v>0</v>
      </c>
      <c r="G523" s="26">
        <f>IF(ISNA(MATCH(A523,祝日定義!E:E,0)),0,1)</f>
        <v>0</v>
      </c>
      <c r="H523" s="26">
        <f>IF(ISNA(MATCH(B523&amp;"/"&amp;C523,そのた定義!E:E,0)), 0, 1)</f>
        <v>0</v>
      </c>
      <c r="I523" s="26" t="b">
        <f t="shared" si="79"/>
        <v>0</v>
      </c>
      <c r="J523" s="26">
        <v>0</v>
      </c>
      <c r="K523" s="26" t="b">
        <f t="shared" si="74"/>
        <v>0</v>
      </c>
      <c r="L523" s="26" t="b">
        <f t="shared" si="75"/>
        <v>0</v>
      </c>
      <c r="M523" t="b">
        <f t="shared" si="80"/>
        <v>0</v>
      </c>
      <c r="N523" t="b">
        <f t="shared" si="81"/>
        <v>0</v>
      </c>
    </row>
    <row r="524" spans="1:14">
      <c r="A524" s="29">
        <v>45084</v>
      </c>
      <c r="B524" s="30">
        <f t="shared" si="73"/>
        <v>6</v>
      </c>
      <c r="C524" s="30">
        <f t="shared" si="76"/>
        <v>7</v>
      </c>
      <c r="D524" s="26">
        <f>MATCH(WEEKDAY(A524),そのた定義!A:A,0)</f>
        <v>5</v>
      </c>
      <c r="E524" s="26" t="str">
        <f t="shared" ca="1" si="77"/>
        <v>水</v>
      </c>
      <c r="F524" s="26">
        <f t="shared" si="78"/>
        <v>0</v>
      </c>
      <c r="G524" s="26">
        <f>IF(ISNA(MATCH(A524,祝日定義!E:E,0)),0,1)</f>
        <v>0</v>
      </c>
      <c r="H524" s="26">
        <f>IF(ISNA(MATCH(B524&amp;"/"&amp;C524,そのた定義!E:E,0)), 0, 1)</f>
        <v>0</v>
      </c>
      <c r="I524" s="26" t="b">
        <f t="shared" si="79"/>
        <v>0</v>
      </c>
      <c r="J524" s="26">
        <v>0</v>
      </c>
      <c r="K524" s="26" t="b">
        <f t="shared" si="74"/>
        <v>0</v>
      </c>
      <c r="L524" s="26" t="b">
        <f t="shared" si="75"/>
        <v>0</v>
      </c>
      <c r="M524" t="b">
        <f t="shared" si="80"/>
        <v>0</v>
      </c>
      <c r="N524" t="b">
        <f t="shared" si="81"/>
        <v>0</v>
      </c>
    </row>
    <row r="525" spans="1:14">
      <c r="A525" s="29">
        <v>45085</v>
      </c>
      <c r="B525" s="30">
        <f t="shared" si="73"/>
        <v>6</v>
      </c>
      <c r="C525" s="30">
        <f t="shared" si="76"/>
        <v>8</v>
      </c>
      <c r="D525" s="26">
        <f>MATCH(WEEKDAY(A525),そのた定義!A:A,0)</f>
        <v>6</v>
      </c>
      <c r="E525" s="26" t="str">
        <f t="shared" ca="1" si="77"/>
        <v>木</v>
      </c>
      <c r="F525" s="26">
        <f t="shared" si="78"/>
        <v>0</v>
      </c>
      <c r="G525" s="26">
        <f>IF(ISNA(MATCH(A525,祝日定義!E:E,0)),0,1)</f>
        <v>0</v>
      </c>
      <c r="H525" s="26">
        <f>IF(ISNA(MATCH(B525&amp;"/"&amp;C525,そのた定義!E:E,0)), 0, 1)</f>
        <v>0</v>
      </c>
      <c r="I525" s="26" t="b">
        <f t="shared" si="79"/>
        <v>0</v>
      </c>
      <c r="J525" s="26">
        <v>0</v>
      </c>
      <c r="K525" s="26" t="b">
        <f t="shared" si="74"/>
        <v>0</v>
      </c>
      <c r="L525" s="26" t="b">
        <f t="shared" si="75"/>
        <v>0</v>
      </c>
      <c r="M525" t="b">
        <f t="shared" si="80"/>
        <v>0</v>
      </c>
      <c r="N525" t="b">
        <f t="shared" si="81"/>
        <v>0</v>
      </c>
    </row>
    <row r="526" spans="1:14">
      <c r="A526" s="29">
        <v>45086</v>
      </c>
      <c r="B526" s="30">
        <f t="shared" si="73"/>
        <v>6</v>
      </c>
      <c r="C526" s="30">
        <f t="shared" si="76"/>
        <v>9</v>
      </c>
      <c r="D526" s="26">
        <f>MATCH(WEEKDAY(A526),そのた定義!A:A,0)</f>
        <v>7</v>
      </c>
      <c r="E526" s="26" t="str">
        <f t="shared" ca="1" si="77"/>
        <v>金</v>
      </c>
      <c r="F526" s="26">
        <f t="shared" si="78"/>
        <v>0</v>
      </c>
      <c r="G526" s="26">
        <f>IF(ISNA(MATCH(A526,祝日定義!E:E,0)),0,1)</f>
        <v>0</v>
      </c>
      <c r="H526" s="26">
        <f>IF(ISNA(MATCH(B526&amp;"/"&amp;C526,そのた定義!E:E,0)), 0, 1)</f>
        <v>0</v>
      </c>
      <c r="I526" s="26" t="b">
        <f t="shared" si="79"/>
        <v>0</v>
      </c>
      <c r="J526" s="26">
        <v>0</v>
      </c>
      <c r="K526" s="26" t="b">
        <f t="shared" si="74"/>
        <v>0</v>
      </c>
      <c r="L526" s="26" t="b">
        <f t="shared" si="75"/>
        <v>0</v>
      </c>
      <c r="M526" t="b">
        <f t="shared" si="80"/>
        <v>0</v>
      </c>
      <c r="N526" t="b">
        <f t="shared" si="81"/>
        <v>0</v>
      </c>
    </row>
    <row r="527" spans="1:14">
      <c r="A527" s="29">
        <v>45087</v>
      </c>
      <c r="B527" s="30">
        <f t="shared" si="73"/>
        <v>6</v>
      </c>
      <c r="C527" s="30">
        <f t="shared" si="76"/>
        <v>10</v>
      </c>
      <c r="D527" s="26">
        <f>MATCH(WEEKDAY(A527),そのた定義!A:A,0)</f>
        <v>8</v>
      </c>
      <c r="E527" s="33" t="str">
        <f t="shared" ca="1" si="77"/>
        <v>土</v>
      </c>
      <c r="F527" s="26">
        <f t="shared" si="78"/>
        <v>1</v>
      </c>
      <c r="G527" s="26">
        <f>IF(ISNA(MATCH(A527,祝日定義!E:E,0)),0,1)</f>
        <v>0</v>
      </c>
      <c r="H527" s="26">
        <f>IF(ISNA(MATCH(B527&amp;"/"&amp;C527,そのた定義!E:E,0)), 0, 1)</f>
        <v>0</v>
      </c>
      <c r="I527" s="23" t="b">
        <f t="shared" si="79"/>
        <v>1</v>
      </c>
      <c r="J527" s="26">
        <v>0</v>
      </c>
      <c r="K527" s="26" t="b">
        <f t="shared" si="74"/>
        <v>0</v>
      </c>
      <c r="L527" s="26" t="b">
        <f t="shared" si="75"/>
        <v>0</v>
      </c>
      <c r="M527" t="b">
        <f t="shared" si="80"/>
        <v>0</v>
      </c>
      <c r="N527" t="b">
        <f t="shared" si="81"/>
        <v>0</v>
      </c>
    </row>
    <row r="528" spans="1:14">
      <c r="A528" s="29">
        <v>45088</v>
      </c>
      <c r="B528" s="30">
        <f t="shared" si="73"/>
        <v>6</v>
      </c>
      <c r="C528" s="30">
        <f t="shared" si="76"/>
        <v>11</v>
      </c>
      <c r="D528" s="26">
        <f>MATCH(WEEKDAY(A528),そのた定義!A:A,0)</f>
        <v>2</v>
      </c>
      <c r="E528" s="32" t="str">
        <f t="shared" ca="1" si="77"/>
        <v>日</v>
      </c>
      <c r="F528" s="26">
        <f t="shared" si="78"/>
        <v>1</v>
      </c>
      <c r="G528" s="26">
        <f>IF(ISNA(MATCH(A528,祝日定義!E:E,0)),0,1)</f>
        <v>0</v>
      </c>
      <c r="H528" s="26">
        <f>IF(ISNA(MATCH(B528&amp;"/"&amp;C528,そのた定義!E:E,0)), 0, 1)</f>
        <v>0</v>
      </c>
      <c r="I528" s="23" t="b">
        <f t="shared" si="79"/>
        <v>1</v>
      </c>
      <c r="J528" s="26">
        <v>0</v>
      </c>
      <c r="K528" s="26" t="b">
        <f t="shared" si="74"/>
        <v>0</v>
      </c>
      <c r="L528" s="26" t="b">
        <f t="shared" si="75"/>
        <v>0</v>
      </c>
      <c r="M528" t="b">
        <f t="shared" si="80"/>
        <v>0</v>
      </c>
      <c r="N528" t="b">
        <f t="shared" si="81"/>
        <v>0</v>
      </c>
    </row>
    <row r="529" spans="1:14">
      <c r="A529" s="29">
        <v>45089</v>
      </c>
      <c r="B529" s="30">
        <f t="shared" si="73"/>
        <v>6</v>
      </c>
      <c r="C529" s="30">
        <f t="shared" si="76"/>
        <v>12</v>
      </c>
      <c r="D529" s="26">
        <f>MATCH(WEEKDAY(A529),そのた定義!A:A,0)</f>
        <v>3</v>
      </c>
      <c r="E529" s="26" t="str">
        <f t="shared" ca="1" si="77"/>
        <v>月</v>
      </c>
      <c r="F529" s="26">
        <f t="shared" si="78"/>
        <v>0</v>
      </c>
      <c r="G529" s="26">
        <f>IF(ISNA(MATCH(A529,祝日定義!E:E,0)),0,1)</f>
        <v>0</v>
      </c>
      <c r="H529" s="26">
        <f>IF(ISNA(MATCH(B529&amp;"/"&amp;C529,そのた定義!E:E,0)), 0, 1)</f>
        <v>0</v>
      </c>
      <c r="I529" s="26" t="b">
        <f t="shared" si="79"/>
        <v>0</v>
      </c>
      <c r="J529" s="26">
        <v>2</v>
      </c>
      <c r="K529" s="26" t="b">
        <f t="shared" si="74"/>
        <v>0</v>
      </c>
      <c r="L529" s="26" t="b">
        <f t="shared" si="75"/>
        <v>0</v>
      </c>
      <c r="M529" t="b">
        <f t="shared" si="80"/>
        <v>0</v>
      </c>
      <c r="N529" t="b">
        <f t="shared" si="81"/>
        <v>0</v>
      </c>
    </row>
    <row r="530" spans="1:14">
      <c r="A530" s="29">
        <v>45090</v>
      </c>
      <c r="B530" s="30">
        <f t="shared" si="73"/>
        <v>6</v>
      </c>
      <c r="C530" s="30">
        <f t="shared" si="76"/>
        <v>13</v>
      </c>
      <c r="D530" s="26">
        <f>MATCH(WEEKDAY(A530),そのた定義!A:A,0)</f>
        <v>4</v>
      </c>
      <c r="E530" s="26" t="str">
        <f t="shared" ca="1" si="77"/>
        <v>火</v>
      </c>
      <c r="F530" s="26">
        <f t="shared" si="78"/>
        <v>0</v>
      </c>
      <c r="G530" s="26">
        <f>IF(ISNA(MATCH(A530,祝日定義!E:E,0)),0,1)</f>
        <v>0</v>
      </c>
      <c r="H530" s="26">
        <f>IF(ISNA(MATCH(B530&amp;"/"&amp;C530,そのた定義!E:E,0)), 0, 1)</f>
        <v>0</v>
      </c>
      <c r="I530" s="26" t="b">
        <f t="shared" si="79"/>
        <v>0</v>
      </c>
      <c r="J530" s="26">
        <v>0</v>
      </c>
      <c r="K530" s="26" t="b">
        <f t="shared" si="74"/>
        <v>0</v>
      </c>
      <c r="L530" s="26" t="b">
        <f t="shared" si="75"/>
        <v>0</v>
      </c>
      <c r="M530" t="b">
        <f t="shared" si="80"/>
        <v>0</v>
      </c>
      <c r="N530" t="b">
        <f t="shared" si="81"/>
        <v>0</v>
      </c>
    </row>
    <row r="531" spans="1:14">
      <c r="A531" s="29">
        <v>45091</v>
      </c>
      <c r="B531" s="30">
        <f t="shared" si="73"/>
        <v>6</v>
      </c>
      <c r="C531" s="30">
        <f t="shared" si="76"/>
        <v>14</v>
      </c>
      <c r="D531" s="26">
        <f>MATCH(WEEKDAY(A531),そのた定義!A:A,0)</f>
        <v>5</v>
      </c>
      <c r="E531" s="26" t="str">
        <f t="shared" ca="1" si="77"/>
        <v>水</v>
      </c>
      <c r="F531" s="26">
        <f t="shared" si="78"/>
        <v>0</v>
      </c>
      <c r="G531" s="26">
        <f>IF(ISNA(MATCH(A531,祝日定義!E:E,0)),0,1)</f>
        <v>0</v>
      </c>
      <c r="H531" s="26">
        <f>IF(ISNA(MATCH(B531&amp;"/"&amp;C531,そのた定義!E:E,0)), 0, 1)</f>
        <v>0</v>
      </c>
      <c r="I531" s="26" t="b">
        <f t="shared" si="79"/>
        <v>0</v>
      </c>
      <c r="J531" s="26">
        <v>0</v>
      </c>
      <c r="K531" s="26" t="b">
        <f t="shared" si="74"/>
        <v>0</v>
      </c>
      <c r="L531" s="26" t="b">
        <f t="shared" si="75"/>
        <v>0</v>
      </c>
      <c r="M531" t="b">
        <f t="shared" si="80"/>
        <v>0</v>
      </c>
      <c r="N531" t="b">
        <f t="shared" si="81"/>
        <v>0</v>
      </c>
    </row>
    <row r="532" spans="1:14">
      <c r="A532" s="29">
        <v>45092</v>
      </c>
      <c r="B532" s="30">
        <f t="shared" si="73"/>
        <v>6</v>
      </c>
      <c r="C532" s="30">
        <f t="shared" si="76"/>
        <v>15</v>
      </c>
      <c r="D532" s="26">
        <f>MATCH(WEEKDAY(A532),そのた定義!A:A,0)</f>
        <v>6</v>
      </c>
      <c r="E532" s="26" t="str">
        <f t="shared" ca="1" si="77"/>
        <v>木</v>
      </c>
      <c r="F532" s="26">
        <f t="shared" si="78"/>
        <v>0</v>
      </c>
      <c r="G532" s="26">
        <f>IF(ISNA(MATCH(A532,祝日定義!E:E,0)),0,1)</f>
        <v>0</v>
      </c>
      <c r="H532" s="26">
        <f>IF(ISNA(MATCH(B532&amp;"/"&amp;C532,そのた定義!E:E,0)), 0, 1)</f>
        <v>0</v>
      </c>
      <c r="I532" s="26" t="b">
        <f t="shared" si="79"/>
        <v>0</v>
      </c>
      <c r="J532" s="26">
        <v>0</v>
      </c>
      <c r="K532" s="26" t="b">
        <f t="shared" si="74"/>
        <v>0</v>
      </c>
      <c r="L532" s="26" t="b">
        <f t="shared" si="75"/>
        <v>0</v>
      </c>
      <c r="M532" t="b">
        <f t="shared" si="80"/>
        <v>0</v>
      </c>
      <c r="N532" t="b">
        <f t="shared" si="81"/>
        <v>0</v>
      </c>
    </row>
    <row r="533" spans="1:14">
      <c r="A533" s="29">
        <v>45093</v>
      </c>
      <c r="B533" s="30">
        <f t="shared" si="73"/>
        <v>6</v>
      </c>
      <c r="C533" s="30">
        <f t="shared" si="76"/>
        <v>16</v>
      </c>
      <c r="D533" s="26">
        <f>MATCH(WEEKDAY(A533),そのた定義!A:A,0)</f>
        <v>7</v>
      </c>
      <c r="E533" s="26" t="str">
        <f t="shared" ca="1" si="77"/>
        <v>金</v>
      </c>
      <c r="F533" s="26">
        <f t="shared" si="78"/>
        <v>0</v>
      </c>
      <c r="G533" s="26">
        <f>IF(ISNA(MATCH(A533,祝日定義!E:E,0)),0,1)</f>
        <v>0</v>
      </c>
      <c r="H533" s="26">
        <f>IF(ISNA(MATCH(B533&amp;"/"&amp;C533,そのた定義!E:E,0)), 0, 1)</f>
        <v>0</v>
      </c>
      <c r="I533" s="26" t="b">
        <f t="shared" si="79"/>
        <v>0</v>
      </c>
      <c r="J533" s="26">
        <v>0</v>
      </c>
      <c r="K533" s="26" t="b">
        <f t="shared" si="74"/>
        <v>0</v>
      </c>
      <c r="L533" s="26" t="b">
        <f t="shared" si="75"/>
        <v>0</v>
      </c>
      <c r="M533" t="b">
        <f t="shared" si="80"/>
        <v>0</v>
      </c>
      <c r="N533" t="b">
        <f t="shared" si="81"/>
        <v>0</v>
      </c>
    </row>
    <row r="534" spans="1:14">
      <c r="A534" s="29">
        <v>45094</v>
      </c>
      <c r="B534" s="30">
        <f t="shared" si="73"/>
        <v>6</v>
      </c>
      <c r="C534" s="30">
        <f t="shared" si="76"/>
        <v>17</v>
      </c>
      <c r="D534" s="26">
        <f>MATCH(WEEKDAY(A534),そのた定義!A:A,0)</f>
        <v>8</v>
      </c>
      <c r="E534" s="33" t="str">
        <f t="shared" ca="1" si="77"/>
        <v>土</v>
      </c>
      <c r="F534" s="26">
        <f t="shared" si="78"/>
        <v>1</v>
      </c>
      <c r="G534" s="26">
        <f>IF(ISNA(MATCH(A534,祝日定義!E:E,0)),0,1)</f>
        <v>0</v>
      </c>
      <c r="H534" s="26">
        <f>IF(ISNA(MATCH(B534&amp;"/"&amp;C534,そのた定義!E:E,0)), 0, 1)</f>
        <v>0</v>
      </c>
      <c r="I534" s="23" t="b">
        <f t="shared" si="79"/>
        <v>1</v>
      </c>
      <c r="J534" s="26">
        <v>0</v>
      </c>
      <c r="K534" s="26" t="b">
        <f t="shared" si="74"/>
        <v>0</v>
      </c>
      <c r="L534" s="26" t="b">
        <f t="shared" si="75"/>
        <v>0</v>
      </c>
      <c r="M534" t="b">
        <f t="shared" si="80"/>
        <v>0</v>
      </c>
      <c r="N534" t="b">
        <f t="shared" si="81"/>
        <v>0</v>
      </c>
    </row>
    <row r="535" spans="1:14">
      <c r="A535" s="29">
        <v>45095</v>
      </c>
      <c r="B535" s="30">
        <f t="shared" si="73"/>
        <v>6</v>
      </c>
      <c r="C535" s="30">
        <f t="shared" si="76"/>
        <v>18</v>
      </c>
      <c r="D535" s="26">
        <f>MATCH(WEEKDAY(A535),そのた定義!A:A,0)</f>
        <v>2</v>
      </c>
      <c r="E535" s="32" t="str">
        <f t="shared" ca="1" si="77"/>
        <v>日</v>
      </c>
      <c r="F535" s="26">
        <f t="shared" si="78"/>
        <v>1</v>
      </c>
      <c r="G535" s="26">
        <f>IF(ISNA(MATCH(A535,祝日定義!E:E,0)),0,1)</f>
        <v>0</v>
      </c>
      <c r="H535" s="26">
        <f>IF(ISNA(MATCH(B535&amp;"/"&amp;C535,そのた定義!E:E,0)), 0, 1)</f>
        <v>0</v>
      </c>
      <c r="I535" s="23" t="b">
        <f t="shared" si="79"/>
        <v>1</v>
      </c>
      <c r="J535" s="26">
        <v>0</v>
      </c>
      <c r="K535" s="26" t="b">
        <f t="shared" si="74"/>
        <v>0</v>
      </c>
      <c r="L535" s="26" t="b">
        <f t="shared" si="75"/>
        <v>0</v>
      </c>
      <c r="M535" t="b">
        <f t="shared" si="80"/>
        <v>0</v>
      </c>
      <c r="N535" t="b">
        <f t="shared" si="81"/>
        <v>0</v>
      </c>
    </row>
    <row r="536" spans="1:14">
      <c r="A536" s="29">
        <v>45096</v>
      </c>
      <c r="B536" s="30">
        <f t="shared" si="73"/>
        <v>6</v>
      </c>
      <c r="C536" s="30">
        <f t="shared" si="76"/>
        <v>19</v>
      </c>
      <c r="D536" s="26">
        <f>MATCH(WEEKDAY(A536),そのた定義!A:A,0)</f>
        <v>3</v>
      </c>
      <c r="E536" s="26" t="str">
        <f t="shared" ca="1" si="77"/>
        <v>月</v>
      </c>
      <c r="F536" s="26">
        <f t="shared" si="78"/>
        <v>0</v>
      </c>
      <c r="G536" s="26">
        <f>IF(ISNA(MATCH(A536,祝日定義!E:E,0)),0,1)</f>
        <v>0</v>
      </c>
      <c r="H536" s="26">
        <f>IF(ISNA(MATCH(B536&amp;"/"&amp;C536,そのた定義!E:E,0)), 0, 1)</f>
        <v>0</v>
      </c>
      <c r="I536" s="26" t="b">
        <f t="shared" si="79"/>
        <v>0</v>
      </c>
      <c r="J536" s="26">
        <v>2</v>
      </c>
      <c r="K536" s="26" t="b">
        <f t="shared" si="74"/>
        <v>0</v>
      </c>
      <c r="L536" s="26" t="b">
        <f t="shared" si="75"/>
        <v>0</v>
      </c>
      <c r="M536" t="b">
        <f t="shared" si="80"/>
        <v>0</v>
      </c>
      <c r="N536" t="b">
        <f t="shared" si="81"/>
        <v>0</v>
      </c>
    </row>
    <row r="537" spans="1:14">
      <c r="A537" s="29">
        <v>45097</v>
      </c>
      <c r="B537" s="30">
        <f t="shared" si="73"/>
        <v>6</v>
      </c>
      <c r="C537" s="30">
        <f t="shared" si="76"/>
        <v>20</v>
      </c>
      <c r="D537" s="26">
        <f>MATCH(WEEKDAY(A537),そのた定義!A:A,0)</f>
        <v>4</v>
      </c>
      <c r="E537" s="26" t="str">
        <f t="shared" ca="1" si="77"/>
        <v>火</v>
      </c>
      <c r="F537" s="26">
        <f t="shared" si="78"/>
        <v>0</v>
      </c>
      <c r="G537" s="26">
        <f>IF(ISNA(MATCH(A537,祝日定義!E:E,0)),0,1)</f>
        <v>0</v>
      </c>
      <c r="H537" s="26">
        <f>IF(ISNA(MATCH(B537&amp;"/"&amp;C537,そのた定義!E:E,0)), 0, 1)</f>
        <v>0</v>
      </c>
      <c r="I537" s="26" t="b">
        <f t="shared" si="79"/>
        <v>0</v>
      </c>
      <c r="J537" s="26">
        <v>0</v>
      </c>
      <c r="K537" s="26" t="b">
        <f t="shared" si="74"/>
        <v>0</v>
      </c>
      <c r="L537" s="26" t="b">
        <f t="shared" si="75"/>
        <v>0</v>
      </c>
      <c r="M537" t="b">
        <f t="shared" si="80"/>
        <v>0</v>
      </c>
      <c r="N537" t="b">
        <f t="shared" si="81"/>
        <v>0</v>
      </c>
    </row>
    <row r="538" spans="1:14">
      <c r="A538" s="29">
        <v>45098</v>
      </c>
      <c r="B538" s="30">
        <f t="shared" si="73"/>
        <v>6</v>
      </c>
      <c r="C538" s="30">
        <f t="shared" si="76"/>
        <v>21</v>
      </c>
      <c r="D538" s="26">
        <f>MATCH(WEEKDAY(A538),そのた定義!A:A,0)</f>
        <v>5</v>
      </c>
      <c r="E538" s="26" t="str">
        <f t="shared" ca="1" si="77"/>
        <v>水</v>
      </c>
      <c r="F538" s="26">
        <f t="shared" si="78"/>
        <v>0</v>
      </c>
      <c r="G538" s="26">
        <f>IF(ISNA(MATCH(A538,祝日定義!E:E,0)),0,1)</f>
        <v>0</v>
      </c>
      <c r="H538" s="26">
        <f>IF(ISNA(MATCH(B538&amp;"/"&amp;C538,そのた定義!E:E,0)), 0, 1)</f>
        <v>0</v>
      </c>
      <c r="I538" s="26" t="b">
        <f t="shared" si="79"/>
        <v>0</v>
      </c>
      <c r="J538" s="26">
        <v>0</v>
      </c>
      <c r="K538" s="26" t="b">
        <f t="shared" si="74"/>
        <v>0</v>
      </c>
      <c r="L538" s="26" t="b">
        <f t="shared" si="75"/>
        <v>0</v>
      </c>
      <c r="M538" t="b">
        <f t="shared" si="80"/>
        <v>0</v>
      </c>
      <c r="N538" t="b">
        <f t="shared" si="81"/>
        <v>0</v>
      </c>
    </row>
    <row r="539" spans="1:14">
      <c r="A539" s="29">
        <v>45099</v>
      </c>
      <c r="B539" s="30">
        <f t="shared" si="73"/>
        <v>6</v>
      </c>
      <c r="C539" s="30">
        <f t="shared" si="76"/>
        <v>22</v>
      </c>
      <c r="D539" s="26">
        <f>MATCH(WEEKDAY(A539),そのた定義!A:A,0)</f>
        <v>6</v>
      </c>
      <c r="E539" s="26" t="str">
        <f t="shared" ca="1" si="77"/>
        <v>木</v>
      </c>
      <c r="F539" s="26">
        <f t="shared" si="78"/>
        <v>0</v>
      </c>
      <c r="G539" s="26">
        <f>IF(ISNA(MATCH(A539,祝日定義!E:E,0)),0,1)</f>
        <v>0</v>
      </c>
      <c r="H539" s="26">
        <f>IF(ISNA(MATCH(B539&amp;"/"&amp;C539,そのた定義!E:E,0)), 0, 1)</f>
        <v>0</v>
      </c>
      <c r="I539" s="26" t="b">
        <f t="shared" si="79"/>
        <v>0</v>
      </c>
      <c r="J539" s="26">
        <v>0</v>
      </c>
      <c r="K539" s="26" t="b">
        <f t="shared" si="74"/>
        <v>0</v>
      </c>
      <c r="L539" s="26" t="b">
        <f t="shared" si="75"/>
        <v>0</v>
      </c>
      <c r="M539" t="b">
        <f t="shared" si="80"/>
        <v>0</v>
      </c>
      <c r="N539" t="b">
        <f t="shared" si="81"/>
        <v>0</v>
      </c>
    </row>
    <row r="540" spans="1:14">
      <c r="A540" s="29">
        <v>45100</v>
      </c>
      <c r="B540" s="30">
        <f t="shared" si="73"/>
        <v>6</v>
      </c>
      <c r="C540" s="30">
        <f t="shared" si="76"/>
        <v>23</v>
      </c>
      <c r="D540" s="26">
        <f>MATCH(WEEKDAY(A540),そのた定義!A:A,0)</f>
        <v>7</v>
      </c>
      <c r="E540" s="26" t="str">
        <f t="shared" ca="1" si="77"/>
        <v>金</v>
      </c>
      <c r="F540" s="26">
        <f t="shared" si="78"/>
        <v>0</v>
      </c>
      <c r="G540" s="26">
        <f>IF(ISNA(MATCH(A540,祝日定義!E:E,0)),0,1)</f>
        <v>0</v>
      </c>
      <c r="H540" s="26">
        <f>IF(ISNA(MATCH(B540&amp;"/"&amp;C540,そのた定義!E:E,0)), 0, 1)</f>
        <v>0</v>
      </c>
      <c r="I540" s="26" t="b">
        <f t="shared" si="79"/>
        <v>0</v>
      </c>
      <c r="J540" s="26">
        <v>0</v>
      </c>
      <c r="K540" s="26" t="b">
        <f t="shared" si="74"/>
        <v>0</v>
      </c>
      <c r="L540" s="26" t="b">
        <f t="shared" si="75"/>
        <v>0</v>
      </c>
      <c r="M540" t="b">
        <f t="shared" si="80"/>
        <v>0</v>
      </c>
      <c r="N540" t="b">
        <f t="shared" si="81"/>
        <v>0</v>
      </c>
    </row>
    <row r="541" spans="1:14">
      <c r="A541" s="29">
        <v>45101</v>
      </c>
      <c r="B541" s="30">
        <f t="shared" si="73"/>
        <v>6</v>
      </c>
      <c r="C541" s="30">
        <f t="shared" si="76"/>
        <v>24</v>
      </c>
      <c r="D541" s="26">
        <f>MATCH(WEEKDAY(A541),そのた定義!A:A,0)</f>
        <v>8</v>
      </c>
      <c r="E541" s="33" t="str">
        <f t="shared" ca="1" si="77"/>
        <v>土</v>
      </c>
      <c r="F541" s="26">
        <f t="shared" si="78"/>
        <v>1</v>
      </c>
      <c r="G541" s="26">
        <f>IF(ISNA(MATCH(A541,祝日定義!E:E,0)),0,1)</f>
        <v>0</v>
      </c>
      <c r="H541" s="26">
        <f>IF(ISNA(MATCH(B541&amp;"/"&amp;C541,そのた定義!E:E,0)), 0, 1)</f>
        <v>0</v>
      </c>
      <c r="I541" s="23" t="b">
        <f t="shared" si="79"/>
        <v>1</v>
      </c>
      <c r="J541" s="26">
        <v>0</v>
      </c>
      <c r="K541" s="26" t="b">
        <f t="shared" si="74"/>
        <v>0</v>
      </c>
      <c r="L541" s="26" t="b">
        <f t="shared" si="75"/>
        <v>0</v>
      </c>
      <c r="M541" t="b">
        <f t="shared" si="80"/>
        <v>0</v>
      </c>
      <c r="N541" t="b">
        <f t="shared" si="81"/>
        <v>0</v>
      </c>
    </row>
    <row r="542" spans="1:14">
      <c r="A542" s="29">
        <v>45102</v>
      </c>
      <c r="B542" s="30">
        <f t="shared" si="73"/>
        <v>6</v>
      </c>
      <c r="C542" s="30">
        <f t="shared" si="76"/>
        <v>25</v>
      </c>
      <c r="D542" s="26">
        <f>MATCH(WEEKDAY(A542),そのた定義!A:A,0)</f>
        <v>2</v>
      </c>
      <c r="E542" s="32" t="str">
        <f t="shared" ca="1" si="77"/>
        <v>日</v>
      </c>
      <c r="F542" s="26">
        <f t="shared" si="78"/>
        <v>1</v>
      </c>
      <c r="G542" s="26">
        <f>IF(ISNA(MATCH(A542,祝日定義!E:E,0)),0,1)</f>
        <v>0</v>
      </c>
      <c r="H542" s="26">
        <f>IF(ISNA(MATCH(B542&amp;"/"&amp;C542,そのた定義!E:E,0)), 0, 1)</f>
        <v>0</v>
      </c>
      <c r="I542" s="23" t="b">
        <f t="shared" si="79"/>
        <v>1</v>
      </c>
      <c r="J542" s="26">
        <v>0</v>
      </c>
      <c r="K542" s="26" t="b">
        <f t="shared" si="74"/>
        <v>0</v>
      </c>
      <c r="L542" s="23" t="b">
        <f t="shared" si="75"/>
        <v>1</v>
      </c>
      <c r="M542" t="b">
        <f t="shared" si="80"/>
        <v>0</v>
      </c>
      <c r="N542" t="b">
        <f t="shared" si="81"/>
        <v>0</v>
      </c>
    </row>
    <row r="543" spans="1:14">
      <c r="A543" s="29">
        <v>45103</v>
      </c>
      <c r="B543" s="30">
        <f t="shared" si="73"/>
        <v>6</v>
      </c>
      <c r="C543" s="30">
        <f t="shared" si="76"/>
        <v>26</v>
      </c>
      <c r="D543" s="26">
        <f>MATCH(WEEKDAY(A543),そのた定義!A:A,0)</f>
        <v>3</v>
      </c>
      <c r="E543" s="26" t="str">
        <f t="shared" ca="1" si="77"/>
        <v>月</v>
      </c>
      <c r="F543" s="26">
        <f t="shared" si="78"/>
        <v>0</v>
      </c>
      <c r="G543" s="26">
        <f>IF(ISNA(MATCH(A543,祝日定義!E:E,0)),0,1)</f>
        <v>0</v>
      </c>
      <c r="H543" s="26">
        <f>IF(ISNA(MATCH(B543&amp;"/"&amp;C543,そのた定義!E:E,0)), 0, 1)</f>
        <v>0</v>
      </c>
      <c r="I543" s="26" t="b">
        <f t="shared" si="79"/>
        <v>0</v>
      </c>
      <c r="J543" s="26">
        <v>2</v>
      </c>
      <c r="K543" s="23" t="b">
        <f t="shared" si="74"/>
        <v>1</v>
      </c>
      <c r="L543" s="26" t="b">
        <f t="shared" si="75"/>
        <v>0</v>
      </c>
      <c r="M543" t="b">
        <f t="shared" si="80"/>
        <v>0</v>
      </c>
      <c r="N543" t="b">
        <f t="shared" si="81"/>
        <v>0</v>
      </c>
    </row>
    <row r="544" spans="1:14">
      <c r="A544" s="29">
        <v>45104</v>
      </c>
      <c r="B544" s="30">
        <f t="shared" si="73"/>
        <v>6</v>
      </c>
      <c r="C544" s="30">
        <f t="shared" si="76"/>
        <v>27</v>
      </c>
      <c r="D544" s="26">
        <f>MATCH(WEEKDAY(A544),そのた定義!A:A,0)</f>
        <v>4</v>
      </c>
      <c r="E544" s="26" t="str">
        <f t="shared" ca="1" si="77"/>
        <v>火</v>
      </c>
      <c r="F544" s="26">
        <f t="shared" si="78"/>
        <v>0</v>
      </c>
      <c r="G544" s="26">
        <f>IF(ISNA(MATCH(A544,祝日定義!E:E,0)),0,1)</f>
        <v>0</v>
      </c>
      <c r="H544" s="26">
        <f>IF(ISNA(MATCH(B544&amp;"/"&amp;C544,そのた定義!E:E,0)), 0, 1)</f>
        <v>0</v>
      </c>
      <c r="I544" s="26" t="b">
        <f t="shared" si="79"/>
        <v>0</v>
      </c>
      <c r="J544" s="26">
        <v>0</v>
      </c>
      <c r="K544" s="26" t="b">
        <f t="shared" si="74"/>
        <v>0</v>
      </c>
      <c r="L544" s="26" t="b">
        <f t="shared" si="75"/>
        <v>0</v>
      </c>
      <c r="M544" t="b">
        <f t="shared" si="80"/>
        <v>0</v>
      </c>
      <c r="N544" t="b">
        <f t="shared" si="81"/>
        <v>0</v>
      </c>
    </row>
    <row r="545" spans="1:14">
      <c r="A545" s="29">
        <v>45105</v>
      </c>
      <c r="B545" s="30">
        <f t="shared" si="73"/>
        <v>6</v>
      </c>
      <c r="C545" s="30">
        <f t="shared" si="76"/>
        <v>28</v>
      </c>
      <c r="D545" s="26">
        <f>MATCH(WEEKDAY(A545),そのた定義!A:A,0)</f>
        <v>5</v>
      </c>
      <c r="E545" s="26" t="str">
        <f t="shared" ca="1" si="77"/>
        <v>水</v>
      </c>
      <c r="F545" s="26">
        <f t="shared" si="78"/>
        <v>0</v>
      </c>
      <c r="G545" s="26">
        <f>IF(ISNA(MATCH(A545,祝日定義!E:E,0)),0,1)</f>
        <v>0</v>
      </c>
      <c r="H545" s="26">
        <f>IF(ISNA(MATCH(B545&amp;"/"&amp;C545,そのた定義!E:E,0)), 0, 1)</f>
        <v>0</v>
      </c>
      <c r="I545" s="26" t="b">
        <f t="shared" si="79"/>
        <v>0</v>
      </c>
      <c r="J545" s="26">
        <v>0</v>
      </c>
      <c r="K545" s="26" t="b">
        <f t="shared" si="74"/>
        <v>0</v>
      </c>
      <c r="L545" s="26" t="b">
        <f t="shared" si="75"/>
        <v>0</v>
      </c>
      <c r="M545" t="b">
        <f t="shared" si="80"/>
        <v>0</v>
      </c>
      <c r="N545" t="b">
        <f t="shared" si="81"/>
        <v>0</v>
      </c>
    </row>
    <row r="546" spans="1:14">
      <c r="A546" s="29">
        <v>45106</v>
      </c>
      <c r="B546" s="30">
        <f t="shared" si="73"/>
        <v>6</v>
      </c>
      <c r="C546" s="30">
        <f t="shared" si="76"/>
        <v>29</v>
      </c>
      <c r="D546" s="26">
        <f>MATCH(WEEKDAY(A546),そのた定義!A:A,0)</f>
        <v>6</v>
      </c>
      <c r="E546" s="26" t="str">
        <f t="shared" ca="1" si="77"/>
        <v>木</v>
      </c>
      <c r="F546" s="26">
        <f t="shared" si="78"/>
        <v>0</v>
      </c>
      <c r="G546" s="26">
        <f>IF(ISNA(MATCH(A546,祝日定義!E:E,0)),0,1)</f>
        <v>0</v>
      </c>
      <c r="H546" s="26">
        <f>IF(ISNA(MATCH(B546&amp;"/"&amp;C546,そのた定義!E:E,0)), 0, 1)</f>
        <v>0</v>
      </c>
      <c r="I546" s="26" t="b">
        <f t="shared" si="79"/>
        <v>0</v>
      </c>
      <c r="J546" s="26">
        <v>0</v>
      </c>
      <c r="K546" s="26" t="b">
        <f t="shared" si="74"/>
        <v>0</v>
      </c>
      <c r="L546" s="26" t="b">
        <f t="shared" si="75"/>
        <v>0</v>
      </c>
      <c r="M546" t="b">
        <f t="shared" si="80"/>
        <v>0</v>
      </c>
      <c r="N546" t="b">
        <f t="shared" si="81"/>
        <v>0</v>
      </c>
    </row>
    <row r="547" spans="1:14">
      <c r="A547" s="29">
        <v>45107</v>
      </c>
      <c r="B547" s="30">
        <f t="shared" si="73"/>
        <v>6</v>
      </c>
      <c r="C547" s="30">
        <f t="shared" si="76"/>
        <v>30</v>
      </c>
      <c r="D547" s="26">
        <f>MATCH(WEEKDAY(A547),そのた定義!A:A,0)</f>
        <v>7</v>
      </c>
      <c r="E547" s="26" t="str">
        <f t="shared" ca="1" si="77"/>
        <v>金</v>
      </c>
      <c r="F547" s="26">
        <f t="shared" si="78"/>
        <v>0</v>
      </c>
      <c r="G547" s="26">
        <f>IF(ISNA(MATCH(A547,祝日定義!E:E,0)),0,1)</f>
        <v>0</v>
      </c>
      <c r="H547" s="26">
        <f>IF(ISNA(MATCH(B547&amp;"/"&amp;C547,そのた定義!E:E,0)), 0, 1)</f>
        <v>0</v>
      </c>
      <c r="I547" s="26" t="b">
        <f t="shared" si="79"/>
        <v>0</v>
      </c>
      <c r="J547" s="26">
        <v>0</v>
      </c>
      <c r="K547" s="26" t="b">
        <f t="shared" si="74"/>
        <v>0</v>
      </c>
      <c r="L547" s="26" t="b">
        <f t="shared" si="75"/>
        <v>0</v>
      </c>
      <c r="M547" t="b">
        <f t="shared" si="80"/>
        <v>0</v>
      </c>
      <c r="N547" t="b">
        <f t="shared" si="81"/>
        <v>1</v>
      </c>
    </row>
    <row r="548" spans="1:14">
      <c r="A548" s="29">
        <v>45108</v>
      </c>
      <c r="B548" s="30">
        <f t="shared" si="73"/>
        <v>7</v>
      </c>
      <c r="C548" s="30">
        <f t="shared" si="76"/>
        <v>1</v>
      </c>
      <c r="D548" s="26">
        <f>MATCH(WEEKDAY(A548),そのた定義!A:A,0)</f>
        <v>8</v>
      </c>
      <c r="E548" s="33" t="str">
        <f t="shared" ca="1" si="77"/>
        <v>土</v>
      </c>
      <c r="F548" s="26">
        <f t="shared" si="78"/>
        <v>1</v>
      </c>
      <c r="G548" s="26">
        <f>IF(ISNA(MATCH(A548,祝日定義!E:E,0)),0,1)</f>
        <v>0</v>
      </c>
      <c r="H548" s="26">
        <f>IF(ISNA(MATCH(B548&amp;"/"&amp;C548,そのた定義!E:E,0)), 0, 1)</f>
        <v>0</v>
      </c>
      <c r="I548" s="23" t="b">
        <f t="shared" si="79"/>
        <v>1</v>
      </c>
      <c r="J548" s="26">
        <v>0</v>
      </c>
      <c r="K548" s="26" t="b">
        <f t="shared" si="74"/>
        <v>0</v>
      </c>
      <c r="L548" s="26" t="b">
        <f t="shared" si="75"/>
        <v>0</v>
      </c>
      <c r="M548" t="b">
        <f t="shared" si="80"/>
        <v>0</v>
      </c>
      <c r="N548" t="b">
        <f t="shared" si="81"/>
        <v>0</v>
      </c>
    </row>
    <row r="549" spans="1:14">
      <c r="A549" s="29">
        <v>45109</v>
      </c>
      <c r="B549" s="30">
        <f t="shared" si="73"/>
        <v>7</v>
      </c>
      <c r="C549" s="30">
        <f t="shared" si="76"/>
        <v>2</v>
      </c>
      <c r="D549" s="26">
        <f>MATCH(WEEKDAY(A549),そのた定義!A:A,0)</f>
        <v>2</v>
      </c>
      <c r="E549" s="32" t="str">
        <f t="shared" ca="1" si="77"/>
        <v>日</v>
      </c>
      <c r="F549" s="26">
        <f t="shared" si="78"/>
        <v>1</v>
      </c>
      <c r="G549" s="26">
        <f>IF(ISNA(MATCH(A549,祝日定義!E:E,0)),0,1)</f>
        <v>0</v>
      </c>
      <c r="H549" s="26">
        <f>IF(ISNA(MATCH(B549&amp;"/"&amp;C549,そのた定義!E:E,0)), 0, 1)</f>
        <v>0</v>
      </c>
      <c r="I549" s="23" t="b">
        <f t="shared" si="79"/>
        <v>1</v>
      </c>
      <c r="J549" s="26">
        <v>0</v>
      </c>
      <c r="K549" s="26" t="b">
        <f t="shared" si="74"/>
        <v>0</v>
      </c>
      <c r="L549" s="26" t="b">
        <f t="shared" si="75"/>
        <v>0</v>
      </c>
      <c r="M549" t="b">
        <f t="shared" si="80"/>
        <v>0</v>
      </c>
      <c r="N549" t="b">
        <f t="shared" si="81"/>
        <v>0</v>
      </c>
    </row>
    <row r="550" spans="1:14">
      <c r="A550" s="29">
        <v>45110</v>
      </c>
      <c r="B550" s="30">
        <f t="shared" si="73"/>
        <v>7</v>
      </c>
      <c r="C550" s="30">
        <f t="shared" si="76"/>
        <v>3</v>
      </c>
      <c r="D550" s="26">
        <f>MATCH(WEEKDAY(A550),そのた定義!A:A,0)</f>
        <v>3</v>
      </c>
      <c r="E550" s="26" t="str">
        <f t="shared" ca="1" si="77"/>
        <v>月</v>
      </c>
      <c r="F550" s="26">
        <f t="shared" si="78"/>
        <v>0</v>
      </c>
      <c r="G550" s="26">
        <f>IF(ISNA(MATCH(A550,祝日定義!E:E,0)),0,1)</f>
        <v>0</v>
      </c>
      <c r="H550" s="26">
        <f>IF(ISNA(MATCH(B550&amp;"/"&amp;C550,そのた定義!E:E,0)), 0, 1)</f>
        <v>0</v>
      </c>
      <c r="I550" s="26" t="b">
        <f t="shared" si="79"/>
        <v>0</v>
      </c>
      <c r="J550" s="26">
        <v>2</v>
      </c>
      <c r="K550" s="26" t="b">
        <f t="shared" si="74"/>
        <v>0</v>
      </c>
      <c r="L550" s="26" t="b">
        <f t="shared" si="75"/>
        <v>0</v>
      </c>
      <c r="M550" t="b">
        <f t="shared" si="80"/>
        <v>0</v>
      </c>
      <c r="N550" t="b">
        <f t="shared" si="81"/>
        <v>0</v>
      </c>
    </row>
    <row r="551" spans="1:14">
      <c r="A551" s="29">
        <v>45111</v>
      </c>
      <c r="B551" s="30">
        <f t="shared" si="73"/>
        <v>7</v>
      </c>
      <c r="C551" s="30">
        <f t="shared" si="76"/>
        <v>4</v>
      </c>
      <c r="D551" s="26">
        <f>MATCH(WEEKDAY(A551),そのた定義!A:A,0)</f>
        <v>4</v>
      </c>
      <c r="E551" s="26" t="str">
        <f t="shared" ca="1" si="77"/>
        <v>火</v>
      </c>
      <c r="F551" s="26">
        <f t="shared" si="78"/>
        <v>0</v>
      </c>
      <c r="G551" s="26">
        <f>IF(ISNA(MATCH(A551,祝日定義!E:E,0)),0,1)</f>
        <v>0</v>
      </c>
      <c r="H551" s="26">
        <f>IF(ISNA(MATCH(B551&amp;"/"&amp;C551,そのた定義!E:E,0)), 0, 1)</f>
        <v>0</v>
      </c>
      <c r="I551" s="26" t="b">
        <f t="shared" si="79"/>
        <v>0</v>
      </c>
      <c r="J551" s="26">
        <v>0</v>
      </c>
      <c r="K551" s="26" t="b">
        <f t="shared" si="74"/>
        <v>0</v>
      </c>
      <c r="L551" s="26" t="b">
        <f t="shared" si="75"/>
        <v>0</v>
      </c>
      <c r="M551" t="b">
        <f t="shared" si="80"/>
        <v>0</v>
      </c>
      <c r="N551" t="b">
        <f t="shared" si="81"/>
        <v>0</v>
      </c>
    </row>
    <row r="552" spans="1:14">
      <c r="A552" s="29">
        <v>45112</v>
      </c>
      <c r="B552" s="30">
        <f t="shared" si="73"/>
        <v>7</v>
      </c>
      <c r="C552" s="30">
        <f t="shared" si="76"/>
        <v>5</v>
      </c>
      <c r="D552" s="26">
        <f>MATCH(WEEKDAY(A552),そのた定義!A:A,0)</f>
        <v>5</v>
      </c>
      <c r="E552" s="26" t="str">
        <f t="shared" ca="1" si="77"/>
        <v>水</v>
      </c>
      <c r="F552" s="26">
        <f t="shared" si="78"/>
        <v>0</v>
      </c>
      <c r="G552" s="26">
        <f>IF(ISNA(MATCH(A552,祝日定義!E:E,0)),0,1)</f>
        <v>0</v>
      </c>
      <c r="H552" s="26">
        <f>IF(ISNA(MATCH(B552&amp;"/"&amp;C552,そのた定義!E:E,0)), 0, 1)</f>
        <v>0</v>
      </c>
      <c r="I552" s="26" t="b">
        <f t="shared" si="79"/>
        <v>0</v>
      </c>
      <c r="J552" s="26">
        <v>0</v>
      </c>
      <c r="K552" s="26" t="b">
        <f t="shared" si="74"/>
        <v>0</v>
      </c>
      <c r="L552" s="26" t="b">
        <f t="shared" si="75"/>
        <v>0</v>
      </c>
      <c r="M552" t="b">
        <f t="shared" si="80"/>
        <v>0</v>
      </c>
      <c r="N552" t="b">
        <f t="shared" si="81"/>
        <v>0</v>
      </c>
    </row>
    <row r="553" spans="1:14">
      <c r="A553" s="29">
        <v>45113</v>
      </c>
      <c r="B553" s="30">
        <f t="shared" si="73"/>
        <v>7</v>
      </c>
      <c r="C553" s="30">
        <f t="shared" si="76"/>
        <v>6</v>
      </c>
      <c r="D553" s="26">
        <f>MATCH(WEEKDAY(A553),そのた定義!A:A,0)</f>
        <v>6</v>
      </c>
      <c r="E553" s="26" t="str">
        <f t="shared" ca="1" si="77"/>
        <v>木</v>
      </c>
      <c r="F553" s="26">
        <f t="shared" si="78"/>
        <v>0</v>
      </c>
      <c r="G553" s="26">
        <f>IF(ISNA(MATCH(A553,祝日定義!E:E,0)),0,1)</f>
        <v>0</v>
      </c>
      <c r="H553" s="26">
        <f>IF(ISNA(MATCH(B553&amp;"/"&amp;C553,そのた定義!E:E,0)), 0, 1)</f>
        <v>0</v>
      </c>
      <c r="I553" s="26" t="b">
        <f t="shared" si="79"/>
        <v>0</v>
      </c>
      <c r="J553" s="26">
        <v>0</v>
      </c>
      <c r="K553" s="26" t="b">
        <f t="shared" si="74"/>
        <v>0</v>
      </c>
      <c r="L553" s="26" t="b">
        <f t="shared" si="75"/>
        <v>0</v>
      </c>
      <c r="M553" t="b">
        <f t="shared" si="80"/>
        <v>0</v>
      </c>
      <c r="N553" t="b">
        <f t="shared" si="81"/>
        <v>0</v>
      </c>
    </row>
    <row r="554" spans="1:14">
      <c r="A554" s="29">
        <v>45114</v>
      </c>
      <c r="B554" s="30">
        <f t="shared" si="73"/>
        <v>7</v>
      </c>
      <c r="C554" s="30">
        <f t="shared" si="76"/>
        <v>7</v>
      </c>
      <c r="D554" s="26">
        <f>MATCH(WEEKDAY(A554),そのた定義!A:A,0)</f>
        <v>7</v>
      </c>
      <c r="E554" s="26" t="str">
        <f t="shared" ca="1" si="77"/>
        <v>金</v>
      </c>
      <c r="F554" s="26">
        <f t="shared" si="78"/>
        <v>0</v>
      </c>
      <c r="G554" s="26">
        <f>IF(ISNA(MATCH(A554,祝日定義!E:E,0)),0,1)</f>
        <v>0</v>
      </c>
      <c r="H554" s="26">
        <f>IF(ISNA(MATCH(B554&amp;"/"&amp;C554,そのた定義!E:E,0)), 0, 1)</f>
        <v>0</v>
      </c>
      <c r="I554" s="26" t="b">
        <f t="shared" si="79"/>
        <v>0</v>
      </c>
      <c r="J554" s="26">
        <v>0</v>
      </c>
      <c r="K554" s="26" t="b">
        <f t="shared" si="74"/>
        <v>0</v>
      </c>
      <c r="L554" s="26" t="b">
        <f t="shared" si="75"/>
        <v>0</v>
      </c>
      <c r="M554" t="b">
        <f t="shared" si="80"/>
        <v>0</v>
      </c>
      <c r="N554" t="b">
        <f t="shared" si="81"/>
        <v>0</v>
      </c>
    </row>
    <row r="555" spans="1:14">
      <c r="A555" s="29">
        <v>45115</v>
      </c>
      <c r="B555" s="30">
        <f t="shared" si="73"/>
        <v>7</v>
      </c>
      <c r="C555" s="30">
        <f t="shared" si="76"/>
        <v>8</v>
      </c>
      <c r="D555" s="26">
        <f>MATCH(WEEKDAY(A555),そのた定義!A:A,0)</f>
        <v>8</v>
      </c>
      <c r="E555" s="33" t="str">
        <f t="shared" ca="1" si="77"/>
        <v>土</v>
      </c>
      <c r="F555" s="26">
        <f t="shared" si="78"/>
        <v>1</v>
      </c>
      <c r="G555" s="26">
        <f>IF(ISNA(MATCH(A555,祝日定義!E:E,0)),0,1)</f>
        <v>0</v>
      </c>
      <c r="H555" s="26">
        <f>IF(ISNA(MATCH(B555&amp;"/"&amp;C555,そのた定義!E:E,0)), 0, 1)</f>
        <v>0</v>
      </c>
      <c r="I555" s="23" t="b">
        <f t="shared" si="79"/>
        <v>1</v>
      </c>
      <c r="J555" s="26">
        <v>0</v>
      </c>
      <c r="K555" s="26" t="b">
        <f t="shared" si="74"/>
        <v>0</v>
      </c>
      <c r="L555" s="26" t="b">
        <f t="shared" si="75"/>
        <v>0</v>
      </c>
      <c r="M555" t="b">
        <f t="shared" si="80"/>
        <v>0</v>
      </c>
      <c r="N555" t="b">
        <f t="shared" si="81"/>
        <v>0</v>
      </c>
    </row>
    <row r="556" spans="1:14">
      <c r="A556" s="29">
        <v>45116</v>
      </c>
      <c r="B556" s="30">
        <f t="shared" si="73"/>
        <v>7</v>
      </c>
      <c r="C556" s="30">
        <f t="shared" si="76"/>
        <v>9</v>
      </c>
      <c r="D556" s="26">
        <f>MATCH(WEEKDAY(A556),そのた定義!A:A,0)</f>
        <v>2</v>
      </c>
      <c r="E556" s="32" t="str">
        <f t="shared" ca="1" si="77"/>
        <v>日</v>
      </c>
      <c r="F556" s="26">
        <f t="shared" si="78"/>
        <v>1</v>
      </c>
      <c r="G556" s="26">
        <f>IF(ISNA(MATCH(A556,祝日定義!E:E,0)),0,1)</f>
        <v>0</v>
      </c>
      <c r="H556" s="26">
        <f>IF(ISNA(MATCH(B556&amp;"/"&amp;C556,そのた定義!E:E,0)), 0, 1)</f>
        <v>0</v>
      </c>
      <c r="I556" s="23" t="b">
        <f t="shared" si="79"/>
        <v>1</v>
      </c>
      <c r="J556" s="26">
        <v>0</v>
      </c>
      <c r="K556" s="26" t="b">
        <f t="shared" si="74"/>
        <v>0</v>
      </c>
      <c r="L556" s="26" t="b">
        <f t="shared" si="75"/>
        <v>0</v>
      </c>
      <c r="M556" t="b">
        <f t="shared" si="80"/>
        <v>0</v>
      </c>
      <c r="N556" t="b">
        <f t="shared" si="81"/>
        <v>0</v>
      </c>
    </row>
    <row r="557" spans="1:14">
      <c r="A557" s="29">
        <v>45117</v>
      </c>
      <c r="B557" s="30">
        <f t="shared" si="73"/>
        <v>7</v>
      </c>
      <c r="C557" s="30">
        <f t="shared" si="76"/>
        <v>10</v>
      </c>
      <c r="D557" s="26">
        <f>MATCH(WEEKDAY(A557),そのた定義!A:A,0)</f>
        <v>3</v>
      </c>
      <c r="E557" s="26" t="str">
        <f t="shared" ca="1" si="77"/>
        <v>月</v>
      </c>
      <c r="F557" s="26">
        <f t="shared" si="78"/>
        <v>0</v>
      </c>
      <c r="G557" s="26">
        <f>IF(ISNA(MATCH(A557,祝日定義!E:E,0)),0,1)</f>
        <v>0</v>
      </c>
      <c r="H557" s="26">
        <f>IF(ISNA(MATCH(B557&amp;"/"&amp;C557,そのた定義!E:E,0)), 0, 1)</f>
        <v>0</v>
      </c>
      <c r="I557" s="26" t="b">
        <f t="shared" si="79"/>
        <v>0</v>
      </c>
      <c r="J557" s="26">
        <v>2</v>
      </c>
      <c r="K557" s="26" t="b">
        <f t="shared" si="74"/>
        <v>0</v>
      </c>
      <c r="L557" s="26" t="b">
        <f t="shared" si="75"/>
        <v>0</v>
      </c>
      <c r="M557" t="b">
        <f t="shared" si="80"/>
        <v>0</v>
      </c>
      <c r="N557" t="b">
        <f t="shared" si="81"/>
        <v>0</v>
      </c>
    </row>
    <row r="558" spans="1:14">
      <c r="A558" s="29">
        <v>45118</v>
      </c>
      <c r="B558" s="30">
        <f t="shared" si="73"/>
        <v>7</v>
      </c>
      <c r="C558" s="30">
        <f t="shared" si="76"/>
        <v>11</v>
      </c>
      <c r="D558" s="26">
        <f>MATCH(WEEKDAY(A558),そのた定義!A:A,0)</f>
        <v>4</v>
      </c>
      <c r="E558" s="26" t="str">
        <f t="shared" ca="1" si="77"/>
        <v>火</v>
      </c>
      <c r="F558" s="26">
        <f t="shared" si="78"/>
        <v>0</v>
      </c>
      <c r="G558" s="26">
        <f>IF(ISNA(MATCH(A558,祝日定義!E:E,0)),0,1)</f>
        <v>0</v>
      </c>
      <c r="H558" s="26">
        <f>IF(ISNA(MATCH(B558&amp;"/"&amp;C558,そのた定義!E:E,0)), 0, 1)</f>
        <v>0</v>
      </c>
      <c r="I558" s="26" t="b">
        <f t="shared" si="79"/>
        <v>0</v>
      </c>
      <c r="J558" s="26">
        <v>0</v>
      </c>
      <c r="K558" s="26" t="b">
        <f t="shared" si="74"/>
        <v>0</v>
      </c>
      <c r="L558" s="26" t="b">
        <f t="shared" si="75"/>
        <v>0</v>
      </c>
      <c r="M558" t="b">
        <f t="shared" si="80"/>
        <v>0</v>
      </c>
      <c r="N558" t="b">
        <f t="shared" si="81"/>
        <v>0</v>
      </c>
    </row>
    <row r="559" spans="1:14">
      <c r="A559" s="29">
        <v>45119</v>
      </c>
      <c r="B559" s="30">
        <f t="shared" si="73"/>
        <v>7</v>
      </c>
      <c r="C559" s="30">
        <f t="shared" si="76"/>
        <v>12</v>
      </c>
      <c r="D559" s="26">
        <f>MATCH(WEEKDAY(A559),そのた定義!A:A,0)</f>
        <v>5</v>
      </c>
      <c r="E559" s="26" t="str">
        <f t="shared" ca="1" si="77"/>
        <v>水</v>
      </c>
      <c r="F559" s="26">
        <f t="shared" si="78"/>
        <v>0</v>
      </c>
      <c r="G559" s="26">
        <f>IF(ISNA(MATCH(A559,祝日定義!E:E,0)),0,1)</f>
        <v>0</v>
      </c>
      <c r="H559" s="26">
        <f>IF(ISNA(MATCH(B559&amp;"/"&amp;C559,そのた定義!E:E,0)), 0, 1)</f>
        <v>0</v>
      </c>
      <c r="I559" s="26" t="b">
        <f t="shared" si="79"/>
        <v>0</v>
      </c>
      <c r="J559" s="26">
        <v>0</v>
      </c>
      <c r="K559" s="26" t="b">
        <f t="shared" si="74"/>
        <v>0</v>
      </c>
      <c r="L559" s="26" t="b">
        <f t="shared" si="75"/>
        <v>0</v>
      </c>
      <c r="M559" t="b">
        <f t="shared" si="80"/>
        <v>0</v>
      </c>
      <c r="N559" t="b">
        <f t="shared" si="81"/>
        <v>0</v>
      </c>
    </row>
    <row r="560" spans="1:14">
      <c r="A560" s="29">
        <v>45120</v>
      </c>
      <c r="B560" s="30">
        <f t="shared" si="73"/>
        <v>7</v>
      </c>
      <c r="C560" s="30">
        <f t="shared" si="76"/>
        <v>13</v>
      </c>
      <c r="D560" s="26">
        <f>MATCH(WEEKDAY(A560),そのた定義!A:A,0)</f>
        <v>6</v>
      </c>
      <c r="E560" s="26" t="str">
        <f t="shared" ca="1" si="77"/>
        <v>木</v>
      </c>
      <c r="F560" s="26">
        <f t="shared" si="78"/>
        <v>0</v>
      </c>
      <c r="G560" s="26">
        <f>IF(ISNA(MATCH(A560,祝日定義!E:E,0)),0,1)</f>
        <v>0</v>
      </c>
      <c r="H560" s="26">
        <f>IF(ISNA(MATCH(B560&amp;"/"&amp;C560,そのた定義!E:E,0)), 0, 1)</f>
        <v>0</v>
      </c>
      <c r="I560" s="26" t="b">
        <f t="shared" si="79"/>
        <v>0</v>
      </c>
      <c r="J560" s="26">
        <v>0</v>
      </c>
      <c r="K560" s="26" t="b">
        <f t="shared" si="74"/>
        <v>0</v>
      </c>
      <c r="L560" s="26" t="b">
        <f t="shared" si="75"/>
        <v>0</v>
      </c>
      <c r="M560" t="b">
        <f t="shared" si="80"/>
        <v>0</v>
      </c>
      <c r="N560" t="b">
        <f t="shared" si="81"/>
        <v>0</v>
      </c>
    </row>
    <row r="561" spans="1:14">
      <c r="A561" s="29">
        <v>45121</v>
      </c>
      <c r="B561" s="30">
        <f t="shared" si="73"/>
        <v>7</v>
      </c>
      <c r="C561" s="30">
        <f t="shared" si="76"/>
        <v>14</v>
      </c>
      <c r="D561" s="26">
        <f>MATCH(WEEKDAY(A561),そのた定義!A:A,0)</f>
        <v>7</v>
      </c>
      <c r="E561" s="26" t="str">
        <f t="shared" ca="1" si="77"/>
        <v>金</v>
      </c>
      <c r="F561" s="26">
        <f t="shared" si="78"/>
        <v>0</v>
      </c>
      <c r="G561" s="26">
        <f>IF(ISNA(MATCH(A561,祝日定義!E:E,0)),0,1)</f>
        <v>0</v>
      </c>
      <c r="H561" s="26">
        <f>IF(ISNA(MATCH(B561&amp;"/"&amp;C561,そのた定義!E:E,0)), 0, 1)</f>
        <v>0</v>
      </c>
      <c r="I561" s="26" t="b">
        <f t="shared" si="79"/>
        <v>0</v>
      </c>
      <c r="J561" s="26">
        <v>0</v>
      </c>
      <c r="K561" s="26" t="b">
        <f t="shared" si="74"/>
        <v>0</v>
      </c>
      <c r="L561" s="26" t="b">
        <f t="shared" si="75"/>
        <v>0</v>
      </c>
      <c r="M561" t="b">
        <f t="shared" si="80"/>
        <v>0</v>
      </c>
      <c r="N561" t="b">
        <f t="shared" si="81"/>
        <v>0</v>
      </c>
    </row>
    <row r="562" spans="1:14">
      <c r="A562" s="29">
        <v>45122</v>
      </c>
      <c r="B562" s="30">
        <f t="shared" si="73"/>
        <v>7</v>
      </c>
      <c r="C562" s="30">
        <f t="shared" si="76"/>
        <v>15</v>
      </c>
      <c r="D562" s="26">
        <f>MATCH(WEEKDAY(A562),そのた定義!A:A,0)</f>
        <v>8</v>
      </c>
      <c r="E562" s="33" t="str">
        <f t="shared" ca="1" si="77"/>
        <v>土</v>
      </c>
      <c r="F562" s="26">
        <f t="shared" si="78"/>
        <v>1</v>
      </c>
      <c r="G562" s="26">
        <f>IF(ISNA(MATCH(A562,祝日定義!E:E,0)),0,1)</f>
        <v>0</v>
      </c>
      <c r="H562" s="26">
        <f>IF(ISNA(MATCH(B562&amp;"/"&amp;C562,そのた定義!E:E,0)), 0, 1)</f>
        <v>0</v>
      </c>
      <c r="I562" s="23" t="b">
        <f t="shared" si="79"/>
        <v>1</v>
      </c>
      <c r="J562" s="26">
        <v>0</v>
      </c>
      <c r="K562" s="26" t="b">
        <f t="shared" si="74"/>
        <v>0</v>
      </c>
      <c r="L562" s="26" t="b">
        <f t="shared" si="75"/>
        <v>0</v>
      </c>
      <c r="M562" t="b">
        <f t="shared" si="80"/>
        <v>0</v>
      </c>
      <c r="N562" t="b">
        <f t="shared" si="81"/>
        <v>0</v>
      </c>
    </row>
    <row r="563" spans="1:14">
      <c r="A563" s="29">
        <v>45123</v>
      </c>
      <c r="B563" s="30">
        <f t="shared" si="73"/>
        <v>7</v>
      </c>
      <c r="C563" s="30">
        <f t="shared" si="76"/>
        <v>16</v>
      </c>
      <c r="D563" s="26">
        <f>MATCH(WEEKDAY(A563),そのた定義!A:A,0)</f>
        <v>2</v>
      </c>
      <c r="E563" s="32" t="str">
        <f t="shared" ca="1" si="77"/>
        <v>日</v>
      </c>
      <c r="F563" s="26">
        <f t="shared" si="78"/>
        <v>1</v>
      </c>
      <c r="G563" s="26">
        <f>IF(ISNA(MATCH(A563,祝日定義!E:E,0)),0,1)</f>
        <v>0</v>
      </c>
      <c r="H563" s="26">
        <f>IF(ISNA(MATCH(B563&amp;"/"&amp;C563,そのた定義!E:E,0)), 0, 1)</f>
        <v>0</v>
      </c>
      <c r="I563" s="23" t="b">
        <f t="shared" si="79"/>
        <v>1</v>
      </c>
      <c r="J563" s="26">
        <v>0</v>
      </c>
      <c r="K563" s="26" t="b">
        <f t="shared" si="74"/>
        <v>0</v>
      </c>
      <c r="L563" s="26" t="b">
        <f t="shared" si="75"/>
        <v>0</v>
      </c>
      <c r="M563" t="b">
        <f t="shared" si="80"/>
        <v>0</v>
      </c>
      <c r="N563" t="b">
        <f t="shared" si="81"/>
        <v>0</v>
      </c>
    </row>
    <row r="564" spans="1:14">
      <c r="A564" s="29">
        <v>45124</v>
      </c>
      <c r="B564" s="30">
        <f t="shared" si="73"/>
        <v>7</v>
      </c>
      <c r="C564" s="30">
        <f t="shared" si="76"/>
        <v>17</v>
      </c>
      <c r="D564" s="26">
        <f>MATCH(WEEKDAY(A564),そのた定義!A:A,0)</f>
        <v>3</v>
      </c>
      <c r="E564" s="31" t="str">
        <f t="shared" ca="1" si="77"/>
        <v>月</v>
      </c>
      <c r="F564" s="26">
        <f t="shared" si="78"/>
        <v>0</v>
      </c>
      <c r="G564" s="26">
        <f>IF(ISNA(MATCH(A564,祝日定義!E:E,0)),0,1)</f>
        <v>1</v>
      </c>
      <c r="H564" s="26">
        <f>IF(ISNA(MATCH(B564&amp;"/"&amp;C564,そのた定義!E:E,0)), 0, 1)</f>
        <v>0</v>
      </c>
      <c r="I564" s="23" t="b">
        <f t="shared" si="79"/>
        <v>1</v>
      </c>
      <c r="J564" s="26">
        <v>0</v>
      </c>
      <c r="K564" s="26" t="b">
        <f t="shared" si="74"/>
        <v>0</v>
      </c>
      <c r="L564" s="26" t="b">
        <f t="shared" si="75"/>
        <v>0</v>
      </c>
      <c r="M564" t="b">
        <f t="shared" si="80"/>
        <v>0</v>
      </c>
      <c r="N564" t="b">
        <f t="shared" si="81"/>
        <v>0</v>
      </c>
    </row>
    <row r="565" spans="1:14">
      <c r="A565" s="29">
        <v>45125</v>
      </c>
      <c r="B565" s="30">
        <f t="shared" si="73"/>
        <v>7</v>
      </c>
      <c r="C565" s="30">
        <f t="shared" si="76"/>
        <v>18</v>
      </c>
      <c r="D565" s="26">
        <f>MATCH(WEEKDAY(A565),そのた定義!A:A,0)</f>
        <v>4</v>
      </c>
      <c r="E565" s="26" t="str">
        <f t="shared" ca="1" si="77"/>
        <v>火</v>
      </c>
      <c r="F565" s="26">
        <f t="shared" si="78"/>
        <v>0</v>
      </c>
      <c r="G565" s="26">
        <f>IF(ISNA(MATCH(A565,祝日定義!E:E,0)),0,1)</f>
        <v>0</v>
      </c>
      <c r="H565" s="26">
        <f>IF(ISNA(MATCH(B565&amp;"/"&amp;C565,そのた定義!E:E,0)), 0, 1)</f>
        <v>0</v>
      </c>
      <c r="I565" s="26" t="b">
        <f t="shared" si="79"/>
        <v>0</v>
      </c>
      <c r="J565" s="26">
        <v>3</v>
      </c>
      <c r="K565" s="26" t="b">
        <f t="shared" si="74"/>
        <v>0</v>
      </c>
      <c r="L565" s="26" t="b">
        <f t="shared" si="75"/>
        <v>0</v>
      </c>
      <c r="M565" t="b">
        <f t="shared" si="80"/>
        <v>0</v>
      </c>
      <c r="N565" t="b">
        <f t="shared" si="81"/>
        <v>0</v>
      </c>
    </row>
    <row r="566" spans="1:14">
      <c r="A566" s="29">
        <v>45126</v>
      </c>
      <c r="B566" s="30">
        <f t="shared" si="73"/>
        <v>7</v>
      </c>
      <c r="C566" s="30">
        <f t="shared" si="76"/>
        <v>19</v>
      </c>
      <c r="D566" s="26">
        <f>MATCH(WEEKDAY(A566),そのた定義!A:A,0)</f>
        <v>5</v>
      </c>
      <c r="E566" s="26" t="str">
        <f t="shared" ca="1" si="77"/>
        <v>水</v>
      </c>
      <c r="F566" s="26">
        <f t="shared" si="78"/>
        <v>0</v>
      </c>
      <c r="G566" s="26">
        <f>IF(ISNA(MATCH(A566,祝日定義!E:E,0)),0,1)</f>
        <v>0</v>
      </c>
      <c r="H566" s="26">
        <f>IF(ISNA(MATCH(B566&amp;"/"&amp;C566,そのた定義!E:E,0)), 0, 1)</f>
        <v>0</v>
      </c>
      <c r="I566" s="26" t="b">
        <f t="shared" si="79"/>
        <v>0</v>
      </c>
      <c r="J566" s="26">
        <v>0</v>
      </c>
      <c r="K566" s="26" t="b">
        <f t="shared" si="74"/>
        <v>0</v>
      </c>
      <c r="L566" s="26" t="b">
        <f t="shared" si="75"/>
        <v>0</v>
      </c>
      <c r="M566" t="b">
        <f t="shared" si="80"/>
        <v>0</v>
      </c>
      <c r="N566" t="b">
        <f t="shared" si="81"/>
        <v>0</v>
      </c>
    </row>
    <row r="567" spans="1:14">
      <c r="A567" s="29">
        <v>45127</v>
      </c>
      <c r="B567" s="30">
        <f t="shared" si="73"/>
        <v>7</v>
      </c>
      <c r="C567" s="30">
        <f t="shared" si="76"/>
        <v>20</v>
      </c>
      <c r="D567" s="26">
        <f>MATCH(WEEKDAY(A567),そのた定義!A:A,0)</f>
        <v>6</v>
      </c>
      <c r="E567" s="26" t="str">
        <f t="shared" ca="1" si="77"/>
        <v>木</v>
      </c>
      <c r="F567" s="26">
        <f t="shared" si="78"/>
        <v>0</v>
      </c>
      <c r="G567" s="26">
        <f>IF(ISNA(MATCH(A567,祝日定義!E:E,0)),0,1)</f>
        <v>0</v>
      </c>
      <c r="H567" s="26">
        <f>IF(ISNA(MATCH(B567&amp;"/"&amp;C567,そのた定義!E:E,0)), 0, 1)</f>
        <v>0</v>
      </c>
      <c r="I567" s="26" t="b">
        <f t="shared" si="79"/>
        <v>0</v>
      </c>
      <c r="J567" s="26">
        <v>0</v>
      </c>
      <c r="K567" s="26" t="b">
        <f t="shared" si="74"/>
        <v>0</v>
      </c>
      <c r="L567" s="26" t="b">
        <f t="shared" si="75"/>
        <v>0</v>
      </c>
      <c r="M567" t="b">
        <f t="shared" si="80"/>
        <v>0</v>
      </c>
      <c r="N567" t="b">
        <f t="shared" si="81"/>
        <v>0</v>
      </c>
    </row>
    <row r="568" spans="1:14">
      <c r="A568" s="29">
        <v>45128</v>
      </c>
      <c r="B568" s="30">
        <f t="shared" si="73"/>
        <v>7</v>
      </c>
      <c r="C568" s="30">
        <f t="shared" si="76"/>
        <v>21</v>
      </c>
      <c r="D568" s="26">
        <f>MATCH(WEEKDAY(A568),そのた定義!A:A,0)</f>
        <v>7</v>
      </c>
      <c r="E568" s="26" t="str">
        <f t="shared" ca="1" si="77"/>
        <v>金</v>
      </c>
      <c r="F568" s="26">
        <f t="shared" si="78"/>
        <v>0</v>
      </c>
      <c r="G568" s="26">
        <f>IF(ISNA(MATCH(A568,祝日定義!E:E,0)),0,1)</f>
        <v>0</v>
      </c>
      <c r="H568" s="26">
        <f>IF(ISNA(MATCH(B568&amp;"/"&amp;C568,そのた定義!E:E,0)), 0, 1)</f>
        <v>0</v>
      </c>
      <c r="I568" s="26" t="b">
        <f t="shared" si="79"/>
        <v>0</v>
      </c>
      <c r="J568" s="26">
        <v>0</v>
      </c>
      <c r="K568" s="26" t="b">
        <f t="shared" si="74"/>
        <v>0</v>
      </c>
      <c r="L568" s="26" t="b">
        <f t="shared" si="75"/>
        <v>0</v>
      </c>
      <c r="M568" t="b">
        <f t="shared" si="80"/>
        <v>0</v>
      </c>
      <c r="N568" t="b">
        <f t="shared" si="81"/>
        <v>0</v>
      </c>
    </row>
    <row r="569" spans="1:14">
      <c r="A569" s="29">
        <v>45129</v>
      </c>
      <c r="B569" s="30">
        <f t="shared" si="73"/>
        <v>7</v>
      </c>
      <c r="C569" s="30">
        <f t="shared" si="76"/>
        <v>22</v>
      </c>
      <c r="D569" s="26">
        <f>MATCH(WEEKDAY(A569),そのた定義!A:A,0)</f>
        <v>8</v>
      </c>
      <c r="E569" s="33" t="str">
        <f t="shared" ca="1" si="77"/>
        <v>土</v>
      </c>
      <c r="F569" s="26">
        <f t="shared" si="78"/>
        <v>1</v>
      </c>
      <c r="G569" s="26">
        <f>IF(ISNA(MATCH(A569,祝日定義!E:E,0)),0,1)</f>
        <v>0</v>
      </c>
      <c r="H569" s="26">
        <f>IF(ISNA(MATCH(B569&amp;"/"&amp;C569,そのた定義!E:E,0)), 0, 1)</f>
        <v>0</v>
      </c>
      <c r="I569" s="23" t="b">
        <f t="shared" si="79"/>
        <v>1</v>
      </c>
      <c r="J569" s="26">
        <v>0</v>
      </c>
      <c r="K569" s="26" t="b">
        <f t="shared" si="74"/>
        <v>0</v>
      </c>
      <c r="L569" s="26" t="b">
        <f t="shared" si="75"/>
        <v>0</v>
      </c>
      <c r="M569" t="b">
        <f t="shared" si="80"/>
        <v>0</v>
      </c>
      <c r="N569" t="b">
        <f t="shared" si="81"/>
        <v>0</v>
      </c>
    </row>
    <row r="570" spans="1:14">
      <c r="A570" s="29">
        <v>45130</v>
      </c>
      <c r="B570" s="30">
        <f t="shared" si="73"/>
        <v>7</v>
      </c>
      <c r="C570" s="30">
        <f t="shared" si="76"/>
        <v>23</v>
      </c>
      <c r="D570" s="26">
        <f>MATCH(WEEKDAY(A570),そのた定義!A:A,0)</f>
        <v>2</v>
      </c>
      <c r="E570" s="32" t="str">
        <f t="shared" ca="1" si="77"/>
        <v>日</v>
      </c>
      <c r="F570" s="26">
        <f t="shared" si="78"/>
        <v>1</v>
      </c>
      <c r="G570" s="26">
        <f>IF(ISNA(MATCH(A570,祝日定義!E:E,0)),0,1)</f>
        <v>0</v>
      </c>
      <c r="H570" s="26">
        <f>IF(ISNA(MATCH(B570&amp;"/"&amp;C570,そのた定義!E:E,0)), 0, 1)</f>
        <v>0</v>
      </c>
      <c r="I570" s="23" t="b">
        <f t="shared" si="79"/>
        <v>1</v>
      </c>
      <c r="J570" s="26">
        <v>0</v>
      </c>
      <c r="K570" s="26" t="b">
        <f t="shared" si="74"/>
        <v>0</v>
      </c>
      <c r="L570" s="26" t="b">
        <f t="shared" si="75"/>
        <v>0</v>
      </c>
      <c r="M570" t="b">
        <f t="shared" si="80"/>
        <v>0</v>
      </c>
      <c r="N570" t="b">
        <f t="shared" si="81"/>
        <v>0</v>
      </c>
    </row>
    <row r="571" spans="1:14">
      <c r="A571" s="29">
        <v>45131</v>
      </c>
      <c r="B571" s="30">
        <f t="shared" si="73"/>
        <v>7</v>
      </c>
      <c r="C571" s="30">
        <f t="shared" si="76"/>
        <v>24</v>
      </c>
      <c r="D571" s="26">
        <f>MATCH(WEEKDAY(A571),そのた定義!A:A,0)</f>
        <v>3</v>
      </c>
      <c r="E571" s="26" t="str">
        <f t="shared" ca="1" si="77"/>
        <v>月</v>
      </c>
      <c r="F571" s="26">
        <f t="shared" si="78"/>
        <v>0</v>
      </c>
      <c r="G571" s="26">
        <f>IF(ISNA(MATCH(A571,祝日定義!E:E,0)),0,1)</f>
        <v>0</v>
      </c>
      <c r="H571" s="26">
        <f>IF(ISNA(MATCH(B571&amp;"/"&amp;C571,そのた定義!E:E,0)), 0, 1)</f>
        <v>0</v>
      </c>
      <c r="I571" s="26" t="b">
        <f t="shared" si="79"/>
        <v>0</v>
      </c>
      <c r="J571" s="26">
        <v>2</v>
      </c>
      <c r="K571" s="26" t="b">
        <f t="shared" si="74"/>
        <v>0</v>
      </c>
      <c r="L571" s="26" t="b">
        <f t="shared" si="75"/>
        <v>0</v>
      </c>
      <c r="M571" t="b">
        <f t="shared" si="80"/>
        <v>0</v>
      </c>
      <c r="N571" t="b">
        <f t="shared" si="81"/>
        <v>0</v>
      </c>
    </row>
    <row r="572" spans="1:14">
      <c r="A572" s="29">
        <v>45132</v>
      </c>
      <c r="B572" s="30">
        <f t="shared" si="73"/>
        <v>7</v>
      </c>
      <c r="C572" s="30">
        <f t="shared" si="76"/>
        <v>25</v>
      </c>
      <c r="D572" s="26">
        <f>MATCH(WEEKDAY(A572),そのた定義!A:A,0)</f>
        <v>4</v>
      </c>
      <c r="E572" s="26" t="str">
        <f t="shared" ca="1" si="77"/>
        <v>火</v>
      </c>
      <c r="F572" s="26">
        <f t="shared" si="78"/>
        <v>0</v>
      </c>
      <c r="G572" s="26">
        <f>IF(ISNA(MATCH(A572,祝日定義!E:E,0)),0,1)</f>
        <v>0</v>
      </c>
      <c r="H572" s="26">
        <f>IF(ISNA(MATCH(B572&amp;"/"&amp;C572,そのた定義!E:E,0)), 0, 1)</f>
        <v>0</v>
      </c>
      <c r="I572" s="26" t="b">
        <f t="shared" si="79"/>
        <v>0</v>
      </c>
      <c r="J572" s="26">
        <v>0</v>
      </c>
      <c r="K572" s="26" t="b">
        <f t="shared" si="74"/>
        <v>0</v>
      </c>
      <c r="L572" s="23" t="b">
        <f t="shared" si="75"/>
        <v>1</v>
      </c>
      <c r="M572" t="b">
        <f t="shared" si="80"/>
        <v>0</v>
      </c>
      <c r="N572" t="b">
        <f t="shared" si="81"/>
        <v>0</v>
      </c>
    </row>
    <row r="573" spans="1:14">
      <c r="A573" s="29">
        <v>45133</v>
      </c>
      <c r="B573" s="30">
        <f t="shared" si="73"/>
        <v>7</v>
      </c>
      <c r="C573" s="30">
        <f t="shared" si="76"/>
        <v>26</v>
      </c>
      <c r="D573" s="26">
        <f>MATCH(WEEKDAY(A573),そのた定義!A:A,0)</f>
        <v>5</v>
      </c>
      <c r="E573" s="26" t="str">
        <f t="shared" ca="1" si="77"/>
        <v>水</v>
      </c>
      <c r="F573" s="26">
        <f t="shared" si="78"/>
        <v>0</v>
      </c>
      <c r="G573" s="26">
        <f>IF(ISNA(MATCH(A573,祝日定義!E:E,0)),0,1)</f>
        <v>0</v>
      </c>
      <c r="H573" s="26">
        <f>IF(ISNA(MATCH(B573&amp;"/"&amp;C573,そのた定義!E:E,0)), 0, 1)</f>
        <v>0</v>
      </c>
      <c r="I573" s="26" t="b">
        <f t="shared" si="79"/>
        <v>0</v>
      </c>
      <c r="J573" s="26">
        <v>0</v>
      </c>
      <c r="K573" s="26" t="b">
        <f t="shared" si="74"/>
        <v>0</v>
      </c>
      <c r="L573" s="26" t="b">
        <f t="shared" si="75"/>
        <v>0</v>
      </c>
      <c r="M573" t="b">
        <f t="shared" si="80"/>
        <v>0</v>
      </c>
      <c r="N573" t="b">
        <f t="shared" si="81"/>
        <v>0</v>
      </c>
    </row>
    <row r="574" spans="1:14">
      <c r="A574" s="29">
        <v>45134</v>
      </c>
      <c r="B574" s="30">
        <f t="shared" si="73"/>
        <v>7</v>
      </c>
      <c r="C574" s="30">
        <f t="shared" si="76"/>
        <v>27</v>
      </c>
      <c r="D574" s="26">
        <f>MATCH(WEEKDAY(A574),そのた定義!A:A,0)</f>
        <v>6</v>
      </c>
      <c r="E574" s="26" t="str">
        <f t="shared" ca="1" si="77"/>
        <v>木</v>
      </c>
      <c r="F574" s="26">
        <f t="shared" si="78"/>
        <v>0</v>
      </c>
      <c r="G574" s="26">
        <f>IF(ISNA(MATCH(A574,祝日定義!E:E,0)),0,1)</f>
        <v>0</v>
      </c>
      <c r="H574" s="26">
        <f>IF(ISNA(MATCH(B574&amp;"/"&amp;C574,そのた定義!E:E,0)), 0, 1)</f>
        <v>0</v>
      </c>
      <c r="I574" s="26" t="b">
        <f t="shared" si="79"/>
        <v>0</v>
      </c>
      <c r="J574" s="26">
        <v>0</v>
      </c>
      <c r="K574" s="26" t="b">
        <f t="shared" si="74"/>
        <v>0</v>
      </c>
      <c r="L574" s="26" t="b">
        <f t="shared" si="75"/>
        <v>0</v>
      </c>
      <c r="M574" t="b">
        <f t="shared" si="80"/>
        <v>0</v>
      </c>
      <c r="N574" t="b">
        <f t="shared" si="81"/>
        <v>0</v>
      </c>
    </row>
    <row r="575" spans="1:14">
      <c r="A575" s="29">
        <v>45135</v>
      </c>
      <c r="B575" s="30">
        <f t="shared" si="73"/>
        <v>7</v>
      </c>
      <c r="C575" s="30">
        <f t="shared" si="76"/>
        <v>28</v>
      </c>
      <c r="D575" s="26">
        <f>MATCH(WEEKDAY(A575),そのた定義!A:A,0)</f>
        <v>7</v>
      </c>
      <c r="E575" s="26" t="str">
        <f t="shared" ca="1" si="77"/>
        <v>金</v>
      </c>
      <c r="F575" s="26">
        <f t="shared" si="78"/>
        <v>0</v>
      </c>
      <c r="G575" s="26">
        <f>IF(ISNA(MATCH(A575,祝日定義!E:E,0)),0,1)</f>
        <v>0</v>
      </c>
      <c r="H575" s="26">
        <f>IF(ISNA(MATCH(B575&amp;"/"&amp;C575,そのた定義!E:E,0)), 0, 1)</f>
        <v>0</v>
      </c>
      <c r="I575" s="26" t="b">
        <f t="shared" si="79"/>
        <v>0</v>
      </c>
      <c r="J575" s="26">
        <v>0</v>
      </c>
      <c r="K575" s="26" t="b">
        <f t="shared" si="74"/>
        <v>0</v>
      </c>
      <c r="L575" s="26" t="b">
        <f t="shared" si="75"/>
        <v>0</v>
      </c>
      <c r="M575" t="b">
        <f t="shared" si="80"/>
        <v>0</v>
      </c>
      <c r="N575" t="b">
        <f t="shared" si="81"/>
        <v>0</v>
      </c>
    </row>
    <row r="576" spans="1:14">
      <c r="A576" s="29">
        <v>45136</v>
      </c>
      <c r="B576" s="30">
        <f t="shared" si="73"/>
        <v>7</v>
      </c>
      <c r="C576" s="30">
        <f t="shared" si="76"/>
        <v>29</v>
      </c>
      <c r="D576" s="26">
        <f>MATCH(WEEKDAY(A576),そのた定義!A:A,0)</f>
        <v>8</v>
      </c>
      <c r="E576" s="33" t="str">
        <f t="shared" ca="1" si="77"/>
        <v>土</v>
      </c>
      <c r="F576" s="26">
        <f t="shared" si="78"/>
        <v>1</v>
      </c>
      <c r="G576" s="26">
        <f>IF(ISNA(MATCH(A576,祝日定義!E:E,0)),0,1)</f>
        <v>0</v>
      </c>
      <c r="H576" s="26">
        <f>IF(ISNA(MATCH(B576&amp;"/"&amp;C576,そのた定義!E:E,0)), 0, 1)</f>
        <v>0</v>
      </c>
      <c r="I576" s="23" t="b">
        <f t="shared" si="79"/>
        <v>1</v>
      </c>
      <c r="J576" s="26">
        <v>0</v>
      </c>
      <c r="K576" s="26" t="b">
        <f t="shared" si="74"/>
        <v>0</v>
      </c>
      <c r="L576" s="26" t="b">
        <f t="shared" si="75"/>
        <v>0</v>
      </c>
      <c r="M576" t="b">
        <f t="shared" si="80"/>
        <v>0</v>
      </c>
      <c r="N576" t="b">
        <f t="shared" si="81"/>
        <v>0</v>
      </c>
    </row>
    <row r="577" spans="1:14">
      <c r="A577" s="29">
        <v>45137</v>
      </c>
      <c r="B577" s="30">
        <f t="shared" si="73"/>
        <v>7</v>
      </c>
      <c r="C577" s="30">
        <f t="shared" si="76"/>
        <v>30</v>
      </c>
      <c r="D577" s="26">
        <f>MATCH(WEEKDAY(A577),そのた定義!A:A,0)</f>
        <v>2</v>
      </c>
      <c r="E577" s="32" t="str">
        <f t="shared" ca="1" si="77"/>
        <v>日</v>
      </c>
      <c r="F577" s="26">
        <f t="shared" si="78"/>
        <v>1</v>
      </c>
      <c r="G577" s="26">
        <f>IF(ISNA(MATCH(A577,祝日定義!E:E,0)),0,1)</f>
        <v>0</v>
      </c>
      <c r="H577" s="26">
        <f>IF(ISNA(MATCH(B577&amp;"/"&amp;C577,そのた定義!E:E,0)), 0, 1)</f>
        <v>0</v>
      </c>
      <c r="I577" s="23" t="b">
        <f t="shared" si="79"/>
        <v>1</v>
      </c>
      <c r="J577" s="26">
        <v>0</v>
      </c>
      <c r="K577" s="26" t="b">
        <f t="shared" si="74"/>
        <v>0</v>
      </c>
      <c r="L577" s="26" t="b">
        <f t="shared" si="75"/>
        <v>0</v>
      </c>
      <c r="M577" t="b">
        <f t="shared" si="80"/>
        <v>0</v>
      </c>
      <c r="N577" t="b">
        <f t="shared" si="81"/>
        <v>0</v>
      </c>
    </row>
    <row r="578" spans="1:14">
      <c r="A578" s="29">
        <v>45138</v>
      </c>
      <c r="B578" s="30">
        <f t="shared" ref="B578:B641" si="82">MONTH(A578)</f>
        <v>7</v>
      </c>
      <c r="C578" s="30">
        <f t="shared" si="76"/>
        <v>31</v>
      </c>
      <c r="D578" s="26">
        <f>MATCH(WEEKDAY(A578),そのた定義!A:A,0)</f>
        <v>3</v>
      </c>
      <c r="E578" s="26" t="str">
        <f t="shared" ca="1" si="77"/>
        <v>月</v>
      </c>
      <c r="F578" s="26">
        <f t="shared" si="78"/>
        <v>0</v>
      </c>
      <c r="G578" s="26">
        <f>IF(ISNA(MATCH(A578,祝日定義!E:E,0)),0,1)</f>
        <v>0</v>
      </c>
      <c r="H578" s="26">
        <f>IF(ISNA(MATCH(B578&amp;"/"&amp;C578,そのた定義!E:E,0)), 0, 1)</f>
        <v>0</v>
      </c>
      <c r="I578" s="26" t="b">
        <f t="shared" si="79"/>
        <v>0</v>
      </c>
      <c r="J578" s="26">
        <v>2</v>
      </c>
      <c r="K578" s="26" t="b">
        <f t="shared" ref="K578:K641" si="83">AND(C578&gt;25,DAY(A578-J578)&lt;=25)</f>
        <v>0</v>
      </c>
      <c r="L578" s="26" t="b">
        <f t="shared" ref="L578:L641" si="84">C578=25</f>
        <v>0</v>
      </c>
      <c r="M578" t="b">
        <f t="shared" si="80"/>
        <v>0</v>
      </c>
      <c r="N578" t="b">
        <f t="shared" si="81"/>
        <v>1</v>
      </c>
    </row>
    <row r="579" spans="1:14">
      <c r="A579" s="29">
        <v>45139</v>
      </c>
      <c r="B579" s="30">
        <f t="shared" si="82"/>
        <v>8</v>
      </c>
      <c r="C579" s="30">
        <f t="shared" ref="C579:C642" si="85">DAY(A579)</f>
        <v>1</v>
      </c>
      <c r="D579" s="26">
        <f>MATCH(WEEKDAY(A579),そのた定義!A:A,0)</f>
        <v>4</v>
      </c>
      <c r="E579" s="26" t="str">
        <f t="shared" ref="E579:E642" ca="1" si="86">INDIRECT("そのた定義!"&amp;"B"&amp;D579)</f>
        <v>火</v>
      </c>
      <c r="F579" s="26">
        <f t="shared" ref="F579:F642" si="87">IF(OR(D579=8,D579=2),1,0)</f>
        <v>0</v>
      </c>
      <c r="G579" s="26">
        <f>IF(ISNA(MATCH(A579,祝日定義!E:E,0)),0,1)</f>
        <v>0</v>
      </c>
      <c r="H579" s="26">
        <f>IF(ISNA(MATCH(B579&amp;"/"&amp;C579,そのた定義!E:E,0)), 0, 1)</f>
        <v>0</v>
      </c>
      <c r="I579" s="26" t="b">
        <f t="shared" ref="I579:I642" si="88">SUM(F579:H579)&gt;0</f>
        <v>0</v>
      </c>
      <c r="J579" s="26">
        <v>0</v>
      </c>
      <c r="K579" s="26" t="b">
        <f t="shared" si="83"/>
        <v>0</v>
      </c>
      <c r="L579" s="26" t="b">
        <f t="shared" si="84"/>
        <v>0</v>
      </c>
      <c r="M579" t="b">
        <f t="shared" ref="M579:M642" si="89">B579&lt;&gt;MONTH(A579-J579)</f>
        <v>0</v>
      </c>
      <c r="N579" t="b">
        <f t="shared" ref="N579:N642" si="90">B579&lt;&gt;MONTH(A579+1)</f>
        <v>0</v>
      </c>
    </row>
    <row r="580" spans="1:14">
      <c r="A580" s="29">
        <v>45140</v>
      </c>
      <c r="B580" s="30">
        <f t="shared" si="82"/>
        <v>8</v>
      </c>
      <c r="C580" s="30">
        <f t="shared" si="85"/>
        <v>2</v>
      </c>
      <c r="D580" s="26">
        <f>MATCH(WEEKDAY(A580),そのた定義!A:A,0)</f>
        <v>5</v>
      </c>
      <c r="E580" s="26" t="str">
        <f t="shared" ca="1" si="86"/>
        <v>水</v>
      </c>
      <c r="F580" s="26">
        <f t="shared" si="87"/>
        <v>0</v>
      </c>
      <c r="G580" s="26">
        <f>IF(ISNA(MATCH(A580,祝日定義!E:E,0)),0,1)</f>
        <v>0</v>
      </c>
      <c r="H580" s="26">
        <f>IF(ISNA(MATCH(B580&amp;"/"&amp;C580,そのた定義!E:E,0)), 0, 1)</f>
        <v>0</v>
      </c>
      <c r="I580" s="26" t="b">
        <f t="shared" si="88"/>
        <v>0</v>
      </c>
      <c r="J580" s="26">
        <v>0</v>
      </c>
      <c r="K580" s="26" t="b">
        <f t="shared" si="83"/>
        <v>0</v>
      </c>
      <c r="L580" s="26" t="b">
        <f t="shared" si="84"/>
        <v>0</v>
      </c>
      <c r="M580" t="b">
        <f t="shared" si="89"/>
        <v>0</v>
      </c>
      <c r="N580" t="b">
        <f t="shared" si="90"/>
        <v>0</v>
      </c>
    </row>
    <row r="581" spans="1:14">
      <c r="A581" s="29">
        <v>45141</v>
      </c>
      <c r="B581" s="30">
        <f t="shared" si="82"/>
        <v>8</v>
      </c>
      <c r="C581" s="30">
        <f t="shared" si="85"/>
        <v>3</v>
      </c>
      <c r="D581" s="26">
        <f>MATCH(WEEKDAY(A581),そのた定義!A:A,0)</f>
        <v>6</v>
      </c>
      <c r="E581" s="26" t="str">
        <f t="shared" ca="1" si="86"/>
        <v>木</v>
      </c>
      <c r="F581" s="26">
        <f t="shared" si="87"/>
        <v>0</v>
      </c>
      <c r="G581" s="26">
        <f>IF(ISNA(MATCH(A581,祝日定義!E:E,0)),0,1)</f>
        <v>0</v>
      </c>
      <c r="H581" s="26">
        <f>IF(ISNA(MATCH(B581&amp;"/"&amp;C581,そのた定義!E:E,0)), 0, 1)</f>
        <v>0</v>
      </c>
      <c r="I581" s="26" t="b">
        <f t="shared" si="88"/>
        <v>0</v>
      </c>
      <c r="J581" s="26">
        <v>0</v>
      </c>
      <c r="K581" s="26" t="b">
        <f t="shared" si="83"/>
        <v>0</v>
      </c>
      <c r="L581" s="26" t="b">
        <f t="shared" si="84"/>
        <v>0</v>
      </c>
      <c r="M581" t="b">
        <f t="shared" si="89"/>
        <v>0</v>
      </c>
      <c r="N581" t="b">
        <f t="shared" si="90"/>
        <v>0</v>
      </c>
    </row>
    <row r="582" spans="1:14">
      <c r="A582" s="29">
        <v>45142</v>
      </c>
      <c r="B582" s="30">
        <f t="shared" si="82"/>
        <v>8</v>
      </c>
      <c r="C582" s="30">
        <f t="shared" si="85"/>
        <v>4</v>
      </c>
      <c r="D582" s="26">
        <f>MATCH(WEEKDAY(A582),そのた定義!A:A,0)</f>
        <v>7</v>
      </c>
      <c r="E582" s="26" t="str">
        <f t="shared" ca="1" si="86"/>
        <v>金</v>
      </c>
      <c r="F582" s="26">
        <f t="shared" si="87"/>
        <v>0</v>
      </c>
      <c r="G582" s="26">
        <f>IF(ISNA(MATCH(A582,祝日定義!E:E,0)),0,1)</f>
        <v>0</v>
      </c>
      <c r="H582" s="26">
        <f>IF(ISNA(MATCH(B582&amp;"/"&amp;C582,そのた定義!E:E,0)), 0, 1)</f>
        <v>0</v>
      </c>
      <c r="I582" s="26" t="b">
        <f t="shared" si="88"/>
        <v>0</v>
      </c>
      <c r="J582" s="26">
        <v>0</v>
      </c>
      <c r="K582" s="26" t="b">
        <f t="shared" si="83"/>
        <v>0</v>
      </c>
      <c r="L582" s="26" t="b">
        <f t="shared" si="84"/>
        <v>0</v>
      </c>
      <c r="M582" t="b">
        <f t="shared" si="89"/>
        <v>0</v>
      </c>
      <c r="N582" t="b">
        <f t="shared" si="90"/>
        <v>0</v>
      </c>
    </row>
    <row r="583" spans="1:14">
      <c r="A583" s="29">
        <v>45143</v>
      </c>
      <c r="B583" s="30">
        <f t="shared" si="82"/>
        <v>8</v>
      </c>
      <c r="C583" s="30">
        <f t="shared" si="85"/>
        <v>5</v>
      </c>
      <c r="D583" s="26">
        <f>MATCH(WEEKDAY(A583),そのた定義!A:A,0)</f>
        <v>8</v>
      </c>
      <c r="E583" s="33" t="str">
        <f t="shared" ca="1" si="86"/>
        <v>土</v>
      </c>
      <c r="F583" s="26">
        <f t="shared" si="87"/>
        <v>1</v>
      </c>
      <c r="G583" s="26">
        <f>IF(ISNA(MATCH(A583,祝日定義!E:E,0)),0,1)</f>
        <v>0</v>
      </c>
      <c r="H583" s="26">
        <f>IF(ISNA(MATCH(B583&amp;"/"&amp;C583,そのた定義!E:E,0)), 0, 1)</f>
        <v>0</v>
      </c>
      <c r="I583" s="23" t="b">
        <f t="shared" si="88"/>
        <v>1</v>
      </c>
      <c r="J583" s="26">
        <v>0</v>
      </c>
      <c r="K583" s="26" t="b">
        <f t="shared" si="83"/>
        <v>0</v>
      </c>
      <c r="L583" s="26" t="b">
        <f t="shared" si="84"/>
        <v>0</v>
      </c>
      <c r="M583" t="b">
        <f t="shared" si="89"/>
        <v>0</v>
      </c>
      <c r="N583" t="b">
        <f t="shared" si="90"/>
        <v>0</v>
      </c>
    </row>
    <row r="584" spans="1:14">
      <c r="A584" s="29">
        <v>45144</v>
      </c>
      <c r="B584" s="30">
        <f t="shared" si="82"/>
        <v>8</v>
      </c>
      <c r="C584" s="30">
        <f t="shared" si="85"/>
        <v>6</v>
      </c>
      <c r="D584" s="26">
        <f>MATCH(WEEKDAY(A584),そのた定義!A:A,0)</f>
        <v>2</v>
      </c>
      <c r="E584" s="32" t="str">
        <f t="shared" ca="1" si="86"/>
        <v>日</v>
      </c>
      <c r="F584" s="26">
        <f t="shared" si="87"/>
        <v>1</v>
      </c>
      <c r="G584" s="26">
        <f>IF(ISNA(MATCH(A584,祝日定義!E:E,0)),0,1)</f>
        <v>0</v>
      </c>
      <c r="H584" s="26">
        <f>IF(ISNA(MATCH(B584&amp;"/"&amp;C584,そのた定義!E:E,0)), 0, 1)</f>
        <v>0</v>
      </c>
      <c r="I584" s="23" t="b">
        <f t="shared" si="88"/>
        <v>1</v>
      </c>
      <c r="J584" s="26">
        <v>0</v>
      </c>
      <c r="K584" s="26" t="b">
        <f t="shared" si="83"/>
        <v>0</v>
      </c>
      <c r="L584" s="26" t="b">
        <f t="shared" si="84"/>
        <v>0</v>
      </c>
      <c r="M584" t="b">
        <f t="shared" si="89"/>
        <v>0</v>
      </c>
      <c r="N584" t="b">
        <f t="shared" si="90"/>
        <v>0</v>
      </c>
    </row>
    <row r="585" spans="1:14">
      <c r="A585" s="29">
        <v>45145</v>
      </c>
      <c r="B585" s="30">
        <f t="shared" si="82"/>
        <v>8</v>
      </c>
      <c r="C585" s="30">
        <f t="shared" si="85"/>
        <v>7</v>
      </c>
      <c r="D585" s="26">
        <f>MATCH(WEEKDAY(A585),そのた定義!A:A,0)</f>
        <v>3</v>
      </c>
      <c r="E585" s="26" t="str">
        <f t="shared" ca="1" si="86"/>
        <v>月</v>
      </c>
      <c r="F585" s="26">
        <f t="shared" si="87"/>
        <v>0</v>
      </c>
      <c r="G585" s="26">
        <f>IF(ISNA(MATCH(A585,祝日定義!E:E,0)),0,1)</f>
        <v>0</v>
      </c>
      <c r="H585" s="26">
        <f>IF(ISNA(MATCH(B585&amp;"/"&amp;C585,そのた定義!E:E,0)), 0, 1)</f>
        <v>0</v>
      </c>
      <c r="I585" s="26" t="b">
        <f t="shared" si="88"/>
        <v>0</v>
      </c>
      <c r="J585" s="26">
        <v>2</v>
      </c>
      <c r="K585" s="26" t="b">
        <f t="shared" si="83"/>
        <v>0</v>
      </c>
      <c r="L585" s="26" t="b">
        <f t="shared" si="84"/>
        <v>0</v>
      </c>
      <c r="M585" t="b">
        <f t="shared" si="89"/>
        <v>0</v>
      </c>
      <c r="N585" t="b">
        <f t="shared" si="90"/>
        <v>0</v>
      </c>
    </row>
    <row r="586" spans="1:14">
      <c r="A586" s="29">
        <v>45146</v>
      </c>
      <c r="B586" s="30">
        <f t="shared" si="82"/>
        <v>8</v>
      </c>
      <c r="C586" s="30">
        <f t="shared" si="85"/>
        <v>8</v>
      </c>
      <c r="D586" s="26">
        <f>MATCH(WEEKDAY(A586),そのた定義!A:A,0)</f>
        <v>4</v>
      </c>
      <c r="E586" s="26" t="str">
        <f t="shared" ca="1" si="86"/>
        <v>火</v>
      </c>
      <c r="F586" s="26">
        <f t="shared" si="87"/>
        <v>0</v>
      </c>
      <c r="G586" s="26">
        <f>IF(ISNA(MATCH(A586,祝日定義!E:E,0)),0,1)</f>
        <v>0</v>
      </c>
      <c r="H586" s="26">
        <f>IF(ISNA(MATCH(B586&amp;"/"&amp;C586,そのた定義!E:E,0)), 0, 1)</f>
        <v>0</v>
      </c>
      <c r="I586" s="26" t="b">
        <f t="shared" si="88"/>
        <v>0</v>
      </c>
      <c r="J586" s="26">
        <v>0</v>
      </c>
      <c r="K586" s="26" t="b">
        <f t="shared" si="83"/>
        <v>0</v>
      </c>
      <c r="L586" s="26" t="b">
        <f t="shared" si="84"/>
        <v>0</v>
      </c>
      <c r="M586" t="b">
        <f t="shared" si="89"/>
        <v>0</v>
      </c>
      <c r="N586" t="b">
        <f t="shared" si="90"/>
        <v>0</v>
      </c>
    </row>
    <row r="587" spans="1:14">
      <c r="A587" s="29">
        <v>45147</v>
      </c>
      <c r="B587" s="30">
        <f t="shared" si="82"/>
        <v>8</v>
      </c>
      <c r="C587" s="30">
        <f t="shared" si="85"/>
        <v>9</v>
      </c>
      <c r="D587" s="26">
        <f>MATCH(WEEKDAY(A587),そのた定義!A:A,0)</f>
        <v>5</v>
      </c>
      <c r="E587" s="26" t="str">
        <f t="shared" ca="1" si="86"/>
        <v>水</v>
      </c>
      <c r="F587" s="26">
        <f t="shared" si="87"/>
        <v>0</v>
      </c>
      <c r="G587" s="26">
        <f>IF(ISNA(MATCH(A587,祝日定義!E:E,0)),0,1)</f>
        <v>0</v>
      </c>
      <c r="H587" s="26">
        <f>IF(ISNA(MATCH(B587&amp;"/"&amp;C587,そのた定義!E:E,0)), 0, 1)</f>
        <v>0</v>
      </c>
      <c r="I587" s="26" t="b">
        <f t="shared" si="88"/>
        <v>0</v>
      </c>
      <c r="J587" s="26">
        <v>0</v>
      </c>
      <c r="K587" s="26" t="b">
        <f t="shared" si="83"/>
        <v>0</v>
      </c>
      <c r="L587" s="26" t="b">
        <f t="shared" si="84"/>
        <v>0</v>
      </c>
      <c r="M587" t="b">
        <f t="shared" si="89"/>
        <v>0</v>
      </c>
      <c r="N587" t="b">
        <f t="shared" si="90"/>
        <v>0</v>
      </c>
    </row>
    <row r="588" spans="1:14">
      <c r="A588" s="29">
        <v>45148</v>
      </c>
      <c r="B588" s="30">
        <f t="shared" si="82"/>
        <v>8</v>
      </c>
      <c r="C588" s="30">
        <f t="shared" si="85"/>
        <v>10</v>
      </c>
      <c r="D588" s="26">
        <f>MATCH(WEEKDAY(A588),そのた定義!A:A,0)</f>
        <v>6</v>
      </c>
      <c r="E588" s="26" t="str">
        <f t="shared" ca="1" si="86"/>
        <v>木</v>
      </c>
      <c r="F588" s="26">
        <f t="shared" si="87"/>
        <v>0</v>
      </c>
      <c r="G588" s="26">
        <f>IF(ISNA(MATCH(A588,祝日定義!E:E,0)),0,1)</f>
        <v>0</v>
      </c>
      <c r="H588" s="26">
        <f>IF(ISNA(MATCH(B588&amp;"/"&amp;C588,そのた定義!E:E,0)), 0, 1)</f>
        <v>0</v>
      </c>
      <c r="I588" s="26" t="b">
        <f t="shared" si="88"/>
        <v>0</v>
      </c>
      <c r="J588" s="26">
        <v>0</v>
      </c>
      <c r="K588" s="26" t="b">
        <f t="shared" si="83"/>
        <v>0</v>
      </c>
      <c r="L588" s="26" t="b">
        <f t="shared" si="84"/>
        <v>0</v>
      </c>
      <c r="M588" t="b">
        <f t="shared" si="89"/>
        <v>0</v>
      </c>
      <c r="N588" t="b">
        <f t="shared" si="90"/>
        <v>0</v>
      </c>
    </row>
    <row r="589" spans="1:14">
      <c r="A589" s="29">
        <v>45149</v>
      </c>
      <c r="B589" s="30">
        <f t="shared" si="82"/>
        <v>8</v>
      </c>
      <c r="C589" s="30">
        <f t="shared" si="85"/>
        <v>11</v>
      </c>
      <c r="D589" s="26">
        <f>MATCH(WEEKDAY(A589),そのた定義!A:A,0)</f>
        <v>7</v>
      </c>
      <c r="E589" s="31" t="str">
        <f t="shared" ca="1" si="86"/>
        <v>金</v>
      </c>
      <c r="F589" s="26">
        <f t="shared" si="87"/>
        <v>0</v>
      </c>
      <c r="G589" s="26">
        <f>IF(ISNA(MATCH(A589,祝日定義!E:E,0)),0,1)</f>
        <v>1</v>
      </c>
      <c r="H589" s="26">
        <f>IF(ISNA(MATCH(B589&amp;"/"&amp;C589,そのた定義!E:E,0)), 0, 1)</f>
        <v>0</v>
      </c>
      <c r="I589" s="23" t="b">
        <f t="shared" si="88"/>
        <v>1</v>
      </c>
      <c r="J589" s="26">
        <v>0</v>
      </c>
      <c r="K589" s="26" t="b">
        <f t="shared" si="83"/>
        <v>0</v>
      </c>
      <c r="L589" s="26" t="b">
        <f t="shared" si="84"/>
        <v>0</v>
      </c>
      <c r="M589" t="b">
        <f t="shared" si="89"/>
        <v>0</v>
      </c>
      <c r="N589" t="b">
        <f t="shared" si="90"/>
        <v>0</v>
      </c>
    </row>
    <row r="590" spans="1:14">
      <c r="A590" s="29">
        <v>45150</v>
      </c>
      <c r="B590" s="30">
        <f t="shared" si="82"/>
        <v>8</v>
      </c>
      <c r="C590" s="30">
        <f t="shared" si="85"/>
        <v>12</v>
      </c>
      <c r="D590" s="26">
        <f>MATCH(WEEKDAY(A590),そのた定義!A:A,0)</f>
        <v>8</v>
      </c>
      <c r="E590" s="33" t="str">
        <f t="shared" ca="1" si="86"/>
        <v>土</v>
      </c>
      <c r="F590" s="26">
        <f t="shared" si="87"/>
        <v>1</v>
      </c>
      <c r="G590" s="26">
        <f>IF(ISNA(MATCH(A590,祝日定義!E:E,0)),0,1)</f>
        <v>0</v>
      </c>
      <c r="H590" s="26">
        <f>IF(ISNA(MATCH(B590&amp;"/"&amp;C590,そのた定義!E:E,0)), 0, 1)</f>
        <v>0</v>
      </c>
      <c r="I590" s="23" t="b">
        <f t="shared" si="88"/>
        <v>1</v>
      </c>
      <c r="J590" s="26">
        <v>0</v>
      </c>
      <c r="K590" s="26" t="b">
        <f t="shared" si="83"/>
        <v>0</v>
      </c>
      <c r="L590" s="26" t="b">
        <f t="shared" si="84"/>
        <v>0</v>
      </c>
      <c r="M590" t="b">
        <f t="shared" si="89"/>
        <v>0</v>
      </c>
      <c r="N590" t="b">
        <f t="shared" si="90"/>
        <v>0</v>
      </c>
    </row>
    <row r="591" spans="1:14">
      <c r="A591" s="29">
        <v>45151</v>
      </c>
      <c r="B591" s="30">
        <f t="shared" si="82"/>
        <v>8</v>
      </c>
      <c r="C591" s="30">
        <f t="shared" si="85"/>
        <v>13</v>
      </c>
      <c r="D591" s="26">
        <f>MATCH(WEEKDAY(A591),そのた定義!A:A,0)</f>
        <v>2</v>
      </c>
      <c r="E591" s="32" t="str">
        <f t="shared" ca="1" si="86"/>
        <v>日</v>
      </c>
      <c r="F591" s="26">
        <f t="shared" si="87"/>
        <v>1</v>
      </c>
      <c r="G591" s="26">
        <f>IF(ISNA(MATCH(A591,祝日定義!E:E,0)),0,1)</f>
        <v>0</v>
      </c>
      <c r="H591" s="26">
        <f>IF(ISNA(MATCH(B591&amp;"/"&amp;C591,そのた定義!E:E,0)), 0, 1)</f>
        <v>0</v>
      </c>
      <c r="I591" s="23" t="b">
        <f t="shared" si="88"/>
        <v>1</v>
      </c>
      <c r="J591" s="26">
        <v>0</v>
      </c>
      <c r="K591" s="26" t="b">
        <f t="shared" si="83"/>
        <v>0</v>
      </c>
      <c r="L591" s="26" t="b">
        <f t="shared" si="84"/>
        <v>0</v>
      </c>
      <c r="M591" t="b">
        <f t="shared" si="89"/>
        <v>0</v>
      </c>
      <c r="N591" t="b">
        <f t="shared" si="90"/>
        <v>0</v>
      </c>
    </row>
    <row r="592" spans="1:14">
      <c r="A592" s="29">
        <v>45152</v>
      </c>
      <c r="B592" s="30">
        <f t="shared" si="82"/>
        <v>8</v>
      </c>
      <c r="C592" s="30">
        <f t="shared" si="85"/>
        <v>14</v>
      </c>
      <c r="D592" s="26">
        <f>MATCH(WEEKDAY(A592),そのた定義!A:A,0)</f>
        <v>3</v>
      </c>
      <c r="E592" s="26" t="str">
        <f t="shared" ca="1" si="86"/>
        <v>月</v>
      </c>
      <c r="F592" s="26">
        <f t="shared" si="87"/>
        <v>0</v>
      </c>
      <c r="G592" s="26">
        <f>IF(ISNA(MATCH(A592,祝日定義!E:E,0)),0,1)</f>
        <v>0</v>
      </c>
      <c r="H592" s="26">
        <f>IF(ISNA(MATCH(B592&amp;"/"&amp;C592,そのた定義!E:E,0)), 0, 1)</f>
        <v>0</v>
      </c>
      <c r="I592" s="26" t="b">
        <f t="shared" si="88"/>
        <v>0</v>
      </c>
      <c r="J592" s="26">
        <v>3</v>
      </c>
      <c r="K592" s="26" t="b">
        <f t="shared" si="83"/>
        <v>0</v>
      </c>
      <c r="L592" s="26" t="b">
        <f t="shared" si="84"/>
        <v>0</v>
      </c>
      <c r="M592" t="b">
        <f t="shared" si="89"/>
        <v>0</v>
      </c>
      <c r="N592" t="b">
        <f t="shared" si="90"/>
        <v>0</v>
      </c>
    </row>
    <row r="593" spans="1:14">
      <c r="A593" s="29">
        <v>45153</v>
      </c>
      <c r="B593" s="30">
        <f t="shared" si="82"/>
        <v>8</v>
      </c>
      <c r="C593" s="30">
        <f t="shared" si="85"/>
        <v>15</v>
      </c>
      <c r="D593" s="26">
        <f>MATCH(WEEKDAY(A593),そのた定義!A:A,0)</f>
        <v>4</v>
      </c>
      <c r="E593" s="26" t="str">
        <f t="shared" ca="1" si="86"/>
        <v>火</v>
      </c>
      <c r="F593" s="26">
        <f t="shared" si="87"/>
        <v>0</v>
      </c>
      <c r="G593" s="26">
        <f>IF(ISNA(MATCH(A593,祝日定義!E:E,0)),0,1)</f>
        <v>0</v>
      </c>
      <c r="H593" s="26">
        <f>IF(ISNA(MATCH(B593&amp;"/"&amp;C593,そのた定義!E:E,0)), 0, 1)</f>
        <v>0</v>
      </c>
      <c r="I593" s="26" t="b">
        <f t="shared" si="88"/>
        <v>0</v>
      </c>
      <c r="J593" s="26">
        <v>0</v>
      </c>
      <c r="K593" s="26" t="b">
        <f t="shared" si="83"/>
        <v>0</v>
      </c>
      <c r="L593" s="26" t="b">
        <f t="shared" si="84"/>
        <v>0</v>
      </c>
      <c r="M593" t="b">
        <f t="shared" si="89"/>
        <v>0</v>
      </c>
      <c r="N593" t="b">
        <f t="shared" si="90"/>
        <v>0</v>
      </c>
    </row>
    <row r="594" spans="1:14">
      <c r="A594" s="29">
        <v>45154</v>
      </c>
      <c r="B594" s="30">
        <f t="shared" si="82"/>
        <v>8</v>
      </c>
      <c r="C594" s="30">
        <f t="shared" si="85"/>
        <v>16</v>
      </c>
      <c r="D594" s="26">
        <f>MATCH(WEEKDAY(A594),そのた定義!A:A,0)</f>
        <v>5</v>
      </c>
      <c r="E594" s="26" t="str">
        <f t="shared" ca="1" si="86"/>
        <v>水</v>
      </c>
      <c r="F594" s="26">
        <f t="shared" si="87"/>
        <v>0</v>
      </c>
      <c r="G594" s="26">
        <f>IF(ISNA(MATCH(A594,祝日定義!E:E,0)),0,1)</f>
        <v>0</v>
      </c>
      <c r="H594" s="26">
        <f>IF(ISNA(MATCH(B594&amp;"/"&amp;C594,そのた定義!E:E,0)), 0, 1)</f>
        <v>0</v>
      </c>
      <c r="I594" s="26" t="b">
        <f t="shared" si="88"/>
        <v>0</v>
      </c>
      <c r="J594" s="26">
        <v>0</v>
      </c>
      <c r="K594" s="26" t="b">
        <f t="shared" si="83"/>
        <v>0</v>
      </c>
      <c r="L594" s="26" t="b">
        <f t="shared" si="84"/>
        <v>0</v>
      </c>
      <c r="M594" t="b">
        <f t="shared" si="89"/>
        <v>0</v>
      </c>
      <c r="N594" t="b">
        <f t="shared" si="90"/>
        <v>0</v>
      </c>
    </row>
    <row r="595" spans="1:14">
      <c r="A595" s="29">
        <v>45155</v>
      </c>
      <c r="B595" s="30">
        <f t="shared" si="82"/>
        <v>8</v>
      </c>
      <c r="C595" s="30">
        <f t="shared" si="85"/>
        <v>17</v>
      </c>
      <c r="D595" s="26">
        <f>MATCH(WEEKDAY(A595),そのた定義!A:A,0)</f>
        <v>6</v>
      </c>
      <c r="E595" s="26" t="str">
        <f t="shared" ca="1" si="86"/>
        <v>木</v>
      </c>
      <c r="F595" s="26">
        <f t="shared" si="87"/>
        <v>0</v>
      </c>
      <c r="G595" s="26">
        <f>IF(ISNA(MATCH(A595,祝日定義!E:E,0)),0,1)</f>
        <v>0</v>
      </c>
      <c r="H595" s="26">
        <f>IF(ISNA(MATCH(B595&amp;"/"&amp;C595,そのた定義!E:E,0)), 0, 1)</f>
        <v>0</v>
      </c>
      <c r="I595" s="26" t="b">
        <f t="shared" si="88"/>
        <v>0</v>
      </c>
      <c r="J595" s="26">
        <v>0</v>
      </c>
      <c r="K595" s="26" t="b">
        <f t="shared" si="83"/>
        <v>0</v>
      </c>
      <c r="L595" s="26" t="b">
        <f t="shared" si="84"/>
        <v>0</v>
      </c>
      <c r="M595" t="b">
        <f t="shared" si="89"/>
        <v>0</v>
      </c>
      <c r="N595" t="b">
        <f t="shared" si="90"/>
        <v>0</v>
      </c>
    </row>
    <row r="596" spans="1:14">
      <c r="A596" s="29">
        <v>45156</v>
      </c>
      <c r="B596" s="30">
        <f t="shared" si="82"/>
        <v>8</v>
      </c>
      <c r="C596" s="30">
        <f t="shared" si="85"/>
        <v>18</v>
      </c>
      <c r="D596" s="26">
        <f>MATCH(WEEKDAY(A596),そのた定義!A:A,0)</f>
        <v>7</v>
      </c>
      <c r="E596" s="26" t="str">
        <f t="shared" ca="1" si="86"/>
        <v>金</v>
      </c>
      <c r="F596" s="26">
        <f t="shared" si="87"/>
        <v>0</v>
      </c>
      <c r="G596" s="26">
        <f>IF(ISNA(MATCH(A596,祝日定義!E:E,0)),0,1)</f>
        <v>0</v>
      </c>
      <c r="H596" s="26">
        <f>IF(ISNA(MATCH(B596&amp;"/"&amp;C596,そのた定義!E:E,0)), 0, 1)</f>
        <v>0</v>
      </c>
      <c r="I596" s="26" t="b">
        <f t="shared" si="88"/>
        <v>0</v>
      </c>
      <c r="J596" s="26">
        <v>0</v>
      </c>
      <c r="K596" s="26" t="b">
        <f t="shared" si="83"/>
        <v>0</v>
      </c>
      <c r="L596" s="26" t="b">
        <f t="shared" si="84"/>
        <v>0</v>
      </c>
      <c r="M596" t="b">
        <f t="shared" si="89"/>
        <v>0</v>
      </c>
      <c r="N596" t="b">
        <f t="shared" si="90"/>
        <v>0</v>
      </c>
    </row>
    <row r="597" spans="1:14">
      <c r="A597" s="29">
        <v>45157</v>
      </c>
      <c r="B597" s="30">
        <f t="shared" si="82"/>
        <v>8</v>
      </c>
      <c r="C597" s="30">
        <f t="shared" si="85"/>
        <v>19</v>
      </c>
      <c r="D597" s="26">
        <f>MATCH(WEEKDAY(A597),そのた定義!A:A,0)</f>
        <v>8</v>
      </c>
      <c r="E597" s="33" t="str">
        <f t="shared" ca="1" si="86"/>
        <v>土</v>
      </c>
      <c r="F597" s="26">
        <f t="shared" si="87"/>
        <v>1</v>
      </c>
      <c r="G597" s="26">
        <f>IF(ISNA(MATCH(A597,祝日定義!E:E,0)),0,1)</f>
        <v>0</v>
      </c>
      <c r="H597" s="26">
        <f>IF(ISNA(MATCH(B597&amp;"/"&amp;C597,そのた定義!E:E,0)), 0, 1)</f>
        <v>0</v>
      </c>
      <c r="I597" s="23" t="b">
        <f t="shared" si="88"/>
        <v>1</v>
      </c>
      <c r="J597" s="26">
        <v>0</v>
      </c>
      <c r="K597" s="26" t="b">
        <f t="shared" si="83"/>
        <v>0</v>
      </c>
      <c r="L597" s="26" t="b">
        <f t="shared" si="84"/>
        <v>0</v>
      </c>
      <c r="M597" t="b">
        <f t="shared" si="89"/>
        <v>0</v>
      </c>
      <c r="N597" t="b">
        <f t="shared" si="90"/>
        <v>0</v>
      </c>
    </row>
    <row r="598" spans="1:14">
      <c r="A598" s="29">
        <v>45158</v>
      </c>
      <c r="B598" s="30">
        <f t="shared" si="82"/>
        <v>8</v>
      </c>
      <c r="C598" s="30">
        <f t="shared" si="85"/>
        <v>20</v>
      </c>
      <c r="D598" s="26">
        <f>MATCH(WEEKDAY(A598),そのた定義!A:A,0)</f>
        <v>2</v>
      </c>
      <c r="E598" s="32" t="str">
        <f t="shared" ca="1" si="86"/>
        <v>日</v>
      </c>
      <c r="F598" s="26">
        <f t="shared" si="87"/>
        <v>1</v>
      </c>
      <c r="G598" s="26">
        <f>IF(ISNA(MATCH(A598,祝日定義!E:E,0)),0,1)</f>
        <v>0</v>
      </c>
      <c r="H598" s="26">
        <f>IF(ISNA(MATCH(B598&amp;"/"&amp;C598,そのた定義!E:E,0)), 0, 1)</f>
        <v>0</v>
      </c>
      <c r="I598" s="23" t="b">
        <f t="shared" si="88"/>
        <v>1</v>
      </c>
      <c r="J598" s="26">
        <v>0</v>
      </c>
      <c r="K598" s="26" t="b">
        <f t="shared" si="83"/>
        <v>0</v>
      </c>
      <c r="L598" s="26" t="b">
        <f t="shared" si="84"/>
        <v>0</v>
      </c>
      <c r="M598" t="b">
        <f t="shared" si="89"/>
        <v>0</v>
      </c>
      <c r="N598" t="b">
        <f t="shared" si="90"/>
        <v>0</v>
      </c>
    </row>
    <row r="599" spans="1:14">
      <c r="A599" s="29">
        <v>45159</v>
      </c>
      <c r="B599" s="30">
        <f t="shared" si="82"/>
        <v>8</v>
      </c>
      <c r="C599" s="30">
        <f t="shared" si="85"/>
        <v>21</v>
      </c>
      <c r="D599" s="26">
        <f>MATCH(WEEKDAY(A599),そのた定義!A:A,0)</f>
        <v>3</v>
      </c>
      <c r="E599" s="26" t="str">
        <f t="shared" ca="1" si="86"/>
        <v>月</v>
      </c>
      <c r="F599" s="26">
        <f t="shared" si="87"/>
        <v>0</v>
      </c>
      <c r="G599" s="26">
        <f>IF(ISNA(MATCH(A599,祝日定義!E:E,0)),0,1)</f>
        <v>0</v>
      </c>
      <c r="H599" s="26">
        <f>IF(ISNA(MATCH(B599&amp;"/"&amp;C599,そのた定義!E:E,0)), 0, 1)</f>
        <v>0</v>
      </c>
      <c r="I599" s="26" t="b">
        <f t="shared" si="88"/>
        <v>0</v>
      </c>
      <c r="J599" s="26">
        <v>2</v>
      </c>
      <c r="K599" s="26" t="b">
        <f t="shared" si="83"/>
        <v>0</v>
      </c>
      <c r="L599" s="26" t="b">
        <f t="shared" si="84"/>
        <v>0</v>
      </c>
      <c r="M599" t="b">
        <f t="shared" si="89"/>
        <v>0</v>
      </c>
      <c r="N599" t="b">
        <f t="shared" si="90"/>
        <v>0</v>
      </c>
    </row>
    <row r="600" spans="1:14">
      <c r="A600" s="29">
        <v>45160</v>
      </c>
      <c r="B600" s="30">
        <f t="shared" si="82"/>
        <v>8</v>
      </c>
      <c r="C600" s="30">
        <f t="shared" si="85"/>
        <v>22</v>
      </c>
      <c r="D600" s="26">
        <f>MATCH(WEEKDAY(A600),そのた定義!A:A,0)</f>
        <v>4</v>
      </c>
      <c r="E600" s="26" t="str">
        <f t="shared" ca="1" si="86"/>
        <v>火</v>
      </c>
      <c r="F600" s="26">
        <f t="shared" si="87"/>
        <v>0</v>
      </c>
      <c r="G600" s="26">
        <f>IF(ISNA(MATCH(A600,祝日定義!E:E,0)),0,1)</f>
        <v>0</v>
      </c>
      <c r="H600" s="26">
        <f>IF(ISNA(MATCH(B600&amp;"/"&amp;C600,そのた定義!E:E,0)), 0, 1)</f>
        <v>0</v>
      </c>
      <c r="I600" s="26" t="b">
        <f t="shared" si="88"/>
        <v>0</v>
      </c>
      <c r="J600" s="26">
        <v>0</v>
      </c>
      <c r="K600" s="26" t="b">
        <f t="shared" si="83"/>
        <v>0</v>
      </c>
      <c r="L600" s="26" t="b">
        <f t="shared" si="84"/>
        <v>0</v>
      </c>
      <c r="M600" t="b">
        <f t="shared" si="89"/>
        <v>0</v>
      </c>
      <c r="N600" t="b">
        <f t="shared" si="90"/>
        <v>0</v>
      </c>
    </row>
    <row r="601" spans="1:14">
      <c r="A601" s="29">
        <v>45161</v>
      </c>
      <c r="B601" s="30">
        <f t="shared" si="82"/>
        <v>8</v>
      </c>
      <c r="C601" s="30">
        <f t="shared" si="85"/>
        <v>23</v>
      </c>
      <c r="D601" s="26">
        <f>MATCH(WEEKDAY(A601),そのた定義!A:A,0)</f>
        <v>5</v>
      </c>
      <c r="E601" s="26" t="str">
        <f t="shared" ca="1" si="86"/>
        <v>水</v>
      </c>
      <c r="F601" s="26">
        <f t="shared" si="87"/>
        <v>0</v>
      </c>
      <c r="G601" s="26">
        <f>IF(ISNA(MATCH(A601,祝日定義!E:E,0)),0,1)</f>
        <v>0</v>
      </c>
      <c r="H601" s="26">
        <f>IF(ISNA(MATCH(B601&amp;"/"&amp;C601,そのた定義!E:E,0)), 0, 1)</f>
        <v>0</v>
      </c>
      <c r="I601" s="26" t="b">
        <f t="shared" si="88"/>
        <v>0</v>
      </c>
      <c r="J601" s="26">
        <v>0</v>
      </c>
      <c r="K601" s="26" t="b">
        <f t="shared" si="83"/>
        <v>0</v>
      </c>
      <c r="L601" s="26" t="b">
        <f t="shared" si="84"/>
        <v>0</v>
      </c>
      <c r="M601" t="b">
        <f t="shared" si="89"/>
        <v>0</v>
      </c>
      <c r="N601" t="b">
        <f t="shared" si="90"/>
        <v>0</v>
      </c>
    </row>
    <row r="602" spans="1:14">
      <c r="A602" s="29">
        <v>45162</v>
      </c>
      <c r="B602" s="30">
        <f t="shared" si="82"/>
        <v>8</v>
      </c>
      <c r="C602" s="30">
        <f t="shared" si="85"/>
        <v>24</v>
      </c>
      <c r="D602" s="26">
        <f>MATCH(WEEKDAY(A602),そのた定義!A:A,0)</f>
        <v>6</v>
      </c>
      <c r="E602" s="26" t="str">
        <f t="shared" ca="1" si="86"/>
        <v>木</v>
      </c>
      <c r="F602" s="26">
        <f t="shared" si="87"/>
        <v>0</v>
      </c>
      <c r="G602" s="26">
        <f>IF(ISNA(MATCH(A602,祝日定義!E:E,0)),0,1)</f>
        <v>0</v>
      </c>
      <c r="H602" s="26">
        <f>IF(ISNA(MATCH(B602&amp;"/"&amp;C602,そのた定義!E:E,0)), 0, 1)</f>
        <v>0</v>
      </c>
      <c r="I602" s="26" t="b">
        <f t="shared" si="88"/>
        <v>0</v>
      </c>
      <c r="J602" s="26">
        <v>0</v>
      </c>
      <c r="K602" s="26" t="b">
        <f t="shared" si="83"/>
        <v>0</v>
      </c>
      <c r="L602" s="26" t="b">
        <f t="shared" si="84"/>
        <v>0</v>
      </c>
      <c r="M602" t="b">
        <f t="shared" si="89"/>
        <v>0</v>
      </c>
      <c r="N602" t="b">
        <f t="shared" si="90"/>
        <v>0</v>
      </c>
    </row>
    <row r="603" spans="1:14">
      <c r="A603" s="29">
        <v>45163</v>
      </c>
      <c r="B603" s="30">
        <f t="shared" si="82"/>
        <v>8</v>
      </c>
      <c r="C603" s="30">
        <f t="shared" si="85"/>
        <v>25</v>
      </c>
      <c r="D603" s="26">
        <f>MATCH(WEEKDAY(A603),そのた定義!A:A,0)</f>
        <v>7</v>
      </c>
      <c r="E603" s="26" t="str">
        <f t="shared" ca="1" si="86"/>
        <v>金</v>
      </c>
      <c r="F603" s="26">
        <f t="shared" si="87"/>
        <v>0</v>
      </c>
      <c r="G603" s="26">
        <f>IF(ISNA(MATCH(A603,祝日定義!E:E,0)),0,1)</f>
        <v>0</v>
      </c>
      <c r="H603" s="26">
        <f>IF(ISNA(MATCH(B603&amp;"/"&amp;C603,そのた定義!E:E,0)), 0, 1)</f>
        <v>0</v>
      </c>
      <c r="I603" s="26" t="b">
        <f t="shared" si="88"/>
        <v>0</v>
      </c>
      <c r="J603" s="26">
        <v>0</v>
      </c>
      <c r="K603" s="26" t="b">
        <f t="shared" si="83"/>
        <v>0</v>
      </c>
      <c r="L603" s="23" t="b">
        <f t="shared" si="84"/>
        <v>1</v>
      </c>
      <c r="M603" t="b">
        <f t="shared" si="89"/>
        <v>0</v>
      </c>
      <c r="N603" t="b">
        <f t="shared" si="90"/>
        <v>0</v>
      </c>
    </row>
    <row r="604" spans="1:14">
      <c r="A604" s="29">
        <v>45164</v>
      </c>
      <c r="B604" s="30">
        <f t="shared" si="82"/>
        <v>8</v>
      </c>
      <c r="C604" s="30">
        <f t="shared" si="85"/>
        <v>26</v>
      </c>
      <c r="D604" s="26">
        <f>MATCH(WEEKDAY(A604),そのた定義!A:A,0)</f>
        <v>8</v>
      </c>
      <c r="E604" s="33" t="str">
        <f t="shared" ca="1" si="86"/>
        <v>土</v>
      </c>
      <c r="F604" s="26">
        <f t="shared" si="87"/>
        <v>1</v>
      </c>
      <c r="G604" s="26">
        <f>IF(ISNA(MATCH(A604,祝日定義!E:E,0)),0,1)</f>
        <v>0</v>
      </c>
      <c r="H604" s="26">
        <f>IF(ISNA(MATCH(B604&amp;"/"&amp;C604,そのた定義!E:E,0)), 0, 1)</f>
        <v>0</v>
      </c>
      <c r="I604" s="23" t="b">
        <f t="shared" si="88"/>
        <v>1</v>
      </c>
      <c r="J604" s="26">
        <v>0</v>
      </c>
      <c r="K604" s="26" t="b">
        <f t="shared" si="83"/>
        <v>0</v>
      </c>
      <c r="L604" s="26" t="b">
        <f t="shared" si="84"/>
        <v>0</v>
      </c>
      <c r="M604" t="b">
        <f t="shared" si="89"/>
        <v>0</v>
      </c>
      <c r="N604" t="b">
        <f t="shared" si="90"/>
        <v>0</v>
      </c>
    </row>
    <row r="605" spans="1:14">
      <c r="A605" s="29">
        <v>45165</v>
      </c>
      <c r="B605" s="30">
        <f t="shared" si="82"/>
        <v>8</v>
      </c>
      <c r="C605" s="30">
        <f t="shared" si="85"/>
        <v>27</v>
      </c>
      <c r="D605" s="26">
        <f>MATCH(WEEKDAY(A605),そのた定義!A:A,0)</f>
        <v>2</v>
      </c>
      <c r="E605" s="32" t="str">
        <f t="shared" ca="1" si="86"/>
        <v>日</v>
      </c>
      <c r="F605" s="26">
        <f t="shared" si="87"/>
        <v>1</v>
      </c>
      <c r="G605" s="26">
        <f>IF(ISNA(MATCH(A605,祝日定義!E:E,0)),0,1)</f>
        <v>0</v>
      </c>
      <c r="H605" s="26">
        <f>IF(ISNA(MATCH(B605&amp;"/"&amp;C605,そのた定義!E:E,0)), 0, 1)</f>
        <v>0</v>
      </c>
      <c r="I605" s="23" t="b">
        <f t="shared" si="88"/>
        <v>1</v>
      </c>
      <c r="J605" s="26">
        <v>0</v>
      </c>
      <c r="K605" s="26" t="b">
        <f t="shared" si="83"/>
        <v>0</v>
      </c>
      <c r="L605" s="26" t="b">
        <f t="shared" si="84"/>
        <v>0</v>
      </c>
      <c r="M605" t="b">
        <f t="shared" si="89"/>
        <v>0</v>
      </c>
      <c r="N605" t="b">
        <f t="shared" si="90"/>
        <v>0</v>
      </c>
    </row>
    <row r="606" spans="1:14">
      <c r="A606" s="29">
        <v>45166</v>
      </c>
      <c r="B606" s="30">
        <f t="shared" si="82"/>
        <v>8</v>
      </c>
      <c r="C606" s="30">
        <f t="shared" si="85"/>
        <v>28</v>
      </c>
      <c r="D606" s="26">
        <f>MATCH(WEEKDAY(A606),そのた定義!A:A,0)</f>
        <v>3</v>
      </c>
      <c r="E606" s="26" t="str">
        <f t="shared" ca="1" si="86"/>
        <v>月</v>
      </c>
      <c r="F606" s="26">
        <f t="shared" si="87"/>
        <v>0</v>
      </c>
      <c r="G606" s="26">
        <f>IF(ISNA(MATCH(A606,祝日定義!E:E,0)),0,1)</f>
        <v>0</v>
      </c>
      <c r="H606" s="26">
        <f>IF(ISNA(MATCH(B606&amp;"/"&amp;C606,そのた定義!E:E,0)), 0, 1)</f>
        <v>0</v>
      </c>
      <c r="I606" s="26" t="b">
        <f t="shared" si="88"/>
        <v>0</v>
      </c>
      <c r="J606" s="26">
        <v>2</v>
      </c>
      <c r="K606" s="26" t="b">
        <f t="shared" si="83"/>
        <v>0</v>
      </c>
      <c r="L606" s="26" t="b">
        <f t="shared" si="84"/>
        <v>0</v>
      </c>
      <c r="M606" t="b">
        <f t="shared" si="89"/>
        <v>0</v>
      </c>
      <c r="N606" t="b">
        <f t="shared" si="90"/>
        <v>0</v>
      </c>
    </row>
    <row r="607" spans="1:14">
      <c r="A607" s="29">
        <v>45167</v>
      </c>
      <c r="B607" s="30">
        <f t="shared" si="82"/>
        <v>8</v>
      </c>
      <c r="C607" s="30">
        <f t="shared" si="85"/>
        <v>29</v>
      </c>
      <c r="D607" s="26">
        <f>MATCH(WEEKDAY(A607),そのた定義!A:A,0)</f>
        <v>4</v>
      </c>
      <c r="E607" s="26" t="str">
        <f t="shared" ca="1" si="86"/>
        <v>火</v>
      </c>
      <c r="F607" s="26">
        <f t="shared" si="87"/>
        <v>0</v>
      </c>
      <c r="G607" s="26">
        <f>IF(ISNA(MATCH(A607,祝日定義!E:E,0)),0,1)</f>
        <v>0</v>
      </c>
      <c r="H607" s="26">
        <f>IF(ISNA(MATCH(B607&amp;"/"&amp;C607,そのた定義!E:E,0)), 0, 1)</f>
        <v>0</v>
      </c>
      <c r="I607" s="26" t="b">
        <f t="shared" si="88"/>
        <v>0</v>
      </c>
      <c r="J607" s="26">
        <v>0</v>
      </c>
      <c r="K607" s="26" t="b">
        <f t="shared" si="83"/>
        <v>0</v>
      </c>
      <c r="L607" s="26" t="b">
        <f t="shared" si="84"/>
        <v>0</v>
      </c>
      <c r="M607" t="b">
        <f t="shared" si="89"/>
        <v>0</v>
      </c>
      <c r="N607" t="b">
        <f t="shared" si="90"/>
        <v>0</v>
      </c>
    </row>
    <row r="608" spans="1:14">
      <c r="A608" s="29">
        <v>45168</v>
      </c>
      <c r="B608" s="30">
        <f t="shared" si="82"/>
        <v>8</v>
      </c>
      <c r="C608" s="30">
        <f t="shared" si="85"/>
        <v>30</v>
      </c>
      <c r="D608" s="26">
        <f>MATCH(WEEKDAY(A608),そのた定義!A:A,0)</f>
        <v>5</v>
      </c>
      <c r="E608" s="26" t="str">
        <f t="shared" ca="1" si="86"/>
        <v>水</v>
      </c>
      <c r="F608" s="26">
        <f t="shared" si="87"/>
        <v>0</v>
      </c>
      <c r="G608" s="26">
        <f>IF(ISNA(MATCH(A608,祝日定義!E:E,0)),0,1)</f>
        <v>0</v>
      </c>
      <c r="H608" s="26">
        <f>IF(ISNA(MATCH(B608&amp;"/"&amp;C608,そのた定義!E:E,0)), 0, 1)</f>
        <v>0</v>
      </c>
      <c r="I608" s="26" t="b">
        <f t="shared" si="88"/>
        <v>0</v>
      </c>
      <c r="J608" s="26">
        <v>0</v>
      </c>
      <c r="K608" s="26" t="b">
        <f t="shared" si="83"/>
        <v>0</v>
      </c>
      <c r="L608" s="26" t="b">
        <f t="shared" si="84"/>
        <v>0</v>
      </c>
      <c r="M608" t="b">
        <f t="shared" si="89"/>
        <v>0</v>
      </c>
      <c r="N608" t="b">
        <f t="shared" si="90"/>
        <v>0</v>
      </c>
    </row>
    <row r="609" spans="1:14">
      <c r="A609" s="29">
        <v>45169</v>
      </c>
      <c r="B609" s="30">
        <f t="shared" si="82"/>
        <v>8</v>
      </c>
      <c r="C609" s="30">
        <f t="shared" si="85"/>
        <v>31</v>
      </c>
      <c r="D609" s="26">
        <f>MATCH(WEEKDAY(A609),そのた定義!A:A,0)</f>
        <v>6</v>
      </c>
      <c r="E609" s="26" t="str">
        <f t="shared" ca="1" si="86"/>
        <v>木</v>
      </c>
      <c r="F609" s="26">
        <f t="shared" si="87"/>
        <v>0</v>
      </c>
      <c r="G609" s="26">
        <f>IF(ISNA(MATCH(A609,祝日定義!E:E,0)),0,1)</f>
        <v>0</v>
      </c>
      <c r="H609" s="26">
        <f>IF(ISNA(MATCH(B609&amp;"/"&amp;C609,そのた定義!E:E,0)), 0, 1)</f>
        <v>0</v>
      </c>
      <c r="I609" s="26" t="b">
        <f t="shared" si="88"/>
        <v>0</v>
      </c>
      <c r="J609" s="26">
        <v>0</v>
      </c>
      <c r="K609" s="26" t="b">
        <f t="shared" si="83"/>
        <v>0</v>
      </c>
      <c r="L609" s="26" t="b">
        <f t="shared" si="84"/>
        <v>0</v>
      </c>
      <c r="M609" t="b">
        <f t="shared" si="89"/>
        <v>0</v>
      </c>
      <c r="N609" t="b">
        <f t="shared" si="90"/>
        <v>1</v>
      </c>
    </row>
    <row r="610" spans="1:14">
      <c r="A610" s="29">
        <v>45170</v>
      </c>
      <c r="B610" s="30">
        <f t="shared" si="82"/>
        <v>9</v>
      </c>
      <c r="C610" s="30">
        <f t="shared" si="85"/>
        <v>1</v>
      </c>
      <c r="D610" s="26">
        <f>MATCH(WEEKDAY(A610),そのた定義!A:A,0)</f>
        <v>7</v>
      </c>
      <c r="E610" s="26" t="str">
        <f t="shared" ca="1" si="86"/>
        <v>金</v>
      </c>
      <c r="F610" s="26">
        <f t="shared" si="87"/>
        <v>0</v>
      </c>
      <c r="G610" s="26">
        <f>IF(ISNA(MATCH(A610,祝日定義!E:E,0)),0,1)</f>
        <v>0</v>
      </c>
      <c r="H610" s="26">
        <f>IF(ISNA(MATCH(B610&amp;"/"&amp;C610,そのた定義!E:E,0)), 0, 1)</f>
        <v>0</v>
      </c>
      <c r="I610" s="26" t="b">
        <f t="shared" si="88"/>
        <v>0</v>
      </c>
      <c r="J610" s="26">
        <v>0</v>
      </c>
      <c r="K610" s="26" t="b">
        <f t="shared" si="83"/>
        <v>0</v>
      </c>
      <c r="L610" s="26" t="b">
        <f t="shared" si="84"/>
        <v>0</v>
      </c>
      <c r="M610" t="b">
        <f t="shared" si="89"/>
        <v>0</v>
      </c>
      <c r="N610" t="b">
        <f t="shared" si="90"/>
        <v>0</v>
      </c>
    </row>
    <row r="611" spans="1:14">
      <c r="A611" s="29">
        <v>45171</v>
      </c>
      <c r="B611" s="30">
        <f t="shared" si="82"/>
        <v>9</v>
      </c>
      <c r="C611" s="30">
        <f t="shared" si="85"/>
        <v>2</v>
      </c>
      <c r="D611" s="26">
        <f>MATCH(WEEKDAY(A611),そのた定義!A:A,0)</f>
        <v>8</v>
      </c>
      <c r="E611" s="33" t="str">
        <f t="shared" ca="1" si="86"/>
        <v>土</v>
      </c>
      <c r="F611" s="26">
        <f t="shared" si="87"/>
        <v>1</v>
      </c>
      <c r="G611" s="26">
        <f>IF(ISNA(MATCH(A611,祝日定義!E:E,0)),0,1)</f>
        <v>0</v>
      </c>
      <c r="H611" s="26">
        <f>IF(ISNA(MATCH(B611&amp;"/"&amp;C611,そのた定義!E:E,0)), 0, 1)</f>
        <v>0</v>
      </c>
      <c r="I611" s="23" t="b">
        <f t="shared" si="88"/>
        <v>1</v>
      </c>
      <c r="J611" s="26">
        <v>0</v>
      </c>
      <c r="K611" s="26" t="b">
        <f t="shared" si="83"/>
        <v>0</v>
      </c>
      <c r="L611" s="26" t="b">
        <f t="shared" si="84"/>
        <v>0</v>
      </c>
      <c r="M611" t="b">
        <f t="shared" si="89"/>
        <v>0</v>
      </c>
      <c r="N611" t="b">
        <f t="shared" si="90"/>
        <v>0</v>
      </c>
    </row>
    <row r="612" spans="1:14">
      <c r="A612" s="29">
        <v>45172</v>
      </c>
      <c r="B612" s="30">
        <f t="shared" si="82"/>
        <v>9</v>
      </c>
      <c r="C612" s="30">
        <f t="shared" si="85"/>
        <v>3</v>
      </c>
      <c r="D612" s="26">
        <f>MATCH(WEEKDAY(A612),そのた定義!A:A,0)</f>
        <v>2</v>
      </c>
      <c r="E612" s="32" t="str">
        <f t="shared" ca="1" si="86"/>
        <v>日</v>
      </c>
      <c r="F612" s="26">
        <f t="shared" si="87"/>
        <v>1</v>
      </c>
      <c r="G612" s="26">
        <f>IF(ISNA(MATCH(A612,祝日定義!E:E,0)),0,1)</f>
        <v>0</v>
      </c>
      <c r="H612" s="26">
        <f>IF(ISNA(MATCH(B612&amp;"/"&amp;C612,そのた定義!E:E,0)), 0, 1)</f>
        <v>0</v>
      </c>
      <c r="I612" s="23" t="b">
        <f t="shared" si="88"/>
        <v>1</v>
      </c>
      <c r="J612" s="26">
        <v>0</v>
      </c>
      <c r="K612" s="26" t="b">
        <f t="shared" si="83"/>
        <v>0</v>
      </c>
      <c r="L612" s="26" t="b">
        <f t="shared" si="84"/>
        <v>0</v>
      </c>
      <c r="M612" t="b">
        <f t="shared" si="89"/>
        <v>0</v>
      </c>
      <c r="N612" t="b">
        <f t="shared" si="90"/>
        <v>0</v>
      </c>
    </row>
    <row r="613" spans="1:14">
      <c r="A613" s="29">
        <v>45173</v>
      </c>
      <c r="B613" s="30">
        <f t="shared" si="82"/>
        <v>9</v>
      </c>
      <c r="C613" s="30">
        <f t="shared" si="85"/>
        <v>4</v>
      </c>
      <c r="D613" s="26">
        <f>MATCH(WEEKDAY(A613),そのた定義!A:A,0)</f>
        <v>3</v>
      </c>
      <c r="E613" s="26" t="str">
        <f t="shared" ca="1" si="86"/>
        <v>月</v>
      </c>
      <c r="F613" s="26">
        <f t="shared" si="87"/>
        <v>0</v>
      </c>
      <c r="G613" s="26">
        <f>IF(ISNA(MATCH(A613,祝日定義!E:E,0)),0,1)</f>
        <v>0</v>
      </c>
      <c r="H613" s="26">
        <f>IF(ISNA(MATCH(B613&amp;"/"&amp;C613,そのた定義!E:E,0)), 0, 1)</f>
        <v>0</v>
      </c>
      <c r="I613" s="26" t="b">
        <f t="shared" si="88"/>
        <v>0</v>
      </c>
      <c r="J613" s="26">
        <v>2</v>
      </c>
      <c r="K613" s="26" t="b">
        <f t="shared" si="83"/>
        <v>0</v>
      </c>
      <c r="L613" s="26" t="b">
        <f t="shared" si="84"/>
        <v>0</v>
      </c>
      <c r="M613" t="b">
        <f t="shared" si="89"/>
        <v>0</v>
      </c>
      <c r="N613" t="b">
        <f t="shared" si="90"/>
        <v>0</v>
      </c>
    </row>
    <row r="614" spans="1:14">
      <c r="A614" s="29">
        <v>45174</v>
      </c>
      <c r="B614" s="30">
        <f t="shared" si="82"/>
        <v>9</v>
      </c>
      <c r="C614" s="30">
        <f t="shared" si="85"/>
        <v>5</v>
      </c>
      <c r="D614" s="26">
        <f>MATCH(WEEKDAY(A614),そのた定義!A:A,0)</f>
        <v>4</v>
      </c>
      <c r="E614" s="26" t="str">
        <f t="shared" ca="1" si="86"/>
        <v>火</v>
      </c>
      <c r="F614" s="26">
        <f t="shared" si="87"/>
        <v>0</v>
      </c>
      <c r="G614" s="26">
        <f>IF(ISNA(MATCH(A614,祝日定義!E:E,0)),0,1)</f>
        <v>0</v>
      </c>
      <c r="H614" s="26">
        <f>IF(ISNA(MATCH(B614&amp;"/"&amp;C614,そのた定義!E:E,0)), 0, 1)</f>
        <v>0</v>
      </c>
      <c r="I614" s="26" t="b">
        <f t="shared" si="88"/>
        <v>0</v>
      </c>
      <c r="J614" s="26">
        <v>0</v>
      </c>
      <c r="K614" s="26" t="b">
        <f t="shared" si="83"/>
        <v>0</v>
      </c>
      <c r="L614" s="26" t="b">
        <f t="shared" si="84"/>
        <v>0</v>
      </c>
      <c r="M614" t="b">
        <f t="shared" si="89"/>
        <v>0</v>
      </c>
      <c r="N614" t="b">
        <f t="shared" si="90"/>
        <v>0</v>
      </c>
    </row>
    <row r="615" spans="1:14">
      <c r="A615" s="29">
        <v>45175</v>
      </c>
      <c r="B615" s="30">
        <f t="shared" si="82"/>
        <v>9</v>
      </c>
      <c r="C615" s="30">
        <f t="shared" si="85"/>
        <v>6</v>
      </c>
      <c r="D615" s="26">
        <f>MATCH(WEEKDAY(A615),そのた定義!A:A,0)</f>
        <v>5</v>
      </c>
      <c r="E615" s="26" t="str">
        <f t="shared" ca="1" si="86"/>
        <v>水</v>
      </c>
      <c r="F615" s="26">
        <f t="shared" si="87"/>
        <v>0</v>
      </c>
      <c r="G615" s="26">
        <f>IF(ISNA(MATCH(A615,祝日定義!E:E,0)),0,1)</f>
        <v>0</v>
      </c>
      <c r="H615" s="26">
        <f>IF(ISNA(MATCH(B615&amp;"/"&amp;C615,そのた定義!E:E,0)), 0, 1)</f>
        <v>0</v>
      </c>
      <c r="I615" s="26" t="b">
        <f t="shared" si="88"/>
        <v>0</v>
      </c>
      <c r="J615" s="26">
        <v>0</v>
      </c>
      <c r="K615" s="26" t="b">
        <f t="shared" si="83"/>
        <v>0</v>
      </c>
      <c r="L615" s="26" t="b">
        <f t="shared" si="84"/>
        <v>0</v>
      </c>
      <c r="M615" t="b">
        <f t="shared" si="89"/>
        <v>0</v>
      </c>
      <c r="N615" t="b">
        <f t="shared" si="90"/>
        <v>0</v>
      </c>
    </row>
    <row r="616" spans="1:14">
      <c r="A616" s="29">
        <v>45176</v>
      </c>
      <c r="B616" s="30">
        <f t="shared" si="82"/>
        <v>9</v>
      </c>
      <c r="C616" s="30">
        <f t="shared" si="85"/>
        <v>7</v>
      </c>
      <c r="D616" s="26">
        <f>MATCH(WEEKDAY(A616),そのた定義!A:A,0)</f>
        <v>6</v>
      </c>
      <c r="E616" s="26" t="str">
        <f t="shared" ca="1" si="86"/>
        <v>木</v>
      </c>
      <c r="F616" s="26">
        <f t="shared" si="87"/>
        <v>0</v>
      </c>
      <c r="G616" s="26">
        <f>IF(ISNA(MATCH(A616,祝日定義!E:E,0)),0,1)</f>
        <v>0</v>
      </c>
      <c r="H616" s="26">
        <f>IF(ISNA(MATCH(B616&amp;"/"&amp;C616,そのた定義!E:E,0)), 0, 1)</f>
        <v>0</v>
      </c>
      <c r="I616" s="26" t="b">
        <f t="shared" si="88"/>
        <v>0</v>
      </c>
      <c r="J616" s="26">
        <v>0</v>
      </c>
      <c r="K616" s="26" t="b">
        <f t="shared" si="83"/>
        <v>0</v>
      </c>
      <c r="L616" s="26" t="b">
        <f t="shared" si="84"/>
        <v>0</v>
      </c>
      <c r="M616" t="b">
        <f t="shared" si="89"/>
        <v>0</v>
      </c>
      <c r="N616" t="b">
        <f t="shared" si="90"/>
        <v>0</v>
      </c>
    </row>
    <row r="617" spans="1:14">
      <c r="A617" s="29">
        <v>45177</v>
      </c>
      <c r="B617" s="30">
        <f t="shared" si="82"/>
        <v>9</v>
      </c>
      <c r="C617" s="30">
        <f t="shared" si="85"/>
        <v>8</v>
      </c>
      <c r="D617" s="26">
        <f>MATCH(WEEKDAY(A617),そのた定義!A:A,0)</f>
        <v>7</v>
      </c>
      <c r="E617" s="26" t="str">
        <f t="shared" ca="1" si="86"/>
        <v>金</v>
      </c>
      <c r="F617" s="26">
        <f t="shared" si="87"/>
        <v>0</v>
      </c>
      <c r="G617" s="26">
        <f>IF(ISNA(MATCH(A617,祝日定義!E:E,0)),0,1)</f>
        <v>0</v>
      </c>
      <c r="H617" s="26">
        <f>IF(ISNA(MATCH(B617&amp;"/"&amp;C617,そのた定義!E:E,0)), 0, 1)</f>
        <v>0</v>
      </c>
      <c r="I617" s="26" t="b">
        <f t="shared" si="88"/>
        <v>0</v>
      </c>
      <c r="J617" s="26">
        <v>0</v>
      </c>
      <c r="K617" s="26" t="b">
        <f t="shared" si="83"/>
        <v>0</v>
      </c>
      <c r="L617" s="26" t="b">
        <f t="shared" si="84"/>
        <v>0</v>
      </c>
      <c r="M617" t="b">
        <f t="shared" si="89"/>
        <v>0</v>
      </c>
      <c r="N617" t="b">
        <f t="shared" si="90"/>
        <v>0</v>
      </c>
    </row>
    <row r="618" spans="1:14">
      <c r="A618" s="29">
        <v>45178</v>
      </c>
      <c r="B618" s="30">
        <f t="shared" si="82"/>
        <v>9</v>
      </c>
      <c r="C618" s="30">
        <f t="shared" si="85"/>
        <v>9</v>
      </c>
      <c r="D618" s="26">
        <f>MATCH(WEEKDAY(A618),そのた定義!A:A,0)</f>
        <v>8</v>
      </c>
      <c r="E618" s="33" t="str">
        <f t="shared" ca="1" si="86"/>
        <v>土</v>
      </c>
      <c r="F618" s="26">
        <f t="shared" si="87"/>
        <v>1</v>
      </c>
      <c r="G618" s="26">
        <f>IF(ISNA(MATCH(A618,祝日定義!E:E,0)),0,1)</f>
        <v>0</v>
      </c>
      <c r="H618" s="26">
        <f>IF(ISNA(MATCH(B618&amp;"/"&amp;C618,そのた定義!E:E,0)), 0, 1)</f>
        <v>0</v>
      </c>
      <c r="I618" s="23" t="b">
        <f t="shared" si="88"/>
        <v>1</v>
      </c>
      <c r="J618" s="26">
        <v>0</v>
      </c>
      <c r="K618" s="26" t="b">
        <f t="shared" si="83"/>
        <v>0</v>
      </c>
      <c r="L618" s="26" t="b">
        <f t="shared" si="84"/>
        <v>0</v>
      </c>
      <c r="M618" t="b">
        <f t="shared" si="89"/>
        <v>0</v>
      </c>
      <c r="N618" t="b">
        <f t="shared" si="90"/>
        <v>0</v>
      </c>
    </row>
    <row r="619" spans="1:14">
      <c r="A619" s="29">
        <v>45179</v>
      </c>
      <c r="B619" s="30">
        <f t="shared" si="82"/>
        <v>9</v>
      </c>
      <c r="C619" s="30">
        <f t="shared" si="85"/>
        <v>10</v>
      </c>
      <c r="D619" s="26">
        <f>MATCH(WEEKDAY(A619),そのた定義!A:A,0)</f>
        <v>2</v>
      </c>
      <c r="E619" s="32" t="str">
        <f t="shared" ca="1" si="86"/>
        <v>日</v>
      </c>
      <c r="F619" s="26">
        <f t="shared" si="87"/>
        <v>1</v>
      </c>
      <c r="G619" s="26">
        <f>IF(ISNA(MATCH(A619,祝日定義!E:E,0)),0,1)</f>
        <v>0</v>
      </c>
      <c r="H619" s="26">
        <f>IF(ISNA(MATCH(B619&amp;"/"&amp;C619,そのた定義!E:E,0)), 0, 1)</f>
        <v>0</v>
      </c>
      <c r="I619" s="23" t="b">
        <f t="shared" si="88"/>
        <v>1</v>
      </c>
      <c r="J619" s="26">
        <v>0</v>
      </c>
      <c r="K619" s="26" t="b">
        <f t="shared" si="83"/>
        <v>0</v>
      </c>
      <c r="L619" s="26" t="b">
        <f t="shared" si="84"/>
        <v>0</v>
      </c>
      <c r="M619" t="b">
        <f t="shared" si="89"/>
        <v>0</v>
      </c>
      <c r="N619" t="b">
        <f t="shared" si="90"/>
        <v>0</v>
      </c>
    </row>
    <row r="620" spans="1:14">
      <c r="A620" s="29">
        <v>45180</v>
      </c>
      <c r="B620" s="30">
        <f t="shared" si="82"/>
        <v>9</v>
      </c>
      <c r="C620" s="30">
        <f t="shared" si="85"/>
        <v>11</v>
      </c>
      <c r="D620" s="26">
        <f>MATCH(WEEKDAY(A620),そのた定義!A:A,0)</f>
        <v>3</v>
      </c>
      <c r="E620" s="26" t="str">
        <f t="shared" ca="1" si="86"/>
        <v>月</v>
      </c>
      <c r="F620" s="26">
        <f t="shared" si="87"/>
        <v>0</v>
      </c>
      <c r="G620" s="26">
        <f>IF(ISNA(MATCH(A620,祝日定義!E:E,0)),0,1)</f>
        <v>0</v>
      </c>
      <c r="H620" s="26">
        <f>IF(ISNA(MATCH(B620&amp;"/"&amp;C620,そのた定義!E:E,0)), 0, 1)</f>
        <v>0</v>
      </c>
      <c r="I620" s="26" t="b">
        <f t="shared" si="88"/>
        <v>0</v>
      </c>
      <c r="J620" s="26">
        <v>2</v>
      </c>
      <c r="K620" s="26" t="b">
        <f t="shared" si="83"/>
        <v>0</v>
      </c>
      <c r="L620" s="26" t="b">
        <f t="shared" si="84"/>
        <v>0</v>
      </c>
      <c r="M620" t="b">
        <f t="shared" si="89"/>
        <v>0</v>
      </c>
      <c r="N620" t="b">
        <f t="shared" si="90"/>
        <v>0</v>
      </c>
    </row>
    <row r="621" spans="1:14">
      <c r="A621" s="29">
        <v>45181</v>
      </c>
      <c r="B621" s="30">
        <f t="shared" si="82"/>
        <v>9</v>
      </c>
      <c r="C621" s="30">
        <f t="shared" si="85"/>
        <v>12</v>
      </c>
      <c r="D621" s="26">
        <f>MATCH(WEEKDAY(A621),そのた定義!A:A,0)</f>
        <v>4</v>
      </c>
      <c r="E621" s="26" t="str">
        <f t="shared" ca="1" si="86"/>
        <v>火</v>
      </c>
      <c r="F621" s="26">
        <f t="shared" si="87"/>
        <v>0</v>
      </c>
      <c r="G621" s="26">
        <f>IF(ISNA(MATCH(A621,祝日定義!E:E,0)),0,1)</f>
        <v>0</v>
      </c>
      <c r="H621" s="26">
        <f>IF(ISNA(MATCH(B621&amp;"/"&amp;C621,そのた定義!E:E,0)), 0, 1)</f>
        <v>0</v>
      </c>
      <c r="I621" s="26" t="b">
        <f t="shared" si="88"/>
        <v>0</v>
      </c>
      <c r="J621" s="26">
        <v>0</v>
      </c>
      <c r="K621" s="26" t="b">
        <f t="shared" si="83"/>
        <v>0</v>
      </c>
      <c r="L621" s="26" t="b">
        <f t="shared" si="84"/>
        <v>0</v>
      </c>
      <c r="M621" t="b">
        <f t="shared" si="89"/>
        <v>0</v>
      </c>
      <c r="N621" t="b">
        <f t="shared" si="90"/>
        <v>0</v>
      </c>
    </row>
    <row r="622" spans="1:14">
      <c r="A622" s="29">
        <v>45182</v>
      </c>
      <c r="B622" s="30">
        <f t="shared" si="82"/>
        <v>9</v>
      </c>
      <c r="C622" s="30">
        <f t="shared" si="85"/>
        <v>13</v>
      </c>
      <c r="D622" s="26">
        <f>MATCH(WEEKDAY(A622),そのた定義!A:A,0)</f>
        <v>5</v>
      </c>
      <c r="E622" s="26" t="str">
        <f t="shared" ca="1" si="86"/>
        <v>水</v>
      </c>
      <c r="F622" s="26">
        <f t="shared" si="87"/>
        <v>0</v>
      </c>
      <c r="G622" s="26">
        <f>IF(ISNA(MATCH(A622,祝日定義!E:E,0)),0,1)</f>
        <v>0</v>
      </c>
      <c r="H622" s="26">
        <f>IF(ISNA(MATCH(B622&amp;"/"&amp;C622,そのた定義!E:E,0)), 0, 1)</f>
        <v>0</v>
      </c>
      <c r="I622" s="26" t="b">
        <f t="shared" si="88"/>
        <v>0</v>
      </c>
      <c r="J622" s="26">
        <v>0</v>
      </c>
      <c r="K622" s="26" t="b">
        <f t="shared" si="83"/>
        <v>0</v>
      </c>
      <c r="L622" s="26" t="b">
        <f t="shared" si="84"/>
        <v>0</v>
      </c>
      <c r="M622" t="b">
        <f t="shared" si="89"/>
        <v>0</v>
      </c>
      <c r="N622" t="b">
        <f t="shared" si="90"/>
        <v>0</v>
      </c>
    </row>
    <row r="623" spans="1:14">
      <c r="A623" s="29">
        <v>45183</v>
      </c>
      <c r="B623" s="30">
        <f t="shared" si="82"/>
        <v>9</v>
      </c>
      <c r="C623" s="30">
        <f t="shared" si="85"/>
        <v>14</v>
      </c>
      <c r="D623" s="26">
        <f>MATCH(WEEKDAY(A623),そのた定義!A:A,0)</f>
        <v>6</v>
      </c>
      <c r="E623" s="26" t="str">
        <f t="shared" ca="1" si="86"/>
        <v>木</v>
      </c>
      <c r="F623" s="26">
        <f t="shared" si="87"/>
        <v>0</v>
      </c>
      <c r="G623" s="26">
        <f>IF(ISNA(MATCH(A623,祝日定義!E:E,0)),0,1)</f>
        <v>0</v>
      </c>
      <c r="H623" s="26">
        <f>IF(ISNA(MATCH(B623&amp;"/"&amp;C623,そのた定義!E:E,0)), 0, 1)</f>
        <v>0</v>
      </c>
      <c r="I623" s="26" t="b">
        <f t="shared" si="88"/>
        <v>0</v>
      </c>
      <c r="J623" s="26">
        <v>0</v>
      </c>
      <c r="K623" s="26" t="b">
        <f t="shared" si="83"/>
        <v>0</v>
      </c>
      <c r="L623" s="26" t="b">
        <f t="shared" si="84"/>
        <v>0</v>
      </c>
      <c r="M623" t="b">
        <f t="shared" si="89"/>
        <v>0</v>
      </c>
      <c r="N623" t="b">
        <f t="shared" si="90"/>
        <v>0</v>
      </c>
    </row>
    <row r="624" spans="1:14">
      <c r="A624" s="29">
        <v>45184</v>
      </c>
      <c r="B624" s="30">
        <f t="shared" si="82"/>
        <v>9</v>
      </c>
      <c r="C624" s="30">
        <f t="shared" si="85"/>
        <v>15</v>
      </c>
      <c r="D624" s="26">
        <f>MATCH(WEEKDAY(A624),そのた定義!A:A,0)</f>
        <v>7</v>
      </c>
      <c r="E624" s="26" t="str">
        <f t="shared" ca="1" si="86"/>
        <v>金</v>
      </c>
      <c r="F624" s="26">
        <f t="shared" si="87"/>
        <v>0</v>
      </c>
      <c r="G624" s="26">
        <f>IF(ISNA(MATCH(A624,祝日定義!E:E,0)),0,1)</f>
        <v>0</v>
      </c>
      <c r="H624" s="26">
        <f>IF(ISNA(MATCH(B624&amp;"/"&amp;C624,そのた定義!E:E,0)), 0, 1)</f>
        <v>0</v>
      </c>
      <c r="I624" s="26" t="b">
        <f t="shared" si="88"/>
        <v>0</v>
      </c>
      <c r="J624" s="26">
        <v>0</v>
      </c>
      <c r="K624" s="26" t="b">
        <f t="shared" si="83"/>
        <v>0</v>
      </c>
      <c r="L624" s="26" t="b">
        <f t="shared" si="84"/>
        <v>0</v>
      </c>
      <c r="M624" t="b">
        <f t="shared" si="89"/>
        <v>0</v>
      </c>
      <c r="N624" t="b">
        <f t="shared" si="90"/>
        <v>0</v>
      </c>
    </row>
    <row r="625" spans="1:14">
      <c r="A625" s="29">
        <v>45185</v>
      </c>
      <c r="B625" s="30">
        <f t="shared" si="82"/>
        <v>9</v>
      </c>
      <c r="C625" s="30">
        <f t="shared" si="85"/>
        <v>16</v>
      </c>
      <c r="D625" s="26">
        <f>MATCH(WEEKDAY(A625),そのた定義!A:A,0)</f>
        <v>8</v>
      </c>
      <c r="E625" s="33" t="str">
        <f t="shared" ca="1" si="86"/>
        <v>土</v>
      </c>
      <c r="F625" s="26">
        <f t="shared" si="87"/>
        <v>1</v>
      </c>
      <c r="G625" s="26">
        <f>IF(ISNA(MATCH(A625,祝日定義!E:E,0)),0,1)</f>
        <v>0</v>
      </c>
      <c r="H625" s="26">
        <f>IF(ISNA(MATCH(B625&amp;"/"&amp;C625,そのた定義!E:E,0)), 0, 1)</f>
        <v>0</v>
      </c>
      <c r="I625" s="23" t="b">
        <f t="shared" si="88"/>
        <v>1</v>
      </c>
      <c r="J625" s="26">
        <v>0</v>
      </c>
      <c r="K625" s="26" t="b">
        <f t="shared" si="83"/>
        <v>0</v>
      </c>
      <c r="L625" s="26" t="b">
        <f t="shared" si="84"/>
        <v>0</v>
      </c>
      <c r="M625" t="b">
        <f t="shared" si="89"/>
        <v>0</v>
      </c>
      <c r="N625" t="b">
        <f t="shared" si="90"/>
        <v>0</v>
      </c>
    </row>
    <row r="626" spans="1:14">
      <c r="A626" s="29">
        <v>45186</v>
      </c>
      <c r="B626" s="30">
        <f t="shared" si="82"/>
        <v>9</v>
      </c>
      <c r="C626" s="30">
        <f t="shared" si="85"/>
        <v>17</v>
      </c>
      <c r="D626" s="26">
        <f>MATCH(WEEKDAY(A626),そのた定義!A:A,0)</f>
        <v>2</v>
      </c>
      <c r="E626" s="32" t="str">
        <f t="shared" ca="1" si="86"/>
        <v>日</v>
      </c>
      <c r="F626" s="26">
        <f t="shared" si="87"/>
        <v>1</v>
      </c>
      <c r="G626" s="26">
        <f>IF(ISNA(MATCH(A626,祝日定義!E:E,0)),0,1)</f>
        <v>0</v>
      </c>
      <c r="H626" s="26">
        <f>IF(ISNA(MATCH(B626&amp;"/"&amp;C626,そのた定義!E:E,0)), 0, 1)</f>
        <v>0</v>
      </c>
      <c r="I626" s="23" t="b">
        <f t="shared" si="88"/>
        <v>1</v>
      </c>
      <c r="J626" s="26">
        <v>0</v>
      </c>
      <c r="K626" s="26" t="b">
        <f t="shared" si="83"/>
        <v>0</v>
      </c>
      <c r="L626" s="26" t="b">
        <f t="shared" si="84"/>
        <v>0</v>
      </c>
      <c r="M626" t="b">
        <f t="shared" si="89"/>
        <v>0</v>
      </c>
      <c r="N626" t="b">
        <f t="shared" si="90"/>
        <v>0</v>
      </c>
    </row>
    <row r="627" spans="1:14">
      <c r="A627" s="29">
        <v>45187</v>
      </c>
      <c r="B627" s="30">
        <f t="shared" si="82"/>
        <v>9</v>
      </c>
      <c r="C627" s="30">
        <f t="shared" si="85"/>
        <v>18</v>
      </c>
      <c r="D627" s="26">
        <f>MATCH(WEEKDAY(A627),そのた定義!A:A,0)</f>
        <v>3</v>
      </c>
      <c r="E627" s="31" t="str">
        <f t="shared" ca="1" si="86"/>
        <v>月</v>
      </c>
      <c r="F627" s="26">
        <f t="shared" si="87"/>
        <v>0</v>
      </c>
      <c r="G627" s="26">
        <f>IF(ISNA(MATCH(A627,祝日定義!E:E,0)),0,1)</f>
        <v>1</v>
      </c>
      <c r="H627" s="26">
        <f>IF(ISNA(MATCH(B627&amp;"/"&amp;C627,そのた定義!E:E,0)), 0, 1)</f>
        <v>0</v>
      </c>
      <c r="I627" s="23" t="b">
        <f t="shared" si="88"/>
        <v>1</v>
      </c>
      <c r="J627" s="26">
        <v>0</v>
      </c>
      <c r="K627" s="26" t="b">
        <f t="shared" si="83"/>
        <v>0</v>
      </c>
      <c r="L627" s="26" t="b">
        <f t="shared" si="84"/>
        <v>0</v>
      </c>
      <c r="M627" t="b">
        <f t="shared" si="89"/>
        <v>0</v>
      </c>
      <c r="N627" t="b">
        <f t="shared" si="90"/>
        <v>0</v>
      </c>
    </row>
    <row r="628" spans="1:14">
      <c r="A628" s="29">
        <v>45188</v>
      </c>
      <c r="B628" s="30">
        <f t="shared" si="82"/>
        <v>9</v>
      </c>
      <c r="C628" s="30">
        <f t="shared" si="85"/>
        <v>19</v>
      </c>
      <c r="D628" s="26">
        <f>MATCH(WEEKDAY(A628),そのた定義!A:A,0)</f>
        <v>4</v>
      </c>
      <c r="E628" s="26" t="str">
        <f t="shared" ca="1" si="86"/>
        <v>火</v>
      </c>
      <c r="F628" s="26">
        <f t="shared" si="87"/>
        <v>0</v>
      </c>
      <c r="G628" s="26">
        <f>IF(ISNA(MATCH(A628,祝日定義!E:E,0)),0,1)</f>
        <v>0</v>
      </c>
      <c r="H628" s="26">
        <f>IF(ISNA(MATCH(B628&amp;"/"&amp;C628,そのた定義!E:E,0)), 0, 1)</f>
        <v>0</v>
      </c>
      <c r="I628" s="26" t="b">
        <f t="shared" si="88"/>
        <v>0</v>
      </c>
      <c r="J628" s="26">
        <v>3</v>
      </c>
      <c r="K628" s="26" t="b">
        <f t="shared" si="83"/>
        <v>0</v>
      </c>
      <c r="L628" s="26" t="b">
        <f t="shared" si="84"/>
        <v>0</v>
      </c>
      <c r="M628" t="b">
        <f t="shared" si="89"/>
        <v>0</v>
      </c>
      <c r="N628" t="b">
        <f t="shared" si="90"/>
        <v>0</v>
      </c>
    </row>
    <row r="629" spans="1:14">
      <c r="A629" s="29">
        <v>45189</v>
      </c>
      <c r="B629" s="30">
        <f t="shared" si="82"/>
        <v>9</v>
      </c>
      <c r="C629" s="30">
        <f t="shared" si="85"/>
        <v>20</v>
      </c>
      <c r="D629" s="26">
        <f>MATCH(WEEKDAY(A629),そのた定義!A:A,0)</f>
        <v>5</v>
      </c>
      <c r="E629" s="26" t="str">
        <f t="shared" ca="1" si="86"/>
        <v>水</v>
      </c>
      <c r="F629" s="26">
        <f t="shared" si="87"/>
        <v>0</v>
      </c>
      <c r="G629" s="26">
        <f>IF(ISNA(MATCH(A629,祝日定義!E:E,0)),0,1)</f>
        <v>0</v>
      </c>
      <c r="H629" s="26">
        <f>IF(ISNA(MATCH(B629&amp;"/"&amp;C629,そのた定義!E:E,0)), 0, 1)</f>
        <v>0</v>
      </c>
      <c r="I629" s="26" t="b">
        <f t="shared" si="88"/>
        <v>0</v>
      </c>
      <c r="J629" s="26">
        <v>0</v>
      </c>
      <c r="K629" s="26" t="b">
        <f t="shared" si="83"/>
        <v>0</v>
      </c>
      <c r="L629" s="26" t="b">
        <f t="shared" si="84"/>
        <v>0</v>
      </c>
      <c r="M629" t="b">
        <f t="shared" si="89"/>
        <v>0</v>
      </c>
      <c r="N629" t="b">
        <f t="shared" si="90"/>
        <v>0</v>
      </c>
    </row>
    <row r="630" spans="1:14">
      <c r="A630" s="29">
        <v>45190</v>
      </c>
      <c r="B630" s="30">
        <f t="shared" si="82"/>
        <v>9</v>
      </c>
      <c r="C630" s="30">
        <f t="shared" si="85"/>
        <v>21</v>
      </c>
      <c r="D630" s="26">
        <f>MATCH(WEEKDAY(A630),そのた定義!A:A,0)</f>
        <v>6</v>
      </c>
      <c r="E630" s="26" t="str">
        <f t="shared" ca="1" si="86"/>
        <v>木</v>
      </c>
      <c r="F630" s="26">
        <f t="shared" si="87"/>
        <v>0</v>
      </c>
      <c r="G630" s="26">
        <f>IF(ISNA(MATCH(A630,祝日定義!E:E,0)),0,1)</f>
        <v>0</v>
      </c>
      <c r="H630" s="26">
        <f>IF(ISNA(MATCH(B630&amp;"/"&amp;C630,そのた定義!E:E,0)), 0, 1)</f>
        <v>0</v>
      </c>
      <c r="I630" s="26" t="b">
        <f t="shared" si="88"/>
        <v>0</v>
      </c>
      <c r="J630" s="26">
        <v>0</v>
      </c>
      <c r="K630" s="26" t="b">
        <f t="shared" si="83"/>
        <v>0</v>
      </c>
      <c r="L630" s="26" t="b">
        <f t="shared" si="84"/>
        <v>0</v>
      </c>
      <c r="M630" t="b">
        <f t="shared" si="89"/>
        <v>0</v>
      </c>
      <c r="N630" t="b">
        <f t="shared" si="90"/>
        <v>0</v>
      </c>
    </row>
    <row r="631" spans="1:14">
      <c r="A631" s="29">
        <v>45191</v>
      </c>
      <c r="B631" s="30">
        <f t="shared" si="82"/>
        <v>9</v>
      </c>
      <c r="C631" s="30">
        <f t="shared" si="85"/>
        <v>22</v>
      </c>
      <c r="D631" s="26">
        <f>MATCH(WEEKDAY(A631),そのた定義!A:A,0)</f>
        <v>7</v>
      </c>
      <c r="E631" s="26" t="str">
        <f t="shared" ca="1" si="86"/>
        <v>金</v>
      </c>
      <c r="F631" s="26">
        <f t="shared" si="87"/>
        <v>0</v>
      </c>
      <c r="G631" s="26">
        <f>IF(ISNA(MATCH(A631,祝日定義!E:E,0)),0,1)</f>
        <v>0</v>
      </c>
      <c r="H631" s="26">
        <f>IF(ISNA(MATCH(B631&amp;"/"&amp;C631,そのた定義!E:E,0)), 0, 1)</f>
        <v>0</v>
      </c>
      <c r="I631" s="26" t="b">
        <f t="shared" si="88"/>
        <v>0</v>
      </c>
      <c r="J631" s="26">
        <v>0</v>
      </c>
      <c r="K631" s="26" t="b">
        <f t="shared" si="83"/>
        <v>0</v>
      </c>
      <c r="L631" s="26" t="b">
        <f t="shared" si="84"/>
        <v>0</v>
      </c>
      <c r="M631" t="b">
        <f t="shared" si="89"/>
        <v>0</v>
      </c>
      <c r="N631" t="b">
        <f t="shared" si="90"/>
        <v>0</v>
      </c>
    </row>
    <row r="632" spans="1:14">
      <c r="A632" s="29">
        <v>45192</v>
      </c>
      <c r="B632" s="30">
        <f t="shared" si="82"/>
        <v>9</v>
      </c>
      <c r="C632" s="30">
        <f t="shared" si="85"/>
        <v>23</v>
      </c>
      <c r="D632" s="26">
        <f>MATCH(WEEKDAY(A632),そのた定義!A:A,0)</f>
        <v>8</v>
      </c>
      <c r="E632" s="33" t="str">
        <f t="shared" ca="1" si="86"/>
        <v>土</v>
      </c>
      <c r="F632" s="26">
        <f t="shared" si="87"/>
        <v>1</v>
      </c>
      <c r="G632" s="26">
        <f>IF(ISNA(MATCH(A632,祝日定義!E:E,0)),0,1)</f>
        <v>1</v>
      </c>
      <c r="H632" s="26">
        <f>IF(ISNA(MATCH(B632&amp;"/"&amp;C632,そのた定義!E:E,0)), 0, 1)</f>
        <v>0</v>
      </c>
      <c r="I632" s="23" t="b">
        <f t="shared" si="88"/>
        <v>1</v>
      </c>
      <c r="J632" s="26">
        <v>0</v>
      </c>
      <c r="K632" s="26" t="b">
        <f t="shared" si="83"/>
        <v>0</v>
      </c>
      <c r="L632" s="26" t="b">
        <f t="shared" si="84"/>
        <v>0</v>
      </c>
      <c r="M632" t="b">
        <f t="shared" si="89"/>
        <v>0</v>
      </c>
      <c r="N632" t="b">
        <f t="shared" si="90"/>
        <v>0</v>
      </c>
    </row>
    <row r="633" spans="1:14">
      <c r="A633" s="29">
        <v>45193</v>
      </c>
      <c r="B633" s="30">
        <f t="shared" si="82"/>
        <v>9</v>
      </c>
      <c r="C633" s="30">
        <f t="shared" si="85"/>
        <v>24</v>
      </c>
      <c r="D633" s="26">
        <f>MATCH(WEEKDAY(A633),そのた定義!A:A,0)</f>
        <v>2</v>
      </c>
      <c r="E633" s="32" t="str">
        <f t="shared" ca="1" si="86"/>
        <v>日</v>
      </c>
      <c r="F633" s="26">
        <f t="shared" si="87"/>
        <v>1</v>
      </c>
      <c r="G633" s="26">
        <f>IF(ISNA(MATCH(A633,祝日定義!E:E,0)),0,1)</f>
        <v>0</v>
      </c>
      <c r="H633" s="26">
        <f>IF(ISNA(MATCH(B633&amp;"/"&amp;C633,そのた定義!E:E,0)), 0, 1)</f>
        <v>0</v>
      </c>
      <c r="I633" s="23" t="b">
        <f t="shared" si="88"/>
        <v>1</v>
      </c>
      <c r="J633" s="26">
        <v>0</v>
      </c>
      <c r="K633" s="26" t="b">
        <f t="shared" si="83"/>
        <v>0</v>
      </c>
      <c r="L633" s="26" t="b">
        <f t="shared" si="84"/>
        <v>0</v>
      </c>
      <c r="M633" t="b">
        <f t="shared" si="89"/>
        <v>0</v>
      </c>
      <c r="N633" t="b">
        <f t="shared" si="90"/>
        <v>0</v>
      </c>
    </row>
    <row r="634" spans="1:14">
      <c r="A634" s="29">
        <v>45194</v>
      </c>
      <c r="B634" s="30">
        <f t="shared" si="82"/>
        <v>9</v>
      </c>
      <c r="C634" s="30">
        <f t="shared" si="85"/>
        <v>25</v>
      </c>
      <c r="D634" s="26">
        <f>MATCH(WEEKDAY(A634),そのた定義!A:A,0)</f>
        <v>3</v>
      </c>
      <c r="E634" s="26" t="str">
        <f t="shared" ca="1" si="86"/>
        <v>月</v>
      </c>
      <c r="F634" s="26">
        <f t="shared" si="87"/>
        <v>0</v>
      </c>
      <c r="G634" s="26">
        <f>IF(ISNA(MATCH(A634,祝日定義!E:E,0)),0,1)</f>
        <v>0</v>
      </c>
      <c r="H634" s="26">
        <f>IF(ISNA(MATCH(B634&amp;"/"&amp;C634,そのた定義!E:E,0)), 0, 1)</f>
        <v>0</v>
      </c>
      <c r="I634" s="26" t="b">
        <f t="shared" si="88"/>
        <v>0</v>
      </c>
      <c r="J634" s="26">
        <v>2</v>
      </c>
      <c r="K634" s="26" t="b">
        <f t="shared" si="83"/>
        <v>0</v>
      </c>
      <c r="L634" s="23" t="b">
        <f t="shared" si="84"/>
        <v>1</v>
      </c>
      <c r="M634" t="b">
        <f t="shared" si="89"/>
        <v>0</v>
      </c>
      <c r="N634" t="b">
        <f t="shared" si="90"/>
        <v>0</v>
      </c>
    </row>
    <row r="635" spans="1:14">
      <c r="A635" s="29">
        <v>45195</v>
      </c>
      <c r="B635" s="30">
        <f t="shared" si="82"/>
        <v>9</v>
      </c>
      <c r="C635" s="30">
        <f t="shared" si="85"/>
        <v>26</v>
      </c>
      <c r="D635" s="26">
        <f>MATCH(WEEKDAY(A635),そのた定義!A:A,0)</f>
        <v>4</v>
      </c>
      <c r="E635" s="26" t="str">
        <f t="shared" ca="1" si="86"/>
        <v>火</v>
      </c>
      <c r="F635" s="26">
        <f t="shared" si="87"/>
        <v>0</v>
      </c>
      <c r="G635" s="26">
        <f>IF(ISNA(MATCH(A635,祝日定義!E:E,0)),0,1)</f>
        <v>0</v>
      </c>
      <c r="H635" s="26">
        <f>IF(ISNA(MATCH(B635&amp;"/"&amp;C635,そのた定義!E:E,0)), 0, 1)</f>
        <v>0</v>
      </c>
      <c r="I635" s="26" t="b">
        <f t="shared" si="88"/>
        <v>0</v>
      </c>
      <c r="J635" s="26">
        <v>0</v>
      </c>
      <c r="K635" s="26" t="b">
        <f t="shared" si="83"/>
        <v>0</v>
      </c>
      <c r="L635" s="26" t="b">
        <f t="shared" si="84"/>
        <v>0</v>
      </c>
      <c r="M635" t="b">
        <f t="shared" si="89"/>
        <v>0</v>
      </c>
      <c r="N635" t="b">
        <f t="shared" si="90"/>
        <v>0</v>
      </c>
    </row>
    <row r="636" spans="1:14">
      <c r="A636" s="29">
        <v>45196</v>
      </c>
      <c r="B636" s="30">
        <f t="shared" si="82"/>
        <v>9</v>
      </c>
      <c r="C636" s="30">
        <f t="shared" si="85"/>
        <v>27</v>
      </c>
      <c r="D636" s="26">
        <f>MATCH(WEEKDAY(A636),そのた定義!A:A,0)</f>
        <v>5</v>
      </c>
      <c r="E636" s="26" t="str">
        <f t="shared" ca="1" si="86"/>
        <v>水</v>
      </c>
      <c r="F636" s="26">
        <f t="shared" si="87"/>
        <v>0</v>
      </c>
      <c r="G636" s="26">
        <f>IF(ISNA(MATCH(A636,祝日定義!E:E,0)),0,1)</f>
        <v>0</v>
      </c>
      <c r="H636" s="26">
        <f>IF(ISNA(MATCH(B636&amp;"/"&amp;C636,そのた定義!E:E,0)), 0, 1)</f>
        <v>0</v>
      </c>
      <c r="I636" s="26" t="b">
        <f t="shared" si="88"/>
        <v>0</v>
      </c>
      <c r="J636" s="26">
        <v>0</v>
      </c>
      <c r="K636" s="26" t="b">
        <f t="shared" si="83"/>
        <v>0</v>
      </c>
      <c r="L636" s="26" t="b">
        <f t="shared" si="84"/>
        <v>0</v>
      </c>
      <c r="M636" t="b">
        <f t="shared" si="89"/>
        <v>0</v>
      </c>
      <c r="N636" t="b">
        <f t="shared" si="90"/>
        <v>0</v>
      </c>
    </row>
    <row r="637" spans="1:14">
      <c r="A637" s="29">
        <v>45197</v>
      </c>
      <c r="B637" s="30">
        <f t="shared" si="82"/>
        <v>9</v>
      </c>
      <c r="C637" s="30">
        <f t="shared" si="85"/>
        <v>28</v>
      </c>
      <c r="D637" s="26">
        <f>MATCH(WEEKDAY(A637),そのた定義!A:A,0)</f>
        <v>6</v>
      </c>
      <c r="E637" s="26" t="str">
        <f t="shared" ca="1" si="86"/>
        <v>木</v>
      </c>
      <c r="F637" s="26">
        <f t="shared" si="87"/>
        <v>0</v>
      </c>
      <c r="G637" s="26">
        <f>IF(ISNA(MATCH(A637,祝日定義!E:E,0)),0,1)</f>
        <v>0</v>
      </c>
      <c r="H637" s="26">
        <f>IF(ISNA(MATCH(B637&amp;"/"&amp;C637,そのた定義!E:E,0)), 0, 1)</f>
        <v>0</v>
      </c>
      <c r="I637" s="26" t="b">
        <f t="shared" si="88"/>
        <v>0</v>
      </c>
      <c r="J637" s="26">
        <v>0</v>
      </c>
      <c r="K637" s="26" t="b">
        <f t="shared" si="83"/>
        <v>0</v>
      </c>
      <c r="L637" s="26" t="b">
        <f t="shared" si="84"/>
        <v>0</v>
      </c>
      <c r="M637" t="b">
        <f t="shared" si="89"/>
        <v>0</v>
      </c>
      <c r="N637" t="b">
        <f t="shared" si="90"/>
        <v>0</v>
      </c>
    </row>
    <row r="638" spans="1:14">
      <c r="A638" s="29">
        <v>45198</v>
      </c>
      <c r="B638" s="30">
        <f t="shared" si="82"/>
        <v>9</v>
      </c>
      <c r="C638" s="30">
        <f t="shared" si="85"/>
        <v>29</v>
      </c>
      <c r="D638" s="26">
        <f>MATCH(WEEKDAY(A638),そのた定義!A:A,0)</f>
        <v>7</v>
      </c>
      <c r="E638" s="26" t="str">
        <f t="shared" ca="1" si="86"/>
        <v>金</v>
      </c>
      <c r="F638" s="26">
        <f t="shared" si="87"/>
        <v>0</v>
      </c>
      <c r="G638" s="26">
        <f>IF(ISNA(MATCH(A638,祝日定義!E:E,0)),0,1)</f>
        <v>0</v>
      </c>
      <c r="H638" s="26">
        <f>IF(ISNA(MATCH(B638&amp;"/"&amp;C638,そのた定義!E:E,0)), 0, 1)</f>
        <v>0</v>
      </c>
      <c r="I638" s="26" t="b">
        <f t="shared" si="88"/>
        <v>0</v>
      </c>
      <c r="J638" s="26">
        <v>0</v>
      </c>
      <c r="K638" s="26" t="b">
        <f t="shared" si="83"/>
        <v>0</v>
      </c>
      <c r="L638" s="26" t="b">
        <f t="shared" si="84"/>
        <v>0</v>
      </c>
      <c r="M638" t="b">
        <f t="shared" si="89"/>
        <v>0</v>
      </c>
      <c r="N638" t="b">
        <f t="shared" si="90"/>
        <v>0</v>
      </c>
    </row>
    <row r="639" spans="1:14">
      <c r="A639" s="29">
        <v>45199</v>
      </c>
      <c r="B639" s="30">
        <f t="shared" si="82"/>
        <v>9</v>
      </c>
      <c r="C639" s="30">
        <f t="shared" si="85"/>
        <v>30</v>
      </c>
      <c r="D639" s="26">
        <f>MATCH(WEEKDAY(A639),そのた定義!A:A,0)</f>
        <v>8</v>
      </c>
      <c r="E639" s="33" t="str">
        <f t="shared" ca="1" si="86"/>
        <v>土</v>
      </c>
      <c r="F639" s="26">
        <f t="shared" si="87"/>
        <v>1</v>
      </c>
      <c r="G639" s="26">
        <f>IF(ISNA(MATCH(A639,祝日定義!E:E,0)),0,1)</f>
        <v>0</v>
      </c>
      <c r="H639" s="26">
        <f>IF(ISNA(MATCH(B639&amp;"/"&amp;C639,そのた定義!E:E,0)), 0, 1)</f>
        <v>0</v>
      </c>
      <c r="I639" s="23" t="b">
        <f t="shared" si="88"/>
        <v>1</v>
      </c>
      <c r="J639" s="26">
        <v>0</v>
      </c>
      <c r="K639" s="26" t="b">
        <f t="shared" si="83"/>
        <v>0</v>
      </c>
      <c r="L639" s="26" t="b">
        <f t="shared" si="84"/>
        <v>0</v>
      </c>
      <c r="M639" t="b">
        <f t="shared" si="89"/>
        <v>0</v>
      </c>
      <c r="N639" t="b">
        <f t="shared" si="90"/>
        <v>1</v>
      </c>
    </row>
    <row r="640" spans="1:14">
      <c r="A640" s="29">
        <v>45200</v>
      </c>
      <c r="B640" s="30">
        <f t="shared" si="82"/>
        <v>10</v>
      </c>
      <c r="C640" s="30">
        <f t="shared" si="85"/>
        <v>1</v>
      </c>
      <c r="D640" s="26">
        <f>MATCH(WEEKDAY(A640),そのた定義!A:A,0)</f>
        <v>2</v>
      </c>
      <c r="E640" s="32" t="str">
        <f t="shared" ca="1" si="86"/>
        <v>日</v>
      </c>
      <c r="F640" s="26">
        <f t="shared" si="87"/>
        <v>1</v>
      </c>
      <c r="G640" s="26">
        <f>IF(ISNA(MATCH(A640,祝日定義!E:E,0)),0,1)</f>
        <v>0</v>
      </c>
      <c r="H640" s="26">
        <f>IF(ISNA(MATCH(B640&amp;"/"&amp;C640,そのた定義!E:E,0)), 0, 1)</f>
        <v>0</v>
      </c>
      <c r="I640" s="23" t="b">
        <f t="shared" si="88"/>
        <v>1</v>
      </c>
      <c r="J640" s="26">
        <v>0</v>
      </c>
      <c r="K640" s="26" t="b">
        <f t="shared" si="83"/>
        <v>0</v>
      </c>
      <c r="L640" s="26" t="b">
        <f t="shared" si="84"/>
        <v>0</v>
      </c>
      <c r="M640" t="b">
        <f t="shared" si="89"/>
        <v>0</v>
      </c>
      <c r="N640" t="b">
        <f t="shared" si="90"/>
        <v>0</v>
      </c>
    </row>
    <row r="641" spans="1:14">
      <c r="A641" s="29">
        <v>45201</v>
      </c>
      <c r="B641" s="30">
        <f t="shared" si="82"/>
        <v>10</v>
      </c>
      <c r="C641" s="30">
        <f t="shared" si="85"/>
        <v>2</v>
      </c>
      <c r="D641" s="26">
        <f>MATCH(WEEKDAY(A641),そのた定義!A:A,0)</f>
        <v>3</v>
      </c>
      <c r="E641" s="26" t="str">
        <f t="shared" ca="1" si="86"/>
        <v>月</v>
      </c>
      <c r="F641" s="26">
        <f t="shared" si="87"/>
        <v>0</v>
      </c>
      <c r="G641" s="26">
        <f>IF(ISNA(MATCH(A641,祝日定義!E:E,0)),0,1)</f>
        <v>0</v>
      </c>
      <c r="H641" s="26">
        <f>IF(ISNA(MATCH(B641&amp;"/"&amp;C641,そのた定義!E:E,0)), 0, 1)</f>
        <v>0</v>
      </c>
      <c r="I641" s="26" t="b">
        <f t="shared" si="88"/>
        <v>0</v>
      </c>
      <c r="J641" s="26">
        <v>2</v>
      </c>
      <c r="K641" s="26" t="b">
        <f t="shared" si="83"/>
        <v>0</v>
      </c>
      <c r="L641" s="26" t="b">
        <f t="shared" si="84"/>
        <v>0</v>
      </c>
      <c r="M641" t="b">
        <f t="shared" si="89"/>
        <v>1</v>
      </c>
      <c r="N641" t="b">
        <f t="shared" si="90"/>
        <v>0</v>
      </c>
    </row>
    <row r="642" spans="1:14">
      <c r="A642" s="29">
        <v>45202</v>
      </c>
      <c r="B642" s="30">
        <f t="shared" ref="B642:B705" si="91">MONTH(A642)</f>
        <v>10</v>
      </c>
      <c r="C642" s="30">
        <f t="shared" si="85"/>
        <v>3</v>
      </c>
      <c r="D642" s="26">
        <f>MATCH(WEEKDAY(A642),そのた定義!A:A,0)</f>
        <v>4</v>
      </c>
      <c r="E642" s="26" t="str">
        <f t="shared" ca="1" si="86"/>
        <v>火</v>
      </c>
      <c r="F642" s="26">
        <f t="shared" si="87"/>
        <v>0</v>
      </c>
      <c r="G642" s="26">
        <f>IF(ISNA(MATCH(A642,祝日定義!E:E,0)),0,1)</f>
        <v>0</v>
      </c>
      <c r="H642" s="26">
        <f>IF(ISNA(MATCH(B642&amp;"/"&amp;C642,そのた定義!E:E,0)), 0, 1)</f>
        <v>0</v>
      </c>
      <c r="I642" s="26" t="b">
        <f t="shared" si="88"/>
        <v>0</v>
      </c>
      <c r="J642" s="26">
        <v>0</v>
      </c>
      <c r="K642" s="26" t="b">
        <f t="shared" ref="K642:K705" si="92">AND(C642&gt;25,DAY(A642-J642)&lt;=25)</f>
        <v>0</v>
      </c>
      <c r="L642" s="26" t="b">
        <f t="shared" ref="L642:L705" si="93">C642=25</f>
        <v>0</v>
      </c>
      <c r="M642" t="b">
        <f t="shared" si="89"/>
        <v>0</v>
      </c>
      <c r="N642" t="b">
        <f t="shared" si="90"/>
        <v>0</v>
      </c>
    </row>
    <row r="643" spans="1:14">
      <c r="A643" s="29">
        <v>45203</v>
      </c>
      <c r="B643" s="30">
        <f t="shared" si="91"/>
        <v>10</v>
      </c>
      <c r="C643" s="30">
        <f t="shared" ref="C643:C706" si="94">DAY(A643)</f>
        <v>4</v>
      </c>
      <c r="D643" s="26">
        <f>MATCH(WEEKDAY(A643),そのた定義!A:A,0)</f>
        <v>5</v>
      </c>
      <c r="E643" s="26" t="str">
        <f t="shared" ref="E643:E706" ca="1" si="95">INDIRECT("そのた定義!"&amp;"B"&amp;D643)</f>
        <v>水</v>
      </c>
      <c r="F643" s="26">
        <f t="shared" ref="F643:F706" si="96">IF(OR(D643=8,D643=2),1,0)</f>
        <v>0</v>
      </c>
      <c r="G643" s="26">
        <f>IF(ISNA(MATCH(A643,祝日定義!E:E,0)),0,1)</f>
        <v>0</v>
      </c>
      <c r="H643" s="26">
        <f>IF(ISNA(MATCH(B643&amp;"/"&amp;C643,そのた定義!E:E,0)), 0, 1)</f>
        <v>0</v>
      </c>
      <c r="I643" s="26" t="b">
        <f t="shared" ref="I643:I706" si="97">SUM(F643:H643)&gt;0</f>
        <v>0</v>
      </c>
      <c r="J643" s="26">
        <v>0</v>
      </c>
      <c r="K643" s="26" t="b">
        <f t="shared" si="92"/>
        <v>0</v>
      </c>
      <c r="L643" s="26" t="b">
        <f t="shared" si="93"/>
        <v>0</v>
      </c>
      <c r="M643" t="b">
        <f t="shared" ref="M643:M706" si="98">B643&lt;&gt;MONTH(A643-J643)</f>
        <v>0</v>
      </c>
      <c r="N643" t="b">
        <f t="shared" ref="N643:N706" si="99">B643&lt;&gt;MONTH(A643+1)</f>
        <v>0</v>
      </c>
    </row>
    <row r="644" spans="1:14">
      <c r="A644" s="29">
        <v>45204</v>
      </c>
      <c r="B644" s="30">
        <f t="shared" si="91"/>
        <v>10</v>
      </c>
      <c r="C644" s="30">
        <f t="shared" si="94"/>
        <v>5</v>
      </c>
      <c r="D644" s="26">
        <f>MATCH(WEEKDAY(A644),そのた定義!A:A,0)</f>
        <v>6</v>
      </c>
      <c r="E644" s="26" t="str">
        <f t="shared" ca="1" si="95"/>
        <v>木</v>
      </c>
      <c r="F644" s="26">
        <f t="shared" si="96"/>
        <v>0</v>
      </c>
      <c r="G644" s="26">
        <f>IF(ISNA(MATCH(A644,祝日定義!E:E,0)),0,1)</f>
        <v>0</v>
      </c>
      <c r="H644" s="26">
        <f>IF(ISNA(MATCH(B644&amp;"/"&amp;C644,そのた定義!E:E,0)), 0, 1)</f>
        <v>0</v>
      </c>
      <c r="I644" s="26" t="b">
        <f t="shared" si="97"/>
        <v>0</v>
      </c>
      <c r="J644" s="26">
        <v>0</v>
      </c>
      <c r="K644" s="26" t="b">
        <f t="shared" si="92"/>
        <v>0</v>
      </c>
      <c r="L644" s="26" t="b">
        <f t="shared" si="93"/>
        <v>0</v>
      </c>
      <c r="M644" t="b">
        <f t="shared" si="98"/>
        <v>0</v>
      </c>
      <c r="N644" t="b">
        <f t="shared" si="99"/>
        <v>0</v>
      </c>
    </row>
    <row r="645" spans="1:14">
      <c r="A645" s="29">
        <v>45205</v>
      </c>
      <c r="B645" s="30">
        <f t="shared" si="91"/>
        <v>10</v>
      </c>
      <c r="C645" s="30">
        <f t="shared" si="94"/>
        <v>6</v>
      </c>
      <c r="D645" s="26">
        <f>MATCH(WEEKDAY(A645),そのた定義!A:A,0)</f>
        <v>7</v>
      </c>
      <c r="E645" s="26" t="str">
        <f t="shared" ca="1" si="95"/>
        <v>金</v>
      </c>
      <c r="F645" s="26">
        <f t="shared" si="96"/>
        <v>0</v>
      </c>
      <c r="G645" s="26">
        <f>IF(ISNA(MATCH(A645,祝日定義!E:E,0)),0,1)</f>
        <v>0</v>
      </c>
      <c r="H645" s="26">
        <f>IF(ISNA(MATCH(B645&amp;"/"&amp;C645,そのた定義!E:E,0)), 0, 1)</f>
        <v>0</v>
      </c>
      <c r="I645" s="26" t="b">
        <f t="shared" si="97"/>
        <v>0</v>
      </c>
      <c r="J645" s="26">
        <v>0</v>
      </c>
      <c r="K645" s="26" t="b">
        <f t="shared" si="92"/>
        <v>0</v>
      </c>
      <c r="L645" s="26" t="b">
        <f t="shared" si="93"/>
        <v>0</v>
      </c>
      <c r="M645" t="b">
        <f t="shared" si="98"/>
        <v>0</v>
      </c>
      <c r="N645" t="b">
        <f t="shared" si="99"/>
        <v>0</v>
      </c>
    </row>
    <row r="646" spans="1:14">
      <c r="A646" s="29">
        <v>45206</v>
      </c>
      <c r="B646" s="30">
        <f t="shared" si="91"/>
        <v>10</v>
      </c>
      <c r="C646" s="30">
        <f t="shared" si="94"/>
        <v>7</v>
      </c>
      <c r="D646" s="26">
        <f>MATCH(WEEKDAY(A646),そのた定義!A:A,0)</f>
        <v>8</v>
      </c>
      <c r="E646" s="33" t="str">
        <f t="shared" ca="1" si="95"/>
        <v>土</v>
      </c>
      <c r="F646" s="26">
        <f t="shared" si="96"/>
        <v>1</v>
      </c>
      <c r="G646" s="26">
        <f>IF(ISNA(MATCH(A646,祝日定義!E:E,0)),0,1)</f>
        <v>0</v>
      </c>
      <c r="H646" s="26">
        <f>IF(ISNA(MATCH(B646&amp;"/"&amp;C646,そのた定義!E:E,0)), 0, 1)</f>
        <v>0</v>
      </c>
      <c r="I646" s="23" t="b">
        <f t="shared" si="97"/>
        <v>1</v>
      </c>
      <c r="J646" s="26">
        <v>0</v>
      </c>
      <c r="K646" s="26" t="b">
        <f t="shared" si="92"/>
        <v>0</v>
      </c>
      <c r="L646" s="26" t="b">
        <f t="shared" si="93"/>
        <v>0</v>
      </c>
      <c r="M646" t="b">
        <f t="shared" si="98"/>
        <v>0</v>
      </c>
      <c r="N646" t="b">
        <f t="shared" si="99"/>
        <v>0</v>
      </c>
    </row>
    <row r="647" spans="1:14">
      <c r="A647" s="29">
        <v>45207</v>
      </c>
      <c r="B647" s="30">
        <f t="shared" si="91"/>
        <v>10</v>
      </c>
      <c r="C647" s="30">
        <f t="shared" si="94"/>
        <v>8</v>
      </c>
      <c r="D647" s="26">
        <f>MATCH(WEEKDAY(A647),そのた定義!A:A,0)</f>
        <v>2</v>
      </c>
      <c r="E647" s="32" t="str">
        <f t="shared" ca="1" si="95"/>
        <v>日</v>
      </c>
      <c r="F647" s="26">
        <f t="shared" si="96"/>
        <v>1</v>
      </c>
      <c r="G647" s="26">
        <f>IF(ISNA(MATCH(A647,祝日定義!E:E,0)),0,1)</f>
        <v>0</v>
      </c>
      <c r="H647" s="26">
        <f>IF(ISNA(MATCH(B647&amp;"/"&amp;C647,そのた定義!E:E,0)), 0, 1)</f>
        <v>0</v>
      </c>
      <c r="I647" s="23" t="b">
        <f t="shared" si="97"/>
        <v>1</v>
      </c>
      <c r="J647" s="26">
        <v>0</v>
      </c>
      <c r="K647" s="26" t="b">
        <f t="shared" si="92"/>
        <v>0</v>
      </c>
      <c r="L647" s="26" t="b">
        <f t="shared" si="93"/>
        <v>0</v>
      </c>
      <c r="M647" t="b">
        <f t="shared" si="98"/>
        <v>0</v>
      </c>
      <c r="N647" t="b">
        <f t="shared" si="99"/>
        <v>0</v>
      </c>
    </row>
    <row r="648" spans="1:14">
      <c r="A648" s="29">
        <v>45208</v>
      </c>
      <c r="B648" s="30">
        <f t="shared" si="91"/>
        <v>10</v>
      </c>
      <c r="C648" s="30">
        <f t="shared" si="94"/>
        <v>9</v>
      </c>
      <c r="D648" s="26">
        <f>MATCH(WEEKDAY(A648),そのた定義!A:A,0)</f>
        <v>3</v>
      </c>
      <c r="E648" s="31" t="str">
        <f t="shared" ca="1" si="95"/>
        <v>月</v>
      </c>
      <c r="F648" s="26">
        <f t="shared" si="96"/>
        <v>0</v>
      </c>
      <c r="G648" s="26">
        <f>IF(ISNA(MATCH(A648,祝日定義!E:E,0)),0,1)</f>
        <v>1</v>
      </c>
      <c r="H648" s="26">
        <f>IF(ISNA(MATCH(B648&amp;"/"&amp;C648,そのた定義!E:E,0)), 0, 1)</f>
        <v>0</v>
      </c>
      <c r="I648" s="23" t="b">
        <f t="shared" si="97"/>
        <v>1</v>
      </c>
      <c r="J648" s="26">
        <v>0</v>
      </c>
      <c r="K648" s="26" t="b">
        <f t="shared" si="92"/>
        <v>0</v>
      </c>
      <c r="L648" s="26" t="b">
        <f t="shared" si="93"/>
        <v>0</v>
      </c>
      <c r="M648" t="b">
        <f t="shared" si="98"/>
        <v>0</v>
      </c>
      <c r="N648" t="b">
        <f t="shared" si="99"/>
        <v>0</v>
      </c>
    </row>
    <row r="649" spans="1:14">
      <c r="A649" s="29">
        <v>45209</v>
      </c>
      <c r="B649" s="30">
        <f t="shared" si="91"/>
        <v>10</v>
      </c>
      <c r="C649" s="30">
        <f t="shared" si="94"/>
        <v>10</v>
      </c>
      <c r="D649" s="26">
        <f>MATCH(WEEKDAY(A649),そのた定義!A:A,0)</f>
        <v>4</v>
      </c>
      <c r="E649" s="26" t="str">
        <f t="shared" ca="1" si="95"/>
        <v>火</v>
      </c>
      <c r="F649" s="26">
        <f t="shared" si="96"/>
        <v>0</v>
      </c>
      <c r="G649" s="26">
        <f>IF(ISNA(MATCH(A649,祝日定義!E:E,0)),0,1)</f>
        <v>0</v>
      </c>
      <c r="H649" s="26">
        <f>IF(ISNA(MATCH(B649&amp;"/"&amp;C649,そのた定義!E:E,0)), 0, 1)</f>
        <v>0</v>
      </c>
      <c r="I649" s="26" t="b">
        <f t="shared" si="97"/>
        <v>0</v>
      </c>
      <c r="J649" s="26">
        <v>3</v>
      </c>
      <c r="K649" s="26" t="b">
        <f t="shared" si="92"/>
        <v>0</v>
      </c>
      <c r="L649" s="26" t="b">
        <f t="shared" si="93"/>
        <v>0</v>
      </c>
      <c r="M649" t="b">
        <f t="shared" si="98"/>
        <v>0</v>
      </c>
      <c r="N649" t="b">
        <f t="shared" si="99"/>
        <v>0</v>
      </c>
    </row>
    <row r="650" spans="1:14">
      <c r="A650" s="29">
        <v>45210</v>
      </c>
      <c r="B650" s="30">
        <f t="shared" si="91"/>
        <v>10</v>
      </c>
      <c r="C650" s="30">
        <f t="shared" si="94"/>
        <v>11</v>
      </c>
      <c r="D650" s="26">
        <f>MATCH(WEEKDAY(A650),そのた定義!A:A,0)</f>
        <v>5</v>
      </c>
      <c r="E650" s="26" t="str">
        <f t="shared" ca="1" si="95"/>
        <v>水</v>
      </c>
      <c r="F650" s="26">
        <f t="shared" si="96"/>
        <v>0</v>
      </c>
      <c r="G650" s="26">
        <f>IF(ISNA(MATCH(A650,祝日定義!E:E,0)),0,1)</f>
        <v>0</v>
      </c>
      <c r="H650" s="26">
        <f>IF(ISNA(MATCH(B650&amp;"/"&amp;C650,そのた定義!E:E,0)), 0, 1)</f>
        <v>0</v>
      </c>
      <c r="I650" s="26" t="b">
        <f t="shared" si="97"/>
        <v>0</v>
      </c>
      <c r="J650" s="26">
        <v>0</v>
      </c>
      <c r="K650" s="26" t="b">
        <f t="shared" si="92"/>
        <v>0</v>
      </c>
      <c r="L650" s="26" t="b">
        <f t="shared" si="93"/>
        <v>0</v>
      </c>
      <c r="M650" t="b">
        <f t="shared" si="98"/>
        <v>0</v>
      </c>
      <c r="N650" t="b">
        <f t="shared" si="99"/>
        <v>0</v>
      </c>
    </row>
    <row r="651" spans="1:14">
      <c r="A651" s="29">
        <v>45211</v>
      </c>
      <c r="B651" s="30">
        <f t="shared" si="91"/>
        <v>10</v>
      </c>
      <c r="C651" s="30">
        <f t="shared" si="94"/>
        <v>12</v>
      </c>
      <c r="D651" s="26">
        <f>MATCH(WEEKDAY(A651),そのた定義!A:A,0)</f>
        <v>6</v>
      </c>
      <c r="E651" s="26" t="str">
        <f t="shared" ca="1" si="95"/>
        <v>木</v>
      </c>
      <c r="F651" s="26">
        <f t="shared" si="96"/>
        <v>0</v>
      </c>
      <c r="G651" s="26">
        <f>IF(ISNA(MATCH(A651,祝日定義!E:E,0)),0,1)</f>
        <v>0</v>
      </c>
      <c r="H651" s="26">
        <f>IF(ISNA(MATCH(B651&amp;"/"&amp;C651,そのた定義!E:E,0)), 0, 1)</f>
        <v>0</v>
      </c>
      <c r="I651" s="26" t="b">
        <f t="shared" si="97"/>
        <v>0</v>
      </c>
      <c r="J651" s="26">
        <v>0</v>
      </c>
      <c r="K651" s="26" t="b">
        <f t="shared" si="92"/>
        <v>0</v>
      </c>
      <c r="L651" s="26" t="b">
        <f t="shared" si="93"/>
        <v>0</v>
      </c>
      <c r="M651" t="b">
        <f t="shared" si="98"/>
        <v>0</v>
      </c>
      <c r="N651" t="b">
        <f t="shared" si="99"/>
        <v>0</v>
      </c>
    </row>
    <row r="652" spans="1:14">
      <c r="A652" s="29">
        <v>45212</v>
      </c>
      <c r="B652" s="30">
        <f t="shared" si="91"/>
        <v>10</v>
      </c>
      <c r="C652" s="30">
        <f t="shared" si="94"/>
        <v>13</v>
      </c>
      <c r="D652" s="26">
        <f>MATCH(WEEKDAY(A652),そのた定義!A:A,0)</f>
        <v>7</v>
      </c>
      <c r="E652" s="26" t="str">
        <f t="shared" ca="1" si="95"/>
        <v>金</v>
      </c>
      <c r="F652" s="26">
        <f t="shared" si="96"/>
        <v>0</v>
      </c>
      <c r="G652" s="26">
        <f>IF(ISNA(MATCH(A652,祝日定義!E:E,0)),0,1)</f>
        <v>0</v>
      </c>
      <c r="H652" s="26">
        <f>IF(ISNA(MATCH(B652&amp;"/"&amp;C652,そのた定義!E:E,0)), 0, 1)</f>
        <v>0</v>
      </c>
      <c r="I652" s="26" t="b">
        <f t="shared" si="97"/>
        <v>0</v>
      </c>
      <c r="J652" s="26">
        <v>0</v>
      </c>
      <c r="K652" s="26" t="b">
        <f t="shared" si="92"/>
        <v>0</v>
      </c>
      <c r="L652" s="26" t="b">
        <f t="shared" si="93"/>
        <v>0</v>
      </c>
      <c r="M652" t="b">
        <f t="shared" si="98"/>
        <v>0</v>
      </c>
      <c r="N652" t="b">
        <f t="shared" si="99"/>
        <v>0</v>
      </c>
    </row>
    <row r="653" spans="1:14">
      <c r="A653" s="29">
        <v>45213</v>
      </c>
      <c r="B653" s="30">
        <f t="shared" si="91"/>
        <v>10</v>
      </c>
      <c r="C653" s="30">
        <f t="shared" si="94"/>
        <v>14</v>
      </c>
      <c r="D653" s="26">
        <f>MATCH(WEEKDAY(A653),そのた定義!A:A,0)</f>
        <v>8</v>
      </c>
      <c r="E653" s="33" t="str">
        <f t="shared" ca="1" si="95"/>
        <v>土</v>
      </c>
      <c r="F653" s="26">
        <f t="shared" si="96"/>
        <v>1</v>
      </c>
      <c r="G653" s="26">
        <f>IF(ISNA(MATCH(A653,祝日定義!E:E,0)),0,1)</f>
        <v>0</v>
      </c>
      <c r="H653" s="26">
        <f>IF(ISNA(MATCH(B653&amp;"/"&amp;C653,そのた定義!E:E,0)), 0, 1)</f>
        <v>0</v>
      </c>
      <c r="I653" s="23" t="b">
        <f t="shared" si="97"/>
        <v>1</v>
      </c>
      <c r="J653" s="26">
        <v>0</v>
      </c>
      <c r="K653" s="26" t="b">
        <f t="shared" si="92"/>
        <v>0</v>
      </c>
      <c r="L653" s="26" t="b">
        <f t="shared" si="93"/>
        <v>0</v>
      </c>
      <c r="M653" t="b">
        <f t="shared" si="98"/>
        <v>0</v>
      </c>
      <c r="N653" t="b">
        <f t="shared" si="99"/>
        <v>0</v>
      </c>
    </row>
    <row r="654" spans="1:14">
      <c r="A654" s="29">
        <v>45214</v>
      </c>
      <c r="B654" s="30">
        <f t="shared" si="91"/>
        <v>10</v>
      </c>
      <c r="C654" s="30">
        <f t="shared" si="94"/>
        <v>15</v>
      </c>
      <c r="D654" s="26">
        <f>MATCH(WEEKDAY(A654),そのた定義!A:A,0)</f>
        <v>2</v>
      </c>
      <c r="E654" s="32" t="str">
        <f t="shared" ca="1" si="95"/>
        <v>日</v>
      </c>
      <c r="F654" s="26">
        <f t="shared" si="96"/>
        <v>1</v>
      </c>
      <c r="G654" s="26">
        <f>IF(ISNA(MATCH(A654,祝日定義!E:E,0)),0,1)</f>
        <v>0</v>
      </c>
      <c r="H654" s="26">
        <f>IF(ISNA(MATCH(B654&amp;"/"&amp;C654,そのた定義!E:E,0)), 0, 1)</f>
        <v>0</v>
      </c>
      <c r="I654" s="23" t="b">
        <f t="shared" si="97"/>
        <v>1</v>
      </c>
      <c r="J654" s="26">
        <v>0</v>
      </c>
      <c r="K654" s="26" t="b">
        <f t="shared" si="92"/>
        <v>0</v>
      </c>
      <c r="L654" s="26" t="b">
        <f t="shared" si="93"/>
        <v>0</v>
      </c>
      <c r="M654" t="b">
        <f t="shared" si="98"/>
        <v>0</v>
      </c>
      <c r="N654" t="b">
        <f t="shared" si="99"/>
        <v>0</v>
      </c>
    </row>
    <row r="655" spans="1:14">
      <c r="A655" s="29">
        <v>45215</v>
      </c>
      <c r="B655" s="30">
        <f t="shared" si="91"/>
        <v>10</v>
      </c>
      <c r="C655" s="30">
        <f t="shared" si="94"/>
        <v>16</v>
      </c>
      <c r="D655" s="26">
        <f>MATCH(WEEKDAY(A655),そのた定義!A:A,0)</f>
        <v>3</v>
      </c>
      <c r="E655" s="26" t="str">
        <f t="shared" ca="1" si="95"/>
        <v>月</v>
      </c>
      <c r="F655" s="26">
        <f t="shared" si="96"/>
        <v>0</v>
      </c>
      <c r="G655" s="26">
        <f>IF(ISNA(MATCH(A655,祝日定義!E:E,0)),0,1)</f>
        <v>0</v>
      </c>
      <c r="H655" s="26">
        <f>IF(ISNA(MATCH(B655&amp;"/"&amp;C655,そのた定義!E:E,0)), 0, 1)</f>
        <v>0</v>
      </c>
      <c r="I655" s="26" t="b">
        <f t="shared" si="97"/>
        <v>0</v>
      </c>
      <c r="J655" s="26">
        <v>2</v>
      </c>
      <c r="K655" s="26" t="b">
        <f t="shared" si="92"/>
        <v>0</v>
      </c>
      <c r="L655" s="26" t="b">
        <f t="shared" si="93"/>
        <v>0</v>
      </c>
      <c r="M655" t="b">
        <f t="shared" si="98"/>
        <v>0</v>
      </c>
      <c r="N655" t="b">
        <f t="shared" si="99"/>
        <v>0</v>
      </c>
    </row>
    <row r="656" spans="1:14">
      <c r="A656" s="29">
        <v>45216</v>
      </c>
      <c r="B656" s="30">
        <f t="shared" si="91"/>
        <v>10</v>
      </c>
      <c r="C656" s="30">
        <f t="shared" si="94"/>
        <v>17</v>
      </c>
      <c r="D656" s="26">
        <f>MATCH(WEEKDAY(A656),そのた定義!A:A,0)</f>
        <v>4</v>
      </c>
      <c r="E656" s="26" t="str">
        <f t="shared" ca="1" si="95"/>
        <v>火</v>
      </c>
      <c r="F656" s="26">
        <f t="shared" si="96"/>
        <v>0</v>
      </c>
      <c r="G656" s="26">
        <f>IF(ISNA(MATCH(A656,祝日定義!E:E,0)),0,1)</f>
        <v>0</v>
      </c>
      <c r="H656" s="26">
        <f>IF(ISNA(MATCH(B656&amp;"/"&amp;C656,そのた定義!E:E,0)), 0, 1)</f>
        <v>0</v>
      </c>
      <c r="I656" s="26" t="b">
        <f t="shared" si="97"/>
        <v>0</v>
      </c>
      <c r="J656" s="26">
        <v>0</v>
      </c>
      <c r="K656" s="26" t="b">
        <f t="shared" si="92"/>
        <v>0</v>
      </c>
      <c r="L656" s="26" t="b">
        <f t="shared" si="93"/>
        <v>0</v>
      </c>
      <c r="M656" t="b">
        <f t="shared" si="98"/>
        <v>0</v>
      </c>
      <c r="N656" t="b">
        <f t="shared" si="99"/>
        <v>0</v>
      </c>
    </row>
    <row r="657" spans="1:14">
      <c r="A657" s="29">
        <v>45217</v>
      </c>
      <c r="B657" s="30">
        <f t="shared" si="91"/>
        <v>10</v>
      </c>
      <c r="C657" s="30">
        <f t="shared" si="94"/>
        <v>18</v>
      </c>
      <c r="D657" s="26">
        <f>MATCH(WEEKDAY(A657),そのた定義!A:A,0)</f>
        <v>5</v>
      </c>
      <c r="E657" s="26" t="str">
        <f t="shared" ca="1" si="95"/>
        <v>水</v>
      </c>
      <c r="F657" s="26">
        <f t="shared" si="96"/>
        <v>0</v>
      </c>
      <c r="G657" s="26">
        <f>IF(ISNA(MATCH(A657,祝日定義!E:E,0)),0,1)</f>
        <v>0</v>
      </c>
      <c r="H657" s="26">
        <f>IF(ISNA(MATCH(B657&amp;"/"&amp;C657,そのた定義!E:E,0)), 0, 1)</f>
        <v>0</v>
      </c>
      <c r="I657" s="26" t="b">
        <f t="shared" si="97"/>
        <v>0</v>
      </c>
      <c r="J657" s="26">
        <v>0</v>
      </c>
      <c r="K657" s="26" t="b">
        <f t="shared" si="92"/>
        <v>0</v>
      </c>
      <c r="L657" s="26" t="b">
        <f t="shared" si="93"/>
        <v>0</v>
      </c>
      <c r="M657" t="b">
        <f t="shared" si="98"/>
        <v>0</v>
      </c>
      <c r="N657" t="b">
        <f t="shared" si="99"/>
        <v>0</v>
      </c>
    </row>
    <row r="658" spans="1:14">
      <c r="A658" s="29">
        <v>45218</v>
      </c>
      <c r="B658" s="30">
        <f t="shared" si="91"/>
        <v>10</v>
      </c>
      <c r="C658" s="30">
        <f t="shared" si="94"/>
        <v>19</v>
      </c>
      <c r="D658" s="26">
        <f>MATCH(WEEKDAY(A658),そのた定義!A:A,0)</f>
        <v>6</v>
      </c>
      <c r="E658" s="26" t="str">
        <f t="shared" ca="1" si="95"/>
        <v>木</v>
      </c>
      <c r="F658" s="26">
        <f t="shared" si="96"/>
        <v>0</v>
      </c>
      <c r="G658" s="26">
        <f>IF(ISNA(MATCH(A658,祝日定義!E:E,0)),0,1)</f>
        <v>0</v>
      </c>
      <c r="H658" s="26">
        <f>IF(ISNA(MATCH(B658&amp;"/"&amp;C658,そのた定義!E:E,0)), 0, 1)</f>
        <v>0</v>
      </c>
      <c r="I658" s="26" t="b">
        <f t="shared" si="97"/>
        <v>0</v>
      </c>
      <c r="J658" s="26">
        <v>0</v>
      </c>
      <c r="K658" s="26" t="b">
        <f t="shared" si="92"/>
        <v>0</v>
      </c>
      <c r="L658" s="26" t="b">
        <f t="shared" si="93"/>
        <v>0</v>
      </c>
      <c r="M658" t="b">
        <f t="shared" si="98"/>
        <v>0</v>
      </c>
      <c r="N658" t="b">
        <f t="shared" si="99"/>
        <v>0</v>
      </c>
    </row>
    <row r="659" spans="1:14">
      <c r="A659" s="29">
        <v>45219</v>
      </c>
      <c r="B659" s="30">
        <f t="shared" si="91"/>
        <v>10</v>
      </c>
      <c r="C659" s="30">
        <f t="shared" si="94"/>
        <v>20</v>
      </c>
      <c r="D659" s="26">
        <f>MATCH(WEEKDAY(A659),そのた定義!A:A,0)</f>
        <v>7</v>
      </c>
      <c r="E659" s="26" t="str">
        <f t="shared" ca="1" si="95"/>
        <v>金</v>
      </c>
      <c r="F659" s="26">
        <f t="shared" si="96"/>
        <v>0</v>
      </c>
      <c r="G659" s="26">
        <f>IF(ISNA(MATCH(A659,祝日定義!E:E,0)),0,1)</f>
        <v>0</v>
      </c>
      <c r="H659" s="26">
        <f>IF(ISNA(MATCH(B659&amp;"/"&amp;C659,そのた定義!E:E,0)), 0, 1)</f>
        <v>0</v>
      </c>
      <c r="I659" s="26" t="b">
        <f t="shared" si="97"/>
        <v>0</v>
      </c>
      <c r="J659" s="26">
        <v>0</v>
      </c>
      <c r="K659" s="26" t="b">
        <f t="shared" si="92"/>
        <v>0</v>
      </c>
      <c r="L659" s="26" t="b">
        <f t="shared" si="93"/>
        <v>0</v>
      </c>
      <c r="M659" t="b">
        <f t="shared" si="98"/>
        <v>0</v>
      </c>
      <c r="N659" t="b">
        <f t="shared" si="99"/>
        <v>0</v>
      </c>
    </row>
    <row r="660" spans="1:14">
      <c r="A660" s="29">
        <v>45220</v>
      </c>
      <c r="B660" s="30">
        <f t="shared" si="91"/>
        <v>10</v>
      </c>
      <c r="C660" s="30">
        <f t="shared" si="94"/>
        <v>21</v>
      </c>
      <c r="D660" s="26">
        <f>MATCH(WEEKDAY(A660),そのた定義!A:A,0)</f>
        <v>8</v>
      </c>
      <c r="E660" s="33" t="str">
        <f t="shared" ca="1" si="95"/>
        <v>土</v>
      </c>
      <c r="F660" s="26">
        <f t="shared" si="96"/>
        <v>1</v>
      </c>
      <c r="G660" s="26">
        <f>IF(ISNA(MATCH(A660,祝日定義!E:E,0)),0,1)</f>
        <v>0</v>
      </c>
      <c r="H660" s="26">
        <f>IF(ISNA(MATCH(B660&amp;"/"&amp;C660,そのた定義!E:E,0)), 0, 1)</f>
        <v>0</v>
      </c>
      <c r="I660" s="23" t="b">
        <f t="shared" si="97"/>
        <v>1</v>
      </c>
      <c r="J660" s="26">
        <v>0</v>
      </c>
      <c r="K660" s="26" t="b">
        <f t="shared" si="92"/>
        <v>0</v>
      </c>
      <c r="L660" s="26" t="b">
        <f t="shared" si="93"/>
        <v>0</v>
      </c>
      <c r="M660" t="b">
        <f t="shared" si="98"/>
        <v>0</v>
      </c>
      <c r="N660" t="b">
        <f t="shared" si="99"/>
        <v>0</v>
      </c>
    </row>
    <row r="661" spans="1:14">
      <c r="A661" s="29">
        <v>45221</v>
      </c>
      <c r="B661" s="30">
        <f t="shared" si="91"/>
        <v>10</v>
      </c>
      <c r="C661" s="30">
        <f t="shared" si="94"/>
        <v>22</v>
      </c>
      <c r="D661" s="26">
        <f>MATCH(WEEKDAY(A661),そのた定義!A:A,0)</f>
        <v>2</v>
      </c>
      <c r="E661" s="32" t="str">
        <f t="shared" ca="1" si="95"/>
        <v>日</v>
      </c>
      <c r="F661" s="26">
        <f t="shared" si="96"/>
        <v>1</v>
      </c>
      <c r="G661" s="26">
        <f>IF(ISNA(MATCH(A661,祝日定義!E:E,0)),0,1)</f>
        <v>0</v>
      </c>
      <c r="H661" s="26">
        <f>IF(ISNA(MATCH(B661&amp;"/"&amp;C661,そのた定義!E:E,0)), 0, 1)</f>
        <v>0</v>
      </c>
      <c r="I661" s="23" t="b">
        <f t="shared" si="97"/>
        <v>1</v>
      </c>
      <c r="J661" s="26">
        <v>0</v>
      </c>
      <c r="K661" s="26" t="b">
        <f t="shared" si="92"/>
        <v>0</v>
      </c>
      <c r="L661" s="26" t="b">
        <f t="shared" si="93"/>
        <v>0</v>
      </c>
      <c r="M661" t="b">
        <f t="shared" si="98"/>
        <v>0</v>
      </c>
      <c r="N661" t="b">
        <f t="shared" si="99"/>
        <v>0</v>
      </c>
    </row>
    <row r="662" spans="1:14">
      <c r="A662" s="29">
        <v>45222</v>
      </c>
      <c r="B662" s="30">
        <f t="shared" si="91"/>
        <v>10</v>
      </c>
      <c r="C662" s="30">
        <f t="shared" si="94"/>
        <v>23</v>
      </c>
      <c r="D662" s="26">
        <f>MATCH(WEEKDAY(A662),そのた定義!A:A,0)</f>
        <v>3</v>
      </c>
      <c r="E662" s="26" t="str">
        <f t="shared" ca="1" si="95"/>
        <v>月</v>
      </c>
      <c r="F662" s="26">
        <f t="shared" si="96"/>
        <v>0</v>
      </c>
      <c r="G662" s="26">
        <f>IF(ISNA(MATCH(A662,祝日定義!E:E,0)),0,1)</f>
        <v>0</v>
      </c>
      <c r="H662" s="26">
        <f>IF(ISNA(MATCH(B662&amp;"/"&amp;C662,そのた定義!E:E,0)), 0, 1)</f>
        <v>0</v>
      </c>
      <c r="I662" s="26" t="b">
        <f t="shared" si="97"/>
        <v>0</v>
      </c>
      <c r="J662" s="26">
        <v>2</v>
      </c>
      <c r="K662" s="26" t="b">
        <f t="shared" si="92"/>
        <v>0</v>
      </c>
      <c r="L662" s="26" t="b">
        <f t="shared" si="93"/>
        <v>0</v>
      </c>
      <c r="M662" t="b">
        <f t="shared" si="98"/>
        <v>0</v>
      </c>
      <c r="N662" t="b">
        <f t="shared" si="99"/>
        <v>0</v>
      </c>
    </row>
    <row r="663" spans="1:14">
      <c r="A663" s="29">
        <v>45223</v>
      </c>
      <c r="B663" s="30">
        <f t="shared" si="91"/>
        <v>10</v>
      </c>
      <c r="C663" s="30">
        <f t="shared" si="94"/>
        <v>24</v>
      </c>
      <c r="D663" s="26">
        <f>MATCH(WEEKDAY(A663),そのた定義!A:A,0)</f>
        <v>4</v>
      </c>
      <c r="E663" s="26" t="str">
        <f t="shared" ca="1" si="95"/>
        <v>火</v>
      </c>
      <c r="F663" s="26">
        <f t="shared" si="96"/>
        <v>0</v>
      </c>
      <c r="G663" s="26">
        <f>IF(ISNA(MATCH(A663,祝日定義!E:E,0)),0,1)</f>
        <v>0</v>
      </c>
      <c r="H663" s="26">
        <f>IF(ISNA(MATCH(B663&amp;"/"&amp;C663,そのた定義!E:E,0)), 0, 1)</f>
        <v>0</v>
      </c>
      <c r="I663" s="26" t="b">
        <f t="shared" si="97"/>
        <v>0</v>
      </c>
      <c r="J663" s="26">
        <v>0</v>
      </c>
      <c r="K663" s="26" t="b">
        <f t="shared" si="92"/>
        <v>0</v>
      </c>
      <c r="L663" s="26" t="b">
        <f t="shared" si="93"/>
        <v>0</v>
      </c>
      <c r="M663" t="b">
        <f t="shared" si="98"/>
        <v>0</v>
      </c>
      <c r="N663" t="b">
        <f t="shared" si="99"/>
        <v>0</v>
      </c>
    </row>
    <row r="664" spans="1:14">
      <c r="A664" s="29">
        <v>45224</v>
      </c>
      <c r="B664" s="30">
        <f t="shared" si="91"/>
        <v>10</v>
      </c>
      <c r="C664" s="30">
        <f t="shared" si="94"/>
        <v>25</v>
      </c>
      <c r="D664" s="26">
        <f>MATCH(WEEKDAY(A664),そのた定義!A:A,0)</f>
        <v>5</v>
      </c>
      <c r="E664" s="26" t="str">
        <f t="shared" ca="1" si="95"/>
        <v>水</v>
      </c>
      <c r="F664" s="26">
        <f t="shared" si="96"/>
        <v>0</v>
      </c>
      <c r="G664" s="26">
        <f>IF(ISNA(MATCH(A664,祝日定義!E:E,0)),0,1)</f>
        <v>0</v>
      </c>
      <c r="H664" s="26">
        <f>IF(ISNA(MATCH(B664&amp;"/"&amp;C664,そのた定義!E:E,0)), 0, 1)</f>
        <v>0</v>
      </c>
      <c r="I664" s="26" t="b">
        <f t="shared" si="97"/>
        <v>0</v>
      </c>
      <c r="J664" s="26">
        <v>0</v>
      </c>
      <c r="K664" s="26" t="b">
        <f t="shared" si="92"/>
        <v>0</v>
      </c>
      <c r="L664" s="23" t="b">
        <f t="shared" si="93"/>
        <v>1</v>
      </c>
      <c r="M664" t="b">
        <f t="shared" si="98"/>
        <v>0</v>
      </c>
      <c r="N664" t="b">
        <f t="shared" si="99"/>
        <v>0</v>
      </c>
    </row>
    <row r="665" spans="1:14">
      <c r="A665" s="29">
        <v>45225</v>
      </c>
      <c r="B665" s="30">
        <f t="shared" si="91"/>
        <v>10</v>
      </c>
      <c r="C665" s="30">
        <f t="shared" si="94"/>
        <v>26</v>
      </c>
      <c r="D665" s="26">
        <f>MATCH(WEEKDAY(A665),そのた定義!A:A,0)</f>
        <v>6</v>
      </c>
      <c r="E665" s="26" t="str">
        <f t="shared" ca="1" si="95"/>
        <v>木</v>
      </c>
      <c r="F665" s="26">
        <f t="shared" si="96"/>
        <v>0</v>
      </c>
      <c r="G665" s="26">
        <f>IF(ISNA(MATCH(A665,祝日定義!E:E,0)),0,1)</f>
        <v>0</v>
      </c>
      <c r="H665" s="26">
        <f>IF(ISNA(MATCH(B665&amp;"/"&amp;C665,そのた定義!E:E,0)), 0, 1)</f>
        <v>0</v>
      </c>
      <c r="I665" s="26" t="b">
        <f t="shared" si="97"/>
        <v>0</v>
      </c>
      <c r="J665" s="26">
        <v>0</v>
      </c>
      <c r="K665" s="26" t="b">
        <f t="shared" si="92"/>
        <v>0</v>
      </c>
      <c r="L665" s="26" t="b">
        <f t="shared" si="93"/>
        <v>0</v>
      </c>
      <c r="M665" t="b">
        <f t="shared" si="98"/>
        <v>0</v>
      </c>
      <c r="N665" t="b">
        <f t="shared" si="99"/>
        <v>0</v>
      </c>
    </row>
    <row r="666" spans="1:14">
      <c r="A666" s="29">
        <v>45226</v>
      </c>
      <c r="B666" s="30">
        <f t="shared" si="91"/>
        <v>10</v>
      </c>
      <c r="C666" s="30">
        <f t="shared" si="94"/>
        <v>27</v>
      </c>
      <c r="D666" s="26">
        <f>MATCH(WEEKDAY(A666),そのた定義!A:A,0)</f>
        <v>7</v>
      </c>
      <c r="E666" s="26" t="str">
        <f t="shared" ca="1" si="95"/>
        <v>金</v>
      </c>
      <c r="F666" s="26">
        <f t="shared" si="96"/>
        <v>0</v>
      </c>
      <c r="G666" s="26">
        <f>IF(ISNA(MATCH(A666,祝日定義!E:E,0)),0,1)</f>
        <v>0</v>
      </c>
      <c r="H666" s="26">
        <f>IF(ISNA(MATCH(B666&amp;"/"&amp;C666,そのた定義!E:E,0)), 0, 1)</f>
        <v>0</v>
      </c>
      <c r="I666" s="26" t="b">
        <f t="shared" si="97"/>
        <v>0</v>
      </c>
      <c r="J666" s="26">
        <v>0</v>
      </c>
      <c r="K666" s="26" t="b">
        <f t="shared" si="92"/>
        <v>0</v>
      </c>
      <c r="L666" s="26" t="b">
        <f t="shared" si="93"/>
        <v>0</v>
      </c>
      <c r="M666" t="b">
        <f t="shared" si="98"/>
        <v>0</v>
      </c>
      <c r="N666" t="b">
        <f t="shared" si="99"/>
        <v>0</v>
      </c>
    </row>
    <row r="667" spans="1:14">
      <c r="A667" s="29">
        <v>45227</v>
      </c>
      <c r="B667" s="30">
        <f t="shared" si="91"/>
        <v>10</v>
      </c>
      <c r="C667" s="30">
        <f t="shared" si="94"/>
        <v>28</v>
      </c>
      <c r="D667" s="26">
        <f>MATCH(WEEKDAY(A667),そのた定義!A:A,0)</f>
        <v>8</v>
      </c>
      <c r="E667" s="33" t="str">
        <f t="shared" ca="1" si="95"/>
        <v>土</v>
      </c>
      <c r="F667" s="26">
        <f t="shared" si="96"/>
        <v>1</v>
      </c>
      <c r="G667" s="26">
        <f>IF(ISNA(MATCH(A667,祝日定義!E:E,0)),0,1)</f>
        <v>0</v>
      </c>
      <c r="H667" s="26">
        <f>IF(ISNA(MATCH(B667&amp;"/"&amp;C667,そのた定義!E:E,0)), 0, 1)</f>
        <v>0</v>
      </c>
      <c r="I667" s="23" t="b">
        <f t="shared" si="97"/>
        <v>1</v>
      </c>
      <c r="J667" s="26">
        <v>0</v>
      </c>
      <c r="K667" s="26" t="b">
        <f t="shared" si="92"/>
        <v>0</v>
      </c>
      <c r="L667" s="26" t="b">
        <f t="shared" si="93"/>
        <v>0</v>
      </c>
      <c r="M667" t="b">
        <f t="shared" si="98"/>
        <v>0</v>
      </c>
      <c r="N667" t="b">
        <f t="shared" si="99"/>
        <v>0</v>
      </c>
    </row>
    <row r="668" spans="1:14">
      <c r="A668" s="29">
        <v>45228</v>
      </c>
      <c r="B668" s="30">
        <f t="shared" si="91"/>
        <v>10</v>
      </c>
      <c r="C668" s="30">
        <f t="shared" si="94"/>
        <v>29</v>
      </c>
      <c r="D668" s="26">
        <f>MATCH(WEEKDAY(A668),そのた定義!A:A,0)</f>
        <v>2</v>
      </c>
      <c r="E668" s="32" t="str">
        <f t="shared" ca="1" si="95"/>
        <v>日</v>
      </c>
      <c r="F668" s="26">
        <f t="shared" si="96"/>
        <v>1</v>
      </c>
      <c r="G668" s="26">
        <f>IF(ISNA(MATCH(A668,祝日定義!E:E,0)),0,1)</f>
        <v>0</v>
      </c>
      <c r="H668" s="26">
        <f>IF(ISNA(MATCH(B668&amp;"/"&amp;C668,そのた定義!E:E,0)), 0, 1)</f>
        <v>0</v>
      </c>
      <c r="I668" s="23" t="b">
        <f t="shared" si="97"/>
        <v>1</v>
      </c>
      <c r="J668" s="26">
        <v>0</v>
      </c>
      <c r="K668" s="26" t="b">
        <f t="shared" si="92"/>
        <v>0</v>
      </c>
      <c r="L668" s="26" t="b">
        <f t="shared" si="93"/>
        <v>0</v>
      </c>
      <c r="M668" t="b">
        <f t="shared" si="98"/>
        <v>0</v>
      </c>
      <c r="N668" t="b">
        <f t="shared" si="99"/>
        <v>0</v>
      </c>
    </row>
    <row r="669" spans="1:14">
      <c r="A669" s="29">
        <v>45229</v>
      </c>
      <c r="B669" s="30">
        <f t="shared" si="91"/>
        <v>10</v>
      </c>
      <c r="C669" s="30">
        <f t="shared" si="94"/>
        <v>30</v>
      </c>
      <c r="D669" s="26">
        <f>MATCH(WEEKDAY(A669),そのた定義!A:A,0)</f>
        <v>3</v>
      </c>
      <c r="E669" s="26" t="str">
        <f t="shared" ca="1" si="95"/>
        <v>月</v>
      </c>
      <c r="F669" s="26">
        <f t="shared" si="96"/>
        <v>0</v>
      </c>
      <c r="G669" s="26">
        <f>IF(ISNA(MATCH(A669,祝日定義!E:E,0)),0,1)</f>
        <v>0</v>
      </c>
      <c r="H669" s="26">
        <f>IF(ISNA(MATCH(B669&amp;"/"&amp;C669,そのた定義!E:E,0)), 0, 1)</f>
        <v>0</v>
      </c>
      <c r="I669" s="26" t="b">
        <f t="shared" si="97"/>
        <v>0</v>
      </c>
      <c r="J669" s="26">
        <v>2</v>
      </c>
      <c r="K669" s="26" t="b">
        <f t="shared" si="92"/>
        <v>0</v>
      </c>
      <c r="L669" s="26" t="b">
        <f t="shared" si="93"/>
        <v>0</v>
      </c>
      <c r="M669" t="b">
        <f t="shared" si="98"/>
        <v>0</v>
      </c>
      <c r="N669" t="b">
        <f t="shared" si="99"/>
        <v>0</v>
      </c>
    </row>
    <row r="670" spans="1:14">
      <c r="A670" s="29">
        <v>45230</v>
      </c>
      <c r="B670" s="30">
        <f t="shared" si="91"/>
        <v>10</v>
      </c>
      <c r="C670" s="30">
        <f t="shared" si="94"/>
        <v>31</v>
      </c>
      <c r="D670" s="26">
        <f>MATCH(WEEKDAY(A670),そのた定義!A:A,0)</f>
        <v>4</v>
      </c>
      <c r="E670" s="26" t="str">
        <f t="shared" ca="1" si="95"/>
        <v>火</v>
      </c>
      <c r="F670" s="26">
        <f t="shared" si="96"/>
        <v>0</v>
      </c>
      <c r="G670" s="26">
        <f>IF(ISNA(MATCH(A670,祝日定義!E:E,0)),0,1)</f>
        <v>0</v>
      </c>
      <c r="H670" s="26">
        <f>IF(ISNA(MATCH(B670&amp;"/"&amp;C670,そのた定義!E:E,0)), 0, 1)</f>
        <v>0</v>
      </c>
      <c r="I670" s="26" t="b">
        <f t="shared" si="97"/>
        <v>0</v>
      </c>
      <c r="J670" s="26">
        <v>0</v>
      </c>
      <c r="K670" s="26" t="b">
        <f t="shared" si="92"/>
        <v>0</v>
      </c>
      <c r="L670" s="26" t="b">
        <f t="shared" si="93"/>
        <v>0</v>
      </c>
      <c r="M670" t="b">
        <f t="shared" si="98"/>
        <v>0</v>
      </c>
      <c r="N670" t="b">
        <f t="shared" si="99"/>
        <v>1</v>
      </c>
    </row>
    <row r="671" spans="1:14">
      <c r="A671" s="29">
        <v>45231</v>
      </c>
      <c r="B671" s="30">
        <f t="shared" si="91"/>
        <v>11</v>
      </c>
      <c r="C671" s="30">
        <f t="shared" si="94"/>
        <v>1</v>
      </c>
      <c r="D671" s="26">
        <f>MATCH(WEEKDAY(A671),そのた定義!A:A,0)</f>
        <v>5</v>
      </c>
      <c r="E671" s="26" t="str">
        <f t="shared" ca="1" si="95"/>
        <v>水</v>
      </c>
      <c r="F671" s="26">
        <f t="shared" si="96"/>
        <v>0</v>
      </c>
      <c r="G671" s="26">
        <f>IF(ISNA(MATCH(A671,祝日定義!E:E,0)),0,1)</f>
        <v>0</v>
      </c>
      <c r="H671" s="26">
        <f>IF(ISNA(MATCH(B671&amp;"/"&amp;C671,そのた定義!E:E,0)), 0, 1)</f>
        <v>0</v>
      </c>
      <c r="I671" s="26" t="b">
        <f t="shared" si="97"/>
        <v>0</v>
      </c>
      <c r="J671" s="26">
        <v>0</v>
      </c>
      <c r="K671" s="26" t="b">
        <f t="shared" si="92"/>
        <v>0</v>
      </c>
      <c r="L671" s="26" t="b">
        <f t="shared" si="93"/>
        <v>0</v>
      </c>
      <c r="M671" t="b">
        <f t="shared" si="98"/>
        <v>0</v>
      </c>
      <c r="N671" t="b">
        <f t="shared" si="99"/>
        <v>0</v>
      </c>
    </row>
    <row r="672" spans="1:14">
      <c r="A672" s="29">
        <v>45232</v>
      </c>
      <c r="B672" s="30">
        <f t="shared" si="91"/>
        <v>11</v>
      </c>
      <c r="C672" s="30">
        <f t="shared" si="94"/>
        <v>2</v>
      </c>
      <c r="D672" s="26">
        <f>MATCH(WEEKDAY(A672),そのた定義!A:A,0)</f>
        <v>6</v>
      </c>
      <c r="E672" s="26" t="str">
        <f t="shared" ca="1" si="95"/>
        <v>木</v>
      </c>
      <c r="F672" s="26">
        <f t="shared" si="96"/>
        <v>0</v>
      </c>
      <c r="G672" s="26">
        <f>IF(ISNA(MATCH(A672,祝日定義!E:E,0)),0,1)</f>
        <v>0</v>
      </c>
      <c r="H672" s="26">
        <f>IF(ISNA(MATCH(B672&amp;"/"&amp;C672,そのた定義!E:E,0)), 0, 1)</f>
        <v>0</v>
      </c>
      <c r="I672" s="26" t="b">
        <f t="shared" si="97"/>
        <v>0</v>
      </c>
      <c r="J672" s="26">
        <v>0</v>
      </c>
      <c r="K672" s="26" t="b">
        <f t="shared" si="92"/>
        <v>0</v>
      </c>
      <c r="L672" s="26" t="b">
        <f t="shared" si="93"/>
        <v>0</v>
      </c>
      <c r="M672" t="b">
        <f t="shared" si="98"/>
        <v>0</v>
      </c>
      <c r="N672" t="b">
        <f t="shared" si="99"/>
        <v>0</v>
      </c>
    </row>
    <row r="673" spans="1:14">
      <c r="A673" s="29">
        <v>45233</v>
      </c>
      <c r="B673" s="30">
        <f t="shared" si="91"/>
        <v>11</v>
      </c>
      <c r="C673" s="30">
        <f t="shared" si="94"/>
        <v>3</v>
      </c>
      <c r="D673" s="26">
        <f>MATCH(WEEKDAY(A673),そのた定義!A:A,0)</f>
        <v>7</v>
      </c>
      <c r="E673" s="31" t="str">
        <f t="shared" ca="1" si="95"/>
        <v>金</v>
      </c>
      <c r="F673" s="26">
        <f t="shared" si="96"/>
        <v>0</v>
      </c>
      <c r="G673" s="26">
        <f>IF(ISNA(MATCH(A673,祝日定義!E:E,0)),0,1)</f>
        <v>1</v>
      </c>
      <c r="H673" s="26">
        <f>IF(ISNA(MATCH(B673&amp;"/"&amp;C673,そのた定義!E:E,0)), 0, 1)</f>
        <v>0</v>
      </c>
      <c r="I673" s="23" t="b">
        <f t="shared" si="97"/>
        <v>1</v>
      </c>
      <c r="J673" s="26">
        <v>0</v>
      </c>
      <c r="K673" s="26" t="b">
        <f t="shared" si="92"/>
        <v>0</v>
      </c>
      <c r="L673" s="26" t="b">
        <f t="shared" si="93"/>
        <v>0</v>
      </c>
      <c r="M673" t="b">
        <f t="shared" si="98"/>
        <v>0</v>
      </c>
      <c r="N673" t="b">
        <f t="shared" si="99"/>
        <v>0</v>
      </c>
    </row>
    <row r="674" spans="1:14">
      <c r="A674" s="29">
        <v>45234</v>
      </c>
      <c r="B674" s="30">
        <f t="shared" si="91"/>
        <v>11</v>
      </c>
      <c r="C674" s="30">
        <f t="shared" si="94"/>
        <v>4</v>
      </c>
      <c r="D674" s="26">
        <f>MATCH(WEEKDAY(A674),そのた定義!A:A,0)</f>
        <v>8</v>
      </c>
      <c r="E674" s="33" t="str">
        <f t="shared" ca="1" si="95"/>
        <v>土</v>
      </c>
      <c r="F674" s="26">
        <f t="shared" si="96"/>
        <v>1</v>
      </c>
      <c r="G674" s="26">
        <f>IF(ISNA(MATCH(A674,祝日定義!E:E,0)),0,1)</f>
        <v>0</v>
      </c>
      <c r="H674" s="26">
        <f>IF(ISNA(MATCH(B674&amp;"/"&amp;C674,そのた定義!E:E,0)), 0, 1)</f>
        <v>0</v>
      </c>
      <c r="I674" s="23" t="b">
        <f t="shared" si="97"/>
        <v>1</v>
      </c>
      <c r="J674" s="26">
        <v>0</v>
      </c>
      <c r="K674" s="26" t="b">
        <f t="shared" si="92"/>
        <v>0</v>
      </c>
      <c r="L674" s="26" t="b">
        <f t="shared" si="93"/>
        <v>0</v>
      </c>
      <c r="M674" t="b">
        <f t="shared" si="98"/>
        <v>0</v>
      </c>
      <c r="N674" t="b">
        <f t="shared" si="99"/>
        <v>0</v>
      </c>
    </row>
    <row r="675" spans="1:14">
      <c r="A675" s="29">
        <v>45235</v>
      </c>
      <c r="B675" s="30">
        <f t="shared" si="91"/>
        <v>11</v>
      </c>
      <c r="C675" s="30">
        <f t="shared" si="94"/>
        <v>5</v>
      </c>
      <c r="D675" s="26">
        <f>MATCH(WEEKDAY(A675),そのた定義!A:A,0)</f>
        <v>2</v>
      </c>
      <c r="E675" s="32" t="str">
        <f t="shared" ca="1" si="95"/>
        <v>日</v>
      </c>
      <c r="F675" s="26">
        <f t="shared" si="96"/>
        <v>1</v>
      </c>
      <c r="G675" s="26">
        <f>IF(ISNA(MATCH(A675,祝日定義!E:E,0)),0,1)</f>
        <v>0</v>
      </c>
      <c r="H675" s="26">
        <f>IF(ISNA(MATCH(B675&amp;"/"&amp;C675,そのた定義!E:E,0)), 0, 1)</f>
        <v>0</v>
      </c>
      <c r="I675" s="23" t="b">
        <f t="shared" si="97"/>
        <v>1</v>
      </c>
      <c r="J675" s="26">
        <v>0</v>
      </c>
      <c r="K675" s="26" t="b">
        <f t="shared" si="92"/>
        <v>0</v>
      </c>
      <c r="L675" s="26" t="b">
        <f t="shared" si="93"/>
        <v>0</v>
      </c>
      <c r="M675" t="b">
        <f t="shared" si="98"/>
        <v>0</v>
      </c>
      <c r="N675" t="b">
        <f t="shared" si="99"/>
        <v>0</v>
      </c>
    </row>
    <row r="676" spans="1:14">
      <c r="A676" s="29">
        <v>45236</v>
      </c>
      <c r="B676" s="30">
        <f t="shared" si="91"/>
        <v>11</v>
      </c>
      <c r="C676" s="30">
        <f t="shared" si="94"/>
        <v>6</v>
      </c>
      <c r="D676" s="26">
        <f>MATCH(WEEKDAY(A676),そのた定義!A:A,0)</f>
        <v>3</v>
      </c>
      <c r="E676" s="26" t="str">
        <f t="shared" ca="1" si="95"/>
        <v>月</v>
      </c>
      <c r="F676" s="26">
        <f t="shared" si="96"/>
        <v>0</v>
      </c>
      <c r="G676" s="26">
        <f>IF(ISNA(MATCH(A676,祝日定義!E:E,0)),0,1)</f>
        <v>0</v>
      </c>
      <c r="H676" s="26">
        <f>IF(ISNA(MATCH(B676&amp;"/"&amp;C676,そのた定義!E:E,0)), 0, 1)</f>
        <v>0</v>
      </c>
      <c r="I676" s="26" t="b">
        <f t="shared" si="97"/>
        <v>0</v>
      </c>
      <c r="J676" s="26">
        <v>3</v>
      </c>
      <c r="K676" s="26" t="b">
        <f t="shared" si="92"/>
        <v>0</v>
      </c>
      <c r="L676" s="26" t="b">
        <f t="shared" si="93"/>
        <v>0</v>
      </c>
      <c r="M676" t="b">
        <f t="shared" si="98"/>
        <v>0</v>
      </c>
      <c r="N676" t="b">
        <f t="shared" si="99"/>
        <v>0</v>
      </c>
    </row>
    <row r="677" spans="1:14">
      <c r="A677" s="29">
        <v>45237</v>
      </c>
      <c r="B677" s="30">
        <f t="shared" si="91"/>
        <v>11</v>
      </c>
      <c r="C677" s="30">
        <f t="shared" si="94"/>
        <v>7</v>
      </c>
      <c r="D677" s="26">
        <f>MATCH(WEEKDAY(A677),そのた定義!A:A,0)</f>
        <v>4</v>
      </c>
      <c r="E677" s="26" t="str">
        <f t="shared" ca="1" si="95"/>
        <v>火</v>
      </c>
      <c r="F677" s="26">
        <f t="shared" si="96"/>
        <v>0</v>
      </c>
      <c r="G677" s="26">
        <f>IF(ISNA(MATCH(A677,祝日定義!E:E,0)),0,1)</f>
        <v>0</v>
      </c>
      <c r="H677" s="26">
        <f>IF(ISNA(MATCH(B677&amp;"/"&amp;C677,そのた定義!E:E,0)), 0, 1)</f>
        <v>0</v>
      </c>
      <c r="I677" s="26" t="b">
        <f t="shared" si="97"/>
        <v>0</v>
      </c>
      <c r="J677" s="26">
        <v>0</v>
      </c>
      <c r="K677" s="26" t="b">
        <f t="shared" si="92"/>
        <v>0</v>
      </c>
      <c r="L677" s="26" t="b">
        <f t="shared" si="93"/>
        <v>0</v>
      </c>
      <c r="M677" t="b">
        <f t="shared" si="98"/>
        <v>0</v>
      </c>
      <c r="N677" t="b">
        <f t="shared" si="99"/>
        <v>0</v>
      </c>
    </row>
    <row r="678" spans="1:14">
      <c r="A678" s="29">
        <v>45238</v>
      </c>
      <c r="B678" s="30">
        <f t="shared" si="91"/>
        <v>11</v>
      </c>
      <c r="C678" s="30">
        <f t="shared" si="94"/>
        <v>8</v>
      </c>
      <c r="D678" s="26">
        <f>MATCH(WEEKDAY(A678),そのた定義!A:A,0)</f>
        <v>5</v>
      </c>
      <c r="E678" s="26" t="str">
        <f t="shared" ca="1" si="95"/>
        <v>水</v>
      </c>
      <c r="F678" s="26">
        <f t="shared" si="96"/>
        <v>0</v>
      </c>
      <c r="G678" s="26">
        <f>IF(ISNA(MATCH(A678,祝日定義!E:E,0)),0,1)</f>
        <v>0</v>
      </c>
      <c r="H678" s="26">
        <f>IF(ISNA(MATCH(B678&amp;"/"&amp;C678,そのた定義!E:E,0)), 0, 1)</f>
        <v>0</v>
      </c>
      <c r="I678" s="26" t="b">
        <f t="shared" si="97"/>
        <v>0</v>
      </c>
      <c r="J678" s="26">
        <v>0</v>
      </c>
      <c r="K678" s="26" t="b">
        <f t="shared" si="92"/>
        <v>0</v>
      </c>
      <c r="L678" s="26" t="b">
        <f t="shared" si="93"/>
        <v>0</v>
      </c>
      <c r="M678" t="b">
        <f t="shared" si="98"/>
        <v>0</v>
      </c>
      <c r="N678" t="b">
        <f t="shared" si="99"/>
        <v>0</v>
      </c>
    </row>
    <row r="679" spans="1:14">
      <c r="A679" s="29">
        <v>45239</v>
      </c>
      <c r="B679" s="30">
        <f t="shared" si="91"/>
        <v>11</v>
      </c>
      <c r="C679" s="30">
        <f t="shared" si="94"/>
        <v>9</v>
      </c>
      <c r="D679" s="26">
        <f>MATCH(WEEKDAY(A679),そのた定義!A:A,0)</f>
        <v>6</v>
      </c>
      <c r="E679" s="26" t="str">
        <f t="shared" ca="1" si="95"/>
        <v>木</v>
      </c>
      <c r="F679" s="26">
        <f t="shared" si="96"/>
        <v>0</v>
      </c>
      <c r="G679" s="26">
        <f>IF(ISNA(MATCH(A679,祝日定義!E:E,0)),0,1)</f>
        <v>0</v>
      </c>
      <c r="H679" s="26">
        <f>IF(ISNA(MATCH(B679&amp;"/"&amp;C679,そのた定義!E:E,0)), 0, 1)</f>
        <v>0</v>
      </c>
      <c r="I679" s="26" t="b">
        <f t="shared" si="97"/>
        <v>0</v>
      </c>
      <c r="J679" s="26">
        <v>0</v>
      </c>
      <c r="K679" s="26" t="b">
        <f t="shared" si="92"/>
        <v>0</v>
      </c>
      <c r="L679" s="26" t="b">
        <f t="shared" si="93"/>
        <v>0</v>
      </c>
      <c r="M679" t="b">
        <f t="shared" si="98"/>
        <v>0</v>
      </c>
      <c r="N679" t="b">
        <f t="shared" si="99"/>
        <v>0</v>
      </c>
    </row>
    <row r="680" spans="1:14">
      <c r="A680" s="29">
        <v>45240</v>
      </c>
      <c r="B680" s="30">
        <f t="shared" si="91"/>
        <v>11</v>
      </c>
      <c r="C680" s="30">
        <f t="shared" si="94"/>
        <v>10</v>
      </c>
      <c r="D680" s="26">
        <f>MATCH(WEEKDAY(A680),そのた定義!A:A,0)</f>
        <v>7</v>
      </c>
      <c r="E680" s="26" t="str">
        <f t="shared" ca="1" si="95"/>
        <v>金</v>
      </c>
      <c r="F680" s="26">
        <f t="shared" si="96"/>
        <v>0</v>
      </c>
      <c r="G680" s="26">
        <f>IF(ISNA(MATCH(A680,祝日定義!E:E,0)),0,1)</f>
        <v>0</v>
      </c>
      <c r="H680" s="26">
        <f>IF(ISNA(MATCH(B680&amp;"/"&amp;C680,そのた定義!E:E,0)), 0, 1)</f>
        <v>0</v>
      </c>
      <c r="I680" s="26" t="b">
        <f t="shared" si="97"/>
        <v>0</v>
      </c>
      <c r="J680" s="26">
        <v>0</v>
      </c>
      <c r="K680" s="26" t="b">
        <f t="shared" si="92"/>
        <v>0</v>
      </c>
      <c r="L680" s="26" t="b">
        <f t="shared" si="93"/>
        <v>0</v>
      </c>
      <c r="M680" t="b">
        <f t="shared" si="98"/>
        <v>0</v>
      </c>
      <c r="N680" t="b">
        <f t="shared" si="99"/>
        <v>0</v>
      </c>
    </row>
    <row r="681" spans="1:14">
      <c r="A681" s="29">
        <v>45241</v>
      </c>
      <c r="B681" s="30">
        <f t="shared" si="91"/>
        <v>11</v>
      </c>
      <c r="C681" s="30">
        <f t="shared" si="94"/>
        <v>11</v>
      </c>
      <c r="D681" s="26">
        <f>MATCH(WEEKDAY(A681),そのた定義!A:A,0)</f>
        <v>8</v>
      </c>
      <c r="E681" s="33" t="str">
        <f t="shared" ca="1" si="95"/>
        <v>土</v>
      </c>
      <c r="F681" s="26">
        <f t="shared" si="96"/>
        <v>1</v>
      </c>
      <c r="G681" s="26">
        <f>IF(ISNA(MATCH(A681,祝日定義!E:E,0)),0,1)</f>
        <v>0</v>
      </c>
      <c r="H681" s="26">
        <f>IF(ISNA(MATCH(B681&amp;"/"&amp;C681,そのた定義!E:E,0)), 0, 1)</f>
        <v>0</v>
      </c>
      <c r="I681" s="23" t="b">
        <f t="shared" si="97"/>
        <v>1</v>
      </c>
      <c r="J681" s="26">
        <v>0</v>
      </c>
      <c r="K681" s="26" t="b">
        <f t="shared" si="92"/>
        <v>0</v>
      </c>
      <c r="L681" s="26" t="b">
        <f t="shared" si="93"/>
        <v>0</v>
      </c>
      <c r="M681" t="b">
        <f t="shared" si="98"/>
        <v>0</v>
      </c>
      <c r="N681" t="b">
        <f t="shared" si="99"/>
        <v>0</v>
      </c>
    </row>
    <row r="682" spans="1:14">
      <c r="A682" s="29">
        <v>45242</v>
      </c>
      <c r="B682" s="30">
        <f t="shared" si="91"/>
        <v>11</v>
      </c>
      <c r="C682" s="30">
        <f t="shared" si="94"/>
        <v>12</v>
      </c>
      <c r="D682" s="26">
        <f>MATCH(WEEKDAY(A682),そのた定義!A:A,0)</f>
        <v>2</v>
      </c>
      <c r="E682" s="32" t="str">
        <f t="shared" ca="1" si="95"/>
        <v>日</v>
      </c>
      <c r="F682" s="26">
        <f t="shared" si="96"/>
        <v>1</v>
      </c>
      <c r="G682" s="26">
        <f>IF(ISNA(MATCH(A682,祝日定義!E:E,0)),0,1)</f>
        <v>0</v>
      </c>
      <c r="H682" s="26">
        <f>IF(ISNA(MATCH(B682&amp;"/"&amp;C682,そのた定義!E:E,0)), 0, 1)</f>
        <v>0</v>
      </c>
      <c r="I682" s="23" t="b">
        <f t="shared" si="97"/>
        <v>1</v>
      </c>
      <c r="J682" s="26">
        <v>0</v>
      </c>
      <c r="K682" s="26" t="b">
        <f t="shared" si="92"/>
        <v>0</v>
      </c>
      <c r="L682" s="26" t="b">
        <f t="shared" si="93"/>
        <v>0</v>
      </c>
      <c r="M682" t="b">
        <f t="shared" si="98"/>
        <v>0</v>
      </c>
      <c r="N682" t="b">
        <f t="shared" si="99"/>
        <v>0</v>
      </c>
    </row>
    <row r="683" spans="1:14">
      <c r="A683" s="29">
        <v>45243</v>
      </c>
      <c r="B683" s="30">
        <f t="shared" si="91"/>
        <v>11</v>
      </c>
      <c r="C683" s="30">
        <f t="shared" si="94"/>
        <v>13</v>
      </c>
      <c r="D683" s="26">
        <f>MATCH(WEEKDAY(A683),そのた定義!A:A,0)</f>
        <v>3</v>
      </c>
      <c r="E683" s="26" t="str">
        <f t="shared" ca="1" si="95"/>
        <v>月</v>
      </c>
      <c r="F683" s="26">
        <f t="shared" si="96"/>
        <v>0</v>
      </c>
      <c r="G683" s="26">
        <f>IF(ISNA(MATCH(A683,祝日定義!E:E,0)),0,1)</f>
        <v>0</v>
      </c>
      <c r="H683" s="26">
        <f>IF(ISNA(MATCH(B683&amp;"/"&amp;C683,そのた定義!E:E,0)), 0, 1)</f>
        <v>0</v>
      </c>
      <c r="I683" s="26" t="b">
        <f t="shared" si="97"/>
        <v>0</v>
      </c>
      <c r="J683" s="26">
        <v>2</v>
      </c>
      <c r="K683" s="26" t="b">
        <f t="shared" si="92"/>
        <v>0</v>
      </c>
      <c r="L683" s="26" t="b">
        <f t="shared" si="93"/>
        <v>0</v>
      </c>
      <c r="M683" t="b">
        <f t="shared" si="98"/>
        <v>0</v>
      </c>
      <c r="N683" t="b">
        <f t="shared" si="99"/>
        <v>0</v>
      </c>
    </row>
    <row r="684" spans="1:14">
      <c r="A684" s="29">
        <v>45244</v>
      </c>
      <c r="B684" s="30">
        <f t="shared" si="91"/>
        <v>11</v>
      </c>
      <c r="C684" s="30">
        <f t="shared" si="94"/>
        <v>14</v>
      </c>
      <c r="D684" s="26">
        <f>MATCH(WEEKDAY(A684),そのた定義!A:A,0)</f>
        <v>4</v>
      </c>
      <c r="E684" s="26" t="str">
        <f t="shared" ca="1" si="95"/>
        <v>火</v>
      </c>
      <c r="F684" s="26">
        <f t="shared" si="96"/>
        <v>0</v>
      </c>
      <c r="G684" s="26">
        <f>IF(ISNA(MATCH(A684,祝日定義!E:E,0)),0,1)</f>
        <v>0</v>
      </c>
      <c r="H684" s="26">
        <f>IF(ISNA(MATCH(B684&amp;"/"&amp;C684,そのた定義!E:E,0)), 0, 1)</f>
        <v>0</v>
      </c>
      <c r="I684" s="26" t="b">
        <f t="shared" si="97"/>
        <v>0</v>
      </c>
      <c r="J684" s="26">
        <v>0</v>
      </c>
      <c r="K684" s="26" t="b">
        <f t="shared" si="92"/>
        <v>0</v>
      </c>
      <c r="L684" s="26" t="b">
        <f t="shared" si="93"/>
        <v>0</v>
      </c>
      <c r="M684" t="b">
        <f t="shared" si="98"/>
        <v>0</v>
      </c>
      <c r="N684" t="b">
        <f t="shared" si="99"/>
        <v>0</v>
      </c>
    </row>
    <row r="685" spans="1:14">
      <c r="A685" s="29">
        <v>45245</v>
      </c>
      <c r="B685" s="30">
        <f t="shared" si="91"/>
        <v>11</v>
      </c>
      <c r="C685" s="30">
        <f t="shared" si="94"/>
        <v>15</v>
      </c>
      <c r="D685" s="26">
        <f>MATCH(WEEKDAY(A685),そのた定義!A:A,0)</f>
        <v>5</v>
      </c>
      <c r="E685" s="26" t="str">
        <f t="shared" ca="1" si="95"/>
        <v>水</v>
      </c>
      <c r="F685" s="26">
        <f t="shared" si="96"/>
        <v>0</v>
      </c>
      <c r="G685" s="26">
        <f>IF(ISNA(MATCH(A685,祝日定義!E:E,0)),0,1)</f>
        <v>0</v>
      </c>
      <c r="H685" s="26">
        <f>IF(ISNA(MATCH(B685&amp;"/"&amp;C685,そのた定義!E:E,0)), 0, 1)</f>
        <v>0</v>
      </c>
      <c r="I685" s="26" t="b">
        <f t="shared" si="97"/>
        <v>0</v>
      </c>
      <c r="J685" s="26">
        <v>0</v>
      </c>
      <c r="K685" s="26" t="b">
        <f t="shared" si="92"/>
        <v>0</v>
      </c>
      <c r="L685" s="26" t="b">
        <f t="shared" si="93"/>
        <v>0</v>
      </c>
      <c r="M685" t="b">
        <f t="shared" si="98"/>
        <v>0</v>
      </c>
      <c r="N685" t="b">
        <f t="shared" si="99"/>
        <v>0</v>
      </c>
    </row>
    <row r="686" spans="1:14">
      <c r="A686" s="29">
        <v>45246</v>
      </c>
      <c r="B686" s="30">
        <f t="shared" si="91"/>
        <v>11</v>
      </c>
      <c r="C686" s="30">
        <f t="shared" si="94"/>
        <v>16</v>
      </c>
      <c r="D686" s="26">
        <f>MATCH(WEEKDAY(A686),そのた定義!A:A,0)</f>
        <v>6</v>
      </c>
      <c r="E686" s="26" t="str">
        <f t="shared" ca="1" si="95"/>
        <v>木</v>
      </c>
      <c r="F686" s="26">
        <f t="shared" si="96"/>
        <v>0</v>
      </c>
      <c r="G686" s="26">
        <f>IF(ISNA(MATCH(A686,祝日定義!E:E,0)),0,1)</f>
        <v>0</v>
      </c>
      <c r="H686" s="26">
        <f>IF(ISNA(MATCH(B686&amp;"/"&amp;C686,そのた定義!E:E,0)), 0, 1)</f>
        <v>0</v>
      </c>
      <c r="I686" s="26" t="b">
        <f t="shared" si="97"/>
        <v>0</v>
      </c>
      <c r="J686" s="26">
        <v>0</v>
      </c>
      <c r="K686" s="26" t="b">
        <f t="shared" si="92"/>
        <v>0</v>
      </c>
      <c r="L686" s="26" t="b">
        <f t="shared" si="93"/>
        <v>0</v>
      </c>
      <c r="M686" t="b">
        <f t="shared" si="98"/>
        <v>0</v>
      </c>
      <c r="N686" t="b">
        <f t="shared" si="99"/>
        <v>0</v>
      </c>
    </row>
    <row r="687" spans="1:14">
      <c r="A687" s="29">
        <v>45247</v>
      </c>
      <c r="B687" s="30">
        <f t="shared" si="91"/>
        <v>11</v>
      </c>
      <c r="C687" s="30">
        <f t="shared" si="94"/>
        <v>17</v>
      </c>
      <c r="D687" s="26">
        <f>MATCH(WEEKDAY(A687),そのた定義!A:A,0)</f>
        <v>7</v>
      </c>
      <c r="E687" s="26" t="str">
        <f t="shared" ca="1" si="95"/>
        <v>金</v>
      </c>
      <c r="F687" s="26">
        <f t="shared" si="96"/>
        <v>0</v>
      </c>
      <c r="G687" s="26">
        <f>IF(ISNA(MATCH(A687,祝日定義!E:E,0)),0,1)</f>
        <v>0</v>
      </c>
      <c r="H687" s="26">
        <f>IF(ISNA(MATCH(B687&amp;"/"&amp;C687,そのた定義!E:E,0)), 0, 1)</f>
        <v>0</v>
      </c>
      <c r="I687" s="26" t="b">
        <f t="shared" si="97"/>
        <v>0</v>
      </c>
      <c r="J687" s="26">
        <v>0</v>
      </c>
      <c r="K687" s="26" t="b">
        <f t="shared" si="92"/>
        <v>0</v>
      </c>
      <c r="L687" s="26" t="b">
        <f t="shared" si="93"/>
        <v>0</v>
      </c>
      <c r="M687" t="b">
        <f t="shared" si="98"/>
        <v>0</v>
      </c>
      <c r="N687" t="b">
        <f t="shared" si="99"/>
        <v>0</v>
      </c>
    </row>
    <row r="688" spans="1:14">
      <c r="A688" s="29">
        <v>45248</v>
      </c>
      <c r="B688" s="30">
        <f t="shared" si="91"/>
        <v>11</v>
      </c>
      <c r="C688" s="30">
        <f t="shared" si="94"/>
        <v>18</v>
      </c>
      <c r="D688" s="26">
        <f>MATCH(WEEKDAY(A688),そのた定義!A:A,0)</f>
        <v>8</v>
      </c>
      <c r="E688" s="33" t="str">
        <f t="shared" ca="1" si="95"/>
        <v>土</v>
      </c>
      <c r="F688" s="26">
        <f t="shared" si="96"/>
        <v>1</v>
      </c>
      <c r="G688" s="26">
        <f>IF(ISNA(MATCH(A688,祝日定義!E:E,0)),0,1)</f>
        <v>0</v>
      </c>
      <c r="H688" s="26">
        <f>IF(ISNA(MATCH(B688&amp;"/"&amp;C688,そのた定義!E:E,0)), 0, 1)</f>
        <v>0</v>
      </c>
      <c r="I688" s="23" t="b">
        <f t="shared" si="97"/>
        <v>1</v>
      </c>
      <c r="J688" s="26">
        <v>0</v>
      </c>
      <c r="K688" s="26" t="b">
        <f t="shared" si="92"/>
        <v>0</v>
      </c>
      <c r="L688" s="26" t="b">
        <f t="shared" si="93"/>
        <v>0</v>
      </c>
      <c r="M688" t="b">
        <f t="shared" si="98"/>
        <v>0</v>
      </c>
      <c r="N688" t="b">
        <f t="shared" si="99"/>
        <v>0</v>
      </c>
    </row>
    <row r="689" spans="1:14">
      <c r="A689" s="29">
        <v>45249</v>
      </c>
      <c r="B689" s="30">
        <f t="shared" si="91"/>
        <v>11</v>
      </c>
      <c r="C689" s="30">
        <f t="shared" si="94"/>
        <v>19</v>
      </c>
      <c r="D689" s="26">
        <f>MATCH(WEEKDAY(A689),そのた定義!A:A,0)</f>
        <v>2</v>
      </c>
      <c r="E689" s="32" t="str">
        <f t="shared" ca="1" si="95"/>
        <v>日</v>
      </c>
      <c r="F689" s="26">
        <f t="shared" si="96"/>
        <v>1</v>
      </c>
      <c r="G689" s="26">
        <f>IF(ISNA(MATCH(A689,祝日定義!E:E,0)),0,1)</f>
        <v>0</v>
      </c>
      <c r="H689" s="26">
        <f>IF(ISNA(MATCH(B689&amp;"/"&amp;C689,そのた定義!E:E,0)), 0, 1)</f>
        <v>0</v>
      </c>
      <c r="I689" s="23" t="b">
        <f t="shared" si="97"/>
        <v>1</v>
      </c>
      <c r="J689" s="26">
        <v>0</v>
      </c>
      <c r="K689" s="26" t="b">
        <f t="shared" si="92"/>
        <v>0</v>
      </c>
      <c r="L689" s="26" t="b">
        <f t="shared" si="93"/>
        <v>0</v>
      </c>
      <c r="M689" t="b">
        <f t="shared" si="98"/>
        <v>0</v>
      </c>
      <c r="N689" t="b">
        <f t="shared" si="99"/>
        <v>0</v>
      </c>
    </row>
    <row r="690" spans="1:14">
      <c r="A690" s="29">
        <v>45250</v>
      </c>
      <c r="B690" s="30">
        <f t="shared" si="91"/>
        <v>11</v>
      </c>
      <c r="C690" s="30">
        <f t="shared" si="94"/>
        <v>20</v>
      </c>
      <c r="D690" s="26">
        <f>MATCH(WEEKDAY(A690),そのた定義!A:A,0)</f>
        <v>3</v>
      </c>
      <c r="E690" s="26" t="str">
        <f t="shared" ca="1" si="95"/>
        <v>月</v>
      </c>
      <c r="F690" s="26">
        <f t="shared" si="96"/>
        <v>0</v>
      </c>
      <c r="G690" s="26">
        <f>IF(ISNA(MATCH(A690,祝日定義!E:E,0)),0,1)</f>
        <v>0</v>
      </c>
      <c r="H690" s="26">
        <f>IF(ISNA(MATCH(B690&amp;"/"&amp;C690,そのた定義!E:E,0)), 0, 1)</f>
        <v>0</v>
      </c>
      <c r="I690" s="26" t="b">
        <f t="shared" si="97"/>
        <v>0</v>
      </c>
      <c r="J690" s="26">
        <v>2</v>
      </c>
      <c r="K690" s="26" t="b">
        <f t="shared" si="92"/>
        <v>0</v>
      </c>
      <c r="L690" s="26" t="b">
        <f t="shared" si="93"/>
        <v>0</v>
      </c>
      <c r="M690" t="b">
        <f t="shared" si="98"/>
        <v>0</v>
      </c>
      <c r="N690" t="b">
        <f t="shared" si="99"/>
        <v>0</v>
      </c>
    </row>
    <row r="691" spans="1:14">
      <c r="A691" s="29">
        <v>45251</v>
      </c>
      <c r="B691" s="30">
        <f t="shared" si="91"/>
        <v>11</v>
      </c>
      <c r="C691" s="30">
        <f t="shared" si="94"/>
        <v>21</v>
      </c>
      <c r="D691" s="26">
        <f>MATCH(WEEKDAY(A691),そのた定義!A:A,0)</f>
        <v>4</v>
      </c>
      <c r="E691" s="26" t="str">
        <f t="shared" ca="1" si="95"/>
        <v>火</v>
      </c>
      <c r="F691" s="26">
        <f t="shared" si="96"/>
        <v>0</v>
      </c>
      <c r="G691" s="26">
        <f>IF(ISNA(MATCH(A691,祝日定義!E:E,0)),0,1)</f>
        <v>0</v>
      </c>
      <c r="H691" s="26">
        <f>IF(ISNA(MATCH(B691&amp;"/"&amp;C691,そのた定義!E:E,0)), 0, 1)</f>
        <v>0</v>
      </c>
      <c r="I691" s="26" t="b">
        <f t="shared" si="97"/>
        <v>0</v>
      </c>
      <c r="J691" s="26">
        <v>0</v>
      </c>
      <c r="K691" s="26" t="b">
        <f t="shared" si="92"/>
        <v>0</v>
      </c>
      <c r="L691" s="26" t="b">
        <f t="shared" si="93"/>
        <v>0</v>
      </c>
      <c r="M691" t="b">
        <f t="shared" si="98"/>
        <v>0</v>
      </c>
      <c r="N691" t="b">
        <f t="shared" si="99"/>
        <v>0</v>
      </c>
    </row>
    <row r="692" spans="1:14">
      <c r="A692" s="29">
        <v>45252</v>
      </c>
      <c r="B692" s="30">
        <f t="shared" si="91"/>
        <v>11</v>
      </c>
      <c r="C692" s="30">
        <f t="shared" si="94"/>
        <v>22</v>
      </c>
      <c r="D692" s="26">
        <f>MATCH(WEEKDAY(A692),そのた定義!A:A,0)</f>
        <v>5</v>
      </c>
      <c r="E692" s="26" t="str">
        <f t="shared" ca="1" si="95"/>
        <v>水</v>
      </c>
      <c r="F692" s="26">
        <f t="shared" si="96"/>
        <v>0</v>
      </c>
      <c r="G692" s="26">
        <f>IF(ISNA(MATCH(A692,祝日定義!E:E,0)),0,1)</f>
        <v>0</v>
      </c>
      <c r="H692" s="26">
        <f>IF(ISNA(MATCH(B692&amp;"/"&amp;C692,そのた定義!E:E,0)), 0, 1)</f>
        <v>0</v>
      </c>
      <c r="I692" s="26" t="b">
        <f t="shared" si="97"/>
        <v>0</v>
      </c>
      <c r="J692" s="26">
        <v>0</v>
      </c>
      <c r="K692" s="26" t="b">
        <f t="shared" si="92"/>
        <v>0</v>
      </c>
      <c r="L692" s="26" t="b">
        <f t="shared" si="93"/>
        <v>0</v>
      </c>
      <c r="M692" t="b">
        <f t="shared" si="98"/>
        <v>0</v>
      </c>
      <c r="N692" t="b">
        <f t="shared" si="99"/>
        <v>0</v>
      </c>
    </row>
    <row r="693" spans="1:14">
      <c r="A693" s="29">
        <v>45253</v>
      </c>
      <c r="B693" s="30">
        <f t="shared" si="91"/>
        <v>11</v>
      </c>
      <c r="C693" s="30">
        <f t="shared" si="94"/>
        <v>23</v>
      </c>
      <c r="D693" s="26">
        <f>MATCH(WEEKDAY(A693),そのた定義!A:A,0)</f>
        <v>6</v>
      </c>
      <c r="E693" s="31" t="str">
        <f t="shared" ca="1" si="95"/>
        <v>木</v>
      </c>
      <c r="F693" s="26">
        <f t="shared" si="96"/>
        <v>0</v>
      </c>
      <c r="G693" s="26">
        <f>IF(ISNA(MATCH(A693,祝日定義!E:E,0)),0,1)</f>
        <v>1</v>
      </c>
      <c r="H693" s="26">
        <f>IF(ISNA(MATCH(B693&amp;"/"&amp;C693,そのた定義!E:E,0)), 0, 1)</f>
        <v>0</v>
      </c>
      <c r="I693" s="23" t="b">
        <f t="shared" si="97"/>
        <v>1</v>
      </c>
      <c r="J693" s="26">
        <v>0</v>
      </c>
      <c r="K693" s="26" t="b">
        <f t="shared" si="92"/>
        <v>0</v>
      </c>
      <c r="L693" s="26" t="b">
        <f t="shared" si="93"/>
        <v>0</v>
      </c>
      <c r="M693" t="b">
        <f t="shared" si="98"/>
        <v>0</v>
      </c>
      <c r="N693" t="b">
        <f t="shared" si="99"/>
        <v>0</v>
      </c>
    </row>
    <row r="694" spans="1:14">
      <c r="A694" s="29">
        <v>45254</v>
      </c>
      <c r="B694" s="30">
        <f t="shared" si="91"/>
        <v>11</v>
      </c>
      <c r="C694" s="30">
        <f t="shared" si="94"/>
        <v>24</v>
      </c>
      <c r="D694" s="26">
        <f>MATCH(WEEKDAY(A694),そのた定義!A:A,0)</f>
        <v>7</v>
      </c>
      <c r="E694" s="26" t="str">
        <f t="shared" ca="1" si="95"/>
        <v>金</v>
      </c>
      <c r="F694" s="26">
        <f t="shared" si="96"/>
        <v>0</v>
      </c>
      <c r="G694" s="26">
        <f>IF(ISNA(MATCH(A694,祝日定義!E:E,0)),0,1)</f>
        <v>0</v>
      </c>
      <c r="H694" s="26">
        <f>IF(ISNA(MATCH(B694&amp;"/"&amp;C694,そのた定義!E:E,0)), 0, 1)</f>
        <v>0</v>
      </c>
      <c r="I694" s="26" t="b">
        <f t="shared" si="97"/>
        <v>0</v>
      </c>
      <c r="J694" s="26">
        <v>1</v>
      </c>
      <c r="K694" s="26" t="b">
        <f t="shared" si="92"/>
        <v>0</v>
      </c>
      <c r="L694" s="26" t="b">
        <f t="shared" si="93"/>
        <v>0</v>
      </c>
      <c r="M694" t="b">
        <f t="shared" si="98"/>
        <v>0</v>
      </c>
      <c r="N694" t="b">
        <f t="shared" si="99"/>
        <v>0</v>
      </c>
    </row>
    <row r="695" spans="1:14">
      <c r="A695" s="29">
        <v>45255</v>
      </c>
      <c r="B695" s="30">
        <f t="shared" si="91"/>
        <v>11</v>
      </c>
      <c r="C695" s="30">
        <f t="shared" si="94"/>
        <v>25</v>
      </c>
      <c r="D695" s="26">
        <f>MATCH(WEEKDAY(A695),そのた定義!A:A,0)</f>
        <v>8</v>
      </c>
      <c r="E695" s="33" t="str">
        <f t="shared" ca="1" si="95"/>
        <v>土</v>
      </c>
      <c r="F695" s="26">
        <f t="shared" si="96"/>
        <v>1</v>
      </c>
      <c r="G695" s="26">
        <f>IF(ISNA(MATCH(A695,祝日定義!E:E,0)),0,1)</f>
        <v>0</v>
      </c>
      <c r="H695" s="26">
        <f>IF(ISNA(MATCH(B695&amp;"/"&amp;C695,そのた定義!E:E,0)), 0, 1)</f>
        <v>0</v>
      </c>
      <c r="I695" s="23" t="b">
        <f t="shared" si="97"/>
        <v>1</v>
      </c>
      <c r="J695" s="26">
        <v>0</v>
      </c>
      <c r="K695" s="26" t="b">
        <f t="shared" si="92"/>
        <v>0</v>
      </c>
      <c r="L695" s="23" t="b">
        <f t="shared" si="93"/>
        <v>1</v>
      </c>
      <c r="M695" t="b">
        <f t="shared" si="98"/>
        <v>0</v>
      </c>
      <c r="N695" t="b">
        <f t="shared" si="99"/>
        <v>0</v>
      </c>
    </row>
    <row r="696" spans="1:14">
      <c r="A696" s="29">
        <v>45256</v>
      </c>
      <c r="B696" s="30">
        <f t="shared" si="91"/>
        <v>11</v>
      </c>
      <c r="C696" s="30">
        <f t="shared" si="94"/>
        <v>26</v>
      </c>
      <c r="D696" s="26">
        <f>MATCH(WEEKDAY(A696),そのた定義!A:A,0)</f>
        <v>2</v>
      </c>
      <c r="E696" s="32" t="str">
        <f t="shared" ca="1" si="95"/>
        <v>日</v>
      </c>
      <c r="F696" s="26">
        <f t="shared" si="96"/>
        <v>1</v>
      </c>
      <c r="G696" s="26">
        <f>IF(ISNA(MATCH(A696,祝日定義!E:E,0)),0,1)</f>
        <v>0</v>
      </c>
      <c r="H696" s="26">
        <f>IF(ISNA(MATCH(B696&amp;"/"&amp;C696,そのた定義!E:E,0)), 0, 1)</f>
        <v>0</v>
      </c>
      <c r="I696" s="23" t="b">
        <f t="shared" si="97"/>
        <v>1</v>
      </c>
      <c r="J696" s="26">
        <v>0</v>
      </c>
      <c r="K696" s="26" t="b">
        <f t="shared" si="92"/>
        <v>0</v>
      </c>
      <c r="L696" s="26" t="b">
        <f t="shared" si="93"/>
        <v>0</v>
      </c>
      <c r="M696" t="b">
        <f t="shared" si="98"/>
        <v>0</v>
      </c>
      <c r="N696" t="b">
        <f t="shared" si="99"/>
        <v>0</v>
      </c>
    </row>
    <row r="697" spans="1:14">
      <c r="A697" s="29">
        <v>45257</v>
      </c>
      <c r="B697" s="30">
        <f t="shared" si="91"/>
        <v>11</v>
      </c>
      <c r="C697" s="30">
        <f t="shared" si="94"/>
        <v>27</v>
      </c>
      <c r="D697" s="26">
        <f>MATCH(WEEKDAY(A697),そのた定義!A:A,0)</f>
        <v>3</v>
      </c>
      <c r="E697" s="26" t="str">
        <f t="shared" ca="1" si="95"/>
        <v>月</v>
      </c>
      <c r="F697" s="26">
        <f t="shared" si="96"/>
        <v>0</v>
      </c>
      <c r="G697" s="26">
        <f>IF(ISNA(MATCH(A697,祝日定義!E:E,0)),0,1)</f>
        <v>0</v>
      </c>
      <c r="H697" s="26">
        <f>IF(ISNA(MATCH(B697&amp;"/"&amp;C697,そのた定義!E:E,0)), 0, 1)</f>
        <v>0</v>
      </c>
      <c r="I697" s="26" t="b">
        <f t="shared" si="97"/>
        <v>0</v>
      </c>
      <c r="J697" s="26">
        <v>2</v>
      </c>
      <c r="K697" s="23" t="b">
        <f t="shared" si="92"/>
        <v>1</v>
      </c>
      <c r="L697" s="26" t="b">
        <f t="shared" si="93"/>
        <v>0</v>
      </c>
      <c r="M697" t="b">
        <f t="shared" si="98"/>
        <v>0</v>
      </c>
      <c r="N697" t="b">
        <f t="shared" si="99"/>
        <v>0</v>
      </c>
    </row>
    <row r="698" spans="1:14">
      <c r="A698" s="29">
        <v>45258</v>
      </c>
      <c r="B698" s="30">
        <f t="shared" si="91"/>
        <v>11</v>
      </c>
      <c r="C698" s="30">
        <f t="shared" si="94"/>
        <v>28</v>
      </c>
      <c r="D698" s="26">
        <f>MATCH(WEEKDAY(A698),そのた定義!A:A,0)</f>
        <v>4</v>
      </c>
      <c r="E698" s="26" t="str">
        <f t="shared" ca="1" si="95"/>
        <v>火</v>
      </c>
      <c r="F698" s="26">
        <f t="shared" si="96"/>
        <v>0</v>
      </c>
      <c r="G698" s="26">
        <f>IF(ISNA(MATCH(A698,祝日定義!E:E,0)),0,1)</f>
        <v>0</v>
      </c>
      <c r="H698" s="26">
        <f>IF(ISNA(MATCH(B698&amp;"/"&amp;C698,そのた定義!E:E,0)), 0, 1)</f>
        <v>0</v>
      </c>
      <c r="I698" s="26" t="b">
        <f t="shared" si="97"/>
        <v>0</v>
      </c>
      <c r="J698" s="26">
        <v>0</v>
      </c>
      <c r="K698" s="26" t="b">
        <f t="shared" si="92"/>
        <v>0</v>
      </c>
      <c r="L698" s="26" t="b">
        <f t="shared" si="93"/>
        <v>0</v>
      </c>
      <c r="M698" t="b">
        <f t="shared" si="98"/>
        <v>0</v>
      </c>
      <c r="N698" t="b">
        <f t="shared" si="99"/>
        <v>0</v>
      </c>
    </row>
    <row r="699" spans="1:14">
      <c r="A699" s="29">
        <v>45259</v>
      </c>
      <c r="B699" s="30">
        <f t="shared" si="91"/>
        <v>11</v>
      </c>
      <c r="C699" s="30">
        <f t="shared" si="94"/>
        <v>29</v>
      </c>
      <c r="D699" s="26">
        <f>MATCH(WEEKDAY(A699),そのた定義!A:A,0)</f>
        <v>5</v>
      </c>
      <c r="E699" s="26" t="str">
        <f t="shared" ca="1" si="95"/>
        <v>水</v>
      </c>
      <c r="F699" s="26">
        <f t="shared" si="96"/>
        <v>0</v>
      </c>
      <c r="G699" s="26">
        <f>IF(ISNA(MATCH(A699,祝日定義!E:E,0)),0,1)</f>
        <v>0</v>
      </c>
      <c r="H699" s="26">
        <f>IF(ISNA(MATCH(B699&amp;"/"&amp;C699,そのた定義!E:E,0)), 0, 1)</f>
        <v>0</v>
      </c>
      <c r="I699" s="26" t="b">
        <f t="shared" si="97"/>
        <v>0</v>
      </c>
      <c r="J699" s="26">
        <v>0</v>
      </c>
      <c r="K699" s="26" t="b">
        <f t="shared" si="92"/>
        <v>0</v>
      </c>
      <c r="L699" s="26" t="b">
        <f t="shared" si="93"/>
        <v>0</v>
      </c>
      <c r="M699" t="b">
        <f t="shared" si="98"/>
        <v>0</v>
      </c>
      <c r="N699" t="b">
        <f t="shared" si="99"/>
        <v>0</v>
      </c>
    </row>
    <row r="700" spans="1:14">
      <c r="A700" s="29">
        <v>45260</v>
      </c>
      <c r="B700" s="30">
        <f t="shared" si="91"/>
        <v>11</v>
      </c>
      <c r="C700" s="30">
        <f t="shared" si="94"/>
        <v>30</v>
      </c>
      <c r="D700" s="26">
        <f>MATCH(WEEKDAY(A700),そのた定義!A:A,0)</f>
        <v>6</v>
      </c>
      <c r="E700" s="26" t="str">
        <f t="shared" ca="1" si="95"/>
        <v>木</v>
      </c>
      <c r="F700" s="26">
        <f t="shared" si="96"/>
        <v>0</v>
      </c>
      <c r="G700" s="26">
        <f>IF(ISNA(MATCH(A700,祝日定義!E:E,0)),0,1)</f>
        <v>0</v>
      </c>
      <c r="H700" s="26">
        <f>IF(ISNA(MATCH(B700&amp;"/"&amp;C700,そのた定義!E:E,0)), 0, 1)</f>
        <v>0</v>
      </c>
      <c r="I700" s="26" t="b">
        <f t="shared" si="97"/>
        <v>0</v>
      </c>
      <c r="J700" s="26">
        <v>0</v>
      </c>
      <c r="K700" s="26" t="b">
        <f t="shared" si="92"/>
        <v>0</v>
      </c>
      <c r="L700" s="26" t="b">
        <f t="shared" si="93"/>
        <v>0</v>
      </c>
      <c r="M700" t="b">
        <f t="shared" si="98"/>
        <v>0</v>
      </c>
      <c r="N700" t="b">
        <f t="shared" si="99"/>
        <v>1</v>
      </c>
    </row>
    <row r="701" spans="1:14">
      <c r="A701" s="29">
        <v>45261</v>
      </c>
      <c r="B701" s="30">
        <f t="shared" si="91"/>
        <v>12</v>
      </c>
      <c r="C701" s="30">
        <f t="shared" si="94"/>
        <v>1</v>
      </c>
      <c r="D701" s="26">
        <f>MATCH(WEEKDAY(A701),そのた定義!A:A,0)</f>
        <v>7</v>
      </c>
      <c r="E701" s="26" t="str">
        <f t="shared" ca="1" si="95"/>
        <v>金</v>
      </c>
      <c r="F701" s="26">
        <f t="shared" si="96"/>
        <v>0</v>
      </c>
      <c r="G701" s="26">
        <f>IF(ISNA(MATCH(A701,祝日定義!E:E,0)),0,1)</f>
        <v>0</v>
      </c>
      <c r="H701" s="26">
        <f>IF(ISNA(MATCH(B701&amp;"/"&amp;C701,そのた定義!E:E,0)), 0, 1)</f>
        <v>0</v>
      </c>
      <c r="I701" s="26" t="b">
        <f t="shared" si="97"/>
        <v>0</v>
      </c>
      <c r="J701" s="26">
        <v>0</v>
      </c>
      <c r="K701" s="26" t="b">
        <f t="shared" si="92"/>
        <v>0</v>
      </c>
      <c r="L701" s="26" t="b">
        <f t="shared" si="93"/>
        <v>0</v>
      </c>
      <c r="M701" t="b">
        <f t="shared" si="98"/>
        <v>0</v>
      </c>
      <c r="N701" t="b">
        <f t="shared" si="99"/>
        <v>0</v>
      </c>
    </row>
    <row r="702" spans="1:14">
      <c r="A702" s="29">
        <v>45262</v>
      </c>
      <c r="B702" s="30">
        <f t="shared" si="91"/>
        <v>12</v>
      </c>
      <c r="C702" s="30">
        <f t="shared" si="94"/>
        <v>2</v>
      </c>
      <c r="D702" s="26">
        <f>MATCH(WEEKDAY(A702),そのた定義!A:A,0)</f>
        <v>8</v>
      </c>
      <c r="E702" s="33" t="str">
        <f t="shared" ca="1" si="95"/>
        <v>土</v>
      </c>
      <c r="F702" s="26">
        <f t="shared" si="96"/>
        <v>1</v>
      </c>
      <c r="G702" s="26">
        <f>IF(ISNA(MATCH(A702,祝日定義!E:E,0)),0,1)</f>
        <v>0</v>
      </c>
      <c r="H702" s="26">
        <f>IF(ISNA(MATCH(B702&amp;"/"&amp;C702,そのた定義!E:E,0)), 0, 1)</f>
        <v>0</v>
      </c>
      <c r="I702" s="23" t="b">
        <f t="shared" si="97"/>
        <v>1</v>
      </c>
      <c r="J702" s="26">
        <v>0</v>
      </c>
      <c r="K702" s="26" t="b">
        <f t="shared" si="92"/>
        <v>0</v>
      </c>
      <c r="L702" s="26" t="b">
        <f t="shared" si="93"/>
        <v>0</v>
      </c>
      <c r="M702" t="b">
        <f t="shared" si="98"/>
        <v>0</v>
      </c>
      <c r="N702" t="b">
        <f t="shared" si="99"/>
        <v>0</v>
      </c>
    </row>
    <row r="703" spans="1:14">
      <c r="A703" s="29">
        <v>45263</v>
      </c>
      <c r="B703" s="30">
        <f t="shared" si="91"/>
        <v>12</v>
      </c>
      <c r="C703" s="30">
        <f t="shared" si="94"/>
        <v>3</v>
      </c>
      <c r="D703" s="26">
        <f>MATCH(WEEKDAY(A703),そのた定義!A:A,0)</f>
        <v>2</v>
      </c>
      <c r="E703" s="32" t="str">
        <f t="shared" ca="1" si="95"/>
        <v>日</v>
      </c>
      <c r="F703" s="26">
        <f t="shared" si="96"/>
        <v>1</v>
      </c>
      <c r="G703" s="26">
        <f>IF(ISNA(MATCH(A703,祝日定義!E:E,0)),0,1)</f>
        <v>0</v>
      </c>
      <c r="H703" s="26">
        <f>IF(ISNA(MATCH(B703&amp;"/"&amp;C703,そのた定義!E:E,0)), 0, 1)</f>
        <v>0</v>
      </c>
      <c r="I703" s="23" t="b">
        <f t="shared" si="97"/>
        <v>1</v>
      </c>
      <c r="J703" s="26">
        <v>0</v>
      </c>
      <c r="K703" s="26" t="b">
        <f t="shared" si="92"/>
        <v>0</v>
      </c>
      <c r="L703" s="26" t="b">
        <f t="shared" si="93"/>
        <v>0</v>
      </c>
      <c r="M703" t="b">
        <f t="shared" si="98"/>
        <v>0</v>
      </c>
      <c r="N703" t="b">
        <f t="shared" si="99"/>
        <v>0</v>
      </c>
    </row>
    <row r="704" spans="1:14">
      <c r="A704" s="29">
        <v>45264</v>
      </c>
      <c r="B704" s="30">
        <f t="shared" si="91"/>
        <v>12</v>
      </c>
      <c r="C704" s="30">
        <f t="shared" si="94"/>
        <v>4</v>
      </c>
      <c r="D704" s="26">
        <f>MATCH(WEEKDAY(A704),そのた定義!A:A,0)</f>
        <v>3</v>
      </c>
      <c r="E704" s="26" t="str">
        <f t="shared" ca="1" si="95"/>
        <v>月</v>
      </c>
      <c r="F704" s="26">
        <f t="shared" si="96"/>
        <v>0</v>
      </c>
      <c r="G704" s="26">
        <f>IF(ISNA(MATCH(A704,祝日定義!E:E,0)),0,1)</f>
        <v>0</v>
      </c>
      <c r="H704" s="26">
        <f>IF(ISNA(MATCH(B704&amp;"/"&amp;C704,そのた定義!E:E,0)), 0, 1)</f>
        <v>0</v>
      </c>
      <c r="I704" s="26" t="b">
        <f t="shared" si="97"/>
        <v>0</v>
      </c>
      <c r="J704" s="26">
        <v>2</v>
      </c>
      <c r="K704" s="26" t="b">
        <f t="shared" si="92"/>
        <v>0</v>
      </c>
      <c r="L704" s="26" t="b">
        <f t="shared" si="93"/>
        <v>0</v>
      </c>
      <c r="M704" t="b">
        <f t="shared" si="98"/>
        <v>0</v>
      </c>
      <c r="N704" t="b">
        <f t="shared" si="99"/>
        <v>0</v>
      </c>
    </row>
    <row r="705" spans="1:14">
      <c r="A705" s="29">
        <v>45265</v>
      </c>
      <c r="B705" s="30">
        <f t="shared" si="91"/>
        <v>12</v>
      </c>
      <c r="C705" s="30">
        <f t="shared" si="94"/>
        <v>5</v>
      </c>
      <c r="D705" s="26">
        <f>MATCH(WEEKDAY(A705),そのた定義!A:A,0)</f>
        <v>4</v>
      </c>
      <c r="E705" s="26" t="str">
        <f t="shared" ca="1" si="95"/>
        <v>火</v>
      </c>
      <c r="F705" s="26">
        <f t="shared" si="96"/>
        <v>0</v>
      </c>
      <c r="G705" s="26">
        <f>IF(ISNA(MATCH(A705,祝日定義!E:E,0)),0,1)</f>
        <v>0</v>
      </c>
      <c r="H705" s="26">
        <f>IF(ISNA(MATCH(B705&amp;"/"&amp;C705,そのた定義!E:E,0)), 0, 1)</f>
        <v>0</v>
      </c>
      <c r="I705" s="26" t="b">
        <f t="shared" si="97"/>
        <v>0</v>
      </c>
      <c r="J705" s="26">
        <v>0</v>
      </c>
      <c r="K705" s="26" t="b">
        <f t="shared" si="92"/>
        <v>0</v>
      </c>
      <c r="L705" s="26" t="b">
        <f t="shared" si="93"/>
        <v>0</v>
      </c>
      <c r="M705" t="b">
        <f t="shared" si="98"/>
        <v>0</v>
      </c>
      <c r="N705" t="b">
        <f t="shared" si="99"/>
        <v>0</v>
      </c>
    </row>
    <row r="706" spans="1:14">
      <c r="A706" s="29">
        <v>45266</v>
      </c>
      <c r="B706" s="30">
        <f t="shared" ref="B706:B769" si="100">MONTH(A706)</f>
        <v>12</v>
      </c>
      <c r="C706" s="30">
        <f t="shared" si="94"/>
        <v>6</v>
      </c>
      <c r="D706" s="26">
        <f>MATCH(WEEKDAY(A706),そのた定義!A:A,0)</f>
        <v>5</v>
      </c>
      <c r="E706" s="26" t="str">
        <f t="shared" ca="1" si="95"/>
        <v>水</v>
      </c>
      <c r="F706" s="26">
        <f t="shared" si="96"/>
        <v>0</v>
      </c>
      <c r="G706" s="26">
        <f>IF(ISNA(MATCH(A706,祝日定義!E:E,0)),0,1)</f>
        <v>0</v>
      </c>
      <c r="H706" s="26">
        <f>IF(ISNA(MATCH(B706&amp;"/"&amp;C706,そのた定義!E:E,0)), 0, 1)</f>
        <v>0</v>
      </c>
      <c r="I706" s="26" t="b">
        <f t="shared" si="97"/>
        <v>0</v>
      </c>
      <c r="J706" s="26">
        <v>0</v>
      </c>
      <c r="K706" s="26" t="b">
        <f t="shared" ref="K706:K769" si="101">AND(C706&gt;25,DAY(A706-J706)&lt;=25)</f>
        <v>0</v>
      </c>
      <c r="L706" s="26" t="b">
        <f t="shared" ref="L706:L769" si="102">C706=25</f>
        <v>0</v>
      </c>
      <c r="M706" t="b">
        <f t="shared" si="98"/>
        <v>0</v>
      </c>
      <c r="N706" t="b">
        <f t="shared" si="99"/>
        <v>0</v>
      </c>
    </row>
    <row r="707" spans="1:14">
      <c r="A707" s="29">
        <v>45267</v>
      </c>
      <c r="B707" s="30">
        <f t="shared" si="100"/>
        <v>12</v>
      </c>
      <c r="C707" s="30">
        <f t="shared" ref="C707:C770" si="103">DAY(A707)</f>
        <v>7</v>
      </c>
      <c r="D707" s="26">
        <f>MATCH(WEEKDAY(A707),そのた定義!A:A,0)</f>
        <v>6</v>
      </c>
      <c r="E707" s="26" t="str">
        <f t="shared" ref="E707:E770" ca="1" si="104">INDIRECT("そのた定義!"&amp;"B"&amp;D707)</f>
        <v>木</v>
      </c>
      <c r="F707" s="26">
        <f t="shared" ref="F707:F770" si="105">IF(OR(D707=8,D707=2),1,0)</f>
        <v>0</v>
      </c>
      <c r="G707" s="26">
        <f>IF(ISNA(MATCH(A707,祝日定義!E:E,0)),0,1)</f>
        <v>0</v>
      </c>
      <c r="H707" s="26">
        <f>IF(ISNA(MATCH(B707&amp;"/"&amp;C707,そのた定義!E:E,0)), 0, 1)</f>
        <v>0</v>
      </c>
      <c r="I707" s="26" t="b">
        <f t="shared" ref="I707:I770" si="106">SUM(F707:H707)&gt;0</f>
        <v>0</v>
      </c>
      <c r="J707" s="26">
        <v>0</v>
      </c>
      <c r="K707" s="26" t="b">
        <f t="shared" si="101"/>
        <v>0</v>
      </c>
      <c r="L707" s="26" t="b">
        <f t="shared" si="102"/>
        <v>0</v>
      </c>
      <c r="M707" t="b">
        <f t="shared" ref="M707:M770" si="107">B707&lt;&gt;MONTH(A707-J707)</f>
        <v>0</v>
      </c>
      <c r="N707" t="b">
        <f t="shared" ref="N707:N770" si="108">B707&lt;&gt;MONTH(A707+1)</f>
        <v>0</v>
      </c>
    </row>
    <row r="708" spans="1:14">
      <c r="A708" s="29">
        <v>45268</v>
      </c>
      <c r="B708" s="30">
        <f t="shared" si="100"/>
        <v>12</v>
      </c>
      <c r="C708" s="30">
        <f t="shared" si="103"/>
        <v>8</v>
      </c>
      <c r="D708" s="26">
        <f>MATCH(WEEKDAY(A708),そのた定義!A:A,0)</f>
        <v>7</v>
      </c>
      <c r="E708" s="26" t="str">
        <f t="shared" ca="1" si="104"/>
        <v>金</v>
      </c>
      <c r="F708" s="26">
        <f t="shared" si="105"/>
        <v>0</v>
      </c>
      <c r="G708" s="26">
        <f>IF(ISNA(MATCH(A708,祝日定義!E:E,0)),0,1)</f>
        <v>0</v>
      </c>
      <c r="H708" s="26">
        <f>IF(ISNA(MATCH(B708&amp;"/"&amp;C708,そのた定義!E:E,0)), 0, 1)</f>
        <v>0</v>
      </c>
      <c r="I708" s="26" t="b">
        <f t="shared" si="106"/>
        <v>0</v>
      </c>
      <c r="J708" s="26">
        <v>0</v>
      </c>
      <c r="K708" s="26" t="b">
        <f t="shared" si="101"/>
        <v>0</v>
      </c>
      <c r="L708" s="26" t="b">
        <f t="shared" si="102"/>
        <v>0</v>
      </c>
      <c r="M708" t="b">
        <f t="shared" si="107"/>
        <v>0</v>
      </c>
      <c r="N708" t="b">
        <f t="shared" si="108"/>
        <v>0</v>
      </c>
    </row>
    <row r="709" spans="1:14">
      <c r="A709" s="29">
        <v>45269</v>
      </c>
      <c r="B709" s="30">
        <f t="shared" si="100"/>
        <v>12</v>
      </c>
      <c r="C709" s="30">
        <f t="shared" si="103"/>
        <v>9</v>
      </c>
      <c r="D709" s="26">
        <f>MATCH(WEEKDAY(A709),そのた定義!A:A,0)</f>
        <v>8</v>
      </c>
      <c r="E709" s="33" t="str">
        <f t="shared" ca="1" si="104"/>
        <v>土</v>
      </c>
      <c r="F709" s="26">
        <f t="shared" si="105"/>
        <v>1</v>
      </c>
      <c r="G709" s="26">
        <f>IF(ISNA(MATCH(A709,祝日定義!E:E,0)),0,1)</f>
        <v>0</v>
      </c>
      <c r="H709" s="26">
        <f>IF(ISNA(MATCH(B709&amp;"/"&amp;C709,そのた定義!E:E,0)), 0, 1)</f>
        <v>0</v>
      </c>
      <c r="I709" s="23" t="b">
        <f t="shared" si="106"/>
        <v>1</v>
      </c>
      <c r="J709" s="26">
        <v>0</v>
      </c>
      <c r="K709" s="26" t="b">
        <f t="shared" si="101"/>
        <v>0</v>
      </c>
      <c r="L709" s="26" t="b">
        <f t="shared" si="102"/>
        <v>0</v>
      </c>
      <c r="M709" t="b">
        <f t="shared" si="107"/>
        <v>0</v>
      </c>
      <c r="N709" t="b">
        <f t="shared" si="108"/>
        <v>0</v>
      </c>
    </row>
    <row r="710" spans="1:14">
      <c r="A710" s="29">
        <v>45270</v>
      </c>
      <c r="B710" s="30">
        <f t="shared" si="100"/>
        <v>12</v>
      </c>
      <c r="C710" s="30">
        <f t="shared" si="103"/>
        <v>10</v>
      </c>
      <c r="D710" s="26">
        <f>MATCH(WEEKDAY(A710),そのた定義!A:A,0)</f>
        <v>2</v>
      </c>
      <c r="E710" s="32" t="str">
        <f t="shared" ca="1" si="104"/>
        <v>日</v>
      </c>
      <c r="F710" s="26">
        <f t="shared" si="105"/>
        <v>1</v>
      </c>
      <c r="G710" s="26">
        <f>IF(ISNA(MATCH(A710,祝日定義!E:E,0)),0,1)</f>
        <v>0</v>
      </c>
      <c r="H710" s="26">
        <f>IF(ISNA(MATCH(B710&amp;"/"&amp;C710,そのた定義!E:E,0)), 0, 1)</f>
        <v>0</v>
      </c>
      <c r="I710" s="23" t="b">
        <f t="shared" si="106"/>
        <v>1</v>
      </c>
      <c r="J710" s="26">
        <v>0</v>
      </c>
      <c r="K710" s="26" t="b">
        <f t="shared" si="101"/>
        <v>0</v>
      </c>
      <c r="L710" s="26" t="b">
        <f t="shared" si="102"/>
        <v>0</v>
      </c>
      <c r="M710" t="b">
        <f t="shared" si="107"/>
        <v>0</v>
      </c>
      <c r="N710" t="b">
        <f t="shared" si="108"/>
        <v>0</v>
      </c>
    </row>
    <row r="711" spans="1:14">
      <c r="A711" s="29">
        <v>45271</v>
      </c>
      <c r="B711" s="30">
        <f t="shared" si="100"/>
        <v>12</v>
      </c>
      <c r="C711" s="30">
        <f t="shared" si="103"/>
        <v>11</v>
      </c>
      <c r="D711" s="26">
        <f>MATCH(WEEKDAY(A711),そのた定義!A:A,0)</f>
        <v>3</v>
      </c>
      <c r="E711" s="26" t="str">
        <f t="shared" ca="1" si="104"/>
        <v>月</v>
      </c>
      <c r="F711" s="26">
        <f t="shared" si="105"/>
        <v>0</v>
      </c>
      <c r="G711" s="26">
        <f>IF(ISNA(MATCH(A711,祝日定義!E:E,0)),0,1)</f>
        <v>0</v>
      </c>
      <c r="H711" s="26">
        <f>IF(ISNA(MATCH(B711&amp;"/"&amp;C711,そのた定義!E:E,0)), 0, 1)</f>
        <v>0</v>
      </c>
      <c r="I711" s="26" t="b">
        <f t="shared" si="106"/>
        <v>0</v>
      </c>
      <c r="J711" s="26">
        <v>2</v>
      </c>
      <c r="K711" s="26" t="b">
        <f t="shared" si="101"/>
        <v>0</v>
      </c>
      <c r="L711" s="26" t="b">
        <f t="shared" si="102"/>
        <v>0</v>
      </c>
      <c r="M711" t="b">
        <f t="shared" si="107"/>
        <v>0</v>
      </c>
      <c r="N711" t="b">
        <f t="shared" si="108"/>
        <v>0</v>
      </c>
    </row>
    <row r="712" spans="1:14">
      <c r="A712" s="29">
        <v>45272</v>
      </c>
      <c r="B712" s="30">
        <f t="shared" si="100"/>
        <v>12</v>
      </c>
      <c r="C712" s="30">
        <f t="shared" si="103"/>
        <v>12</v>
      </c>
      <c r="D712" s="26">
        <f>MATCH(WEEKDAY(A712),そのた定義!A:A,0)</f>
        <v>4</v>
      </c>
      <c r="E712" s="26" t="str">
        <f t="shared" ca="1" si="104"/>
        <v>火</v>
      </c>
      <c r="F712" s="26">
        <f t="shared" si="105"/>
        <v>0</v>
      </c>
      <c r="G712" s="26">
        <f>IF(ISNA(MATCH(A712,祝日定義!E:E,0)),0,1)</f>
        <v>0</v>
      </c>
      <c r="H712" s="26">
        <f>IF(ISNA(MATCH(B712&amp;"/"&amp;C712,そのた定義!E:E,0)), 0, 1)</f>
        <v>0</v>
      </c>
      <c r="I712" s="26" t="b">
        <f t="shared" si="106"/>
        <v>0</v>
      </c>
      <c r="J712" s="26">
        <v>0</v>
      </c>
      <c r="K712" s="26" t="b">
        <f t="shared" si="101"/>
        <v>0</v>
      </c>
      <c r="L712" s="26" t="b">
        <f t="shared" si="102"/>
        <v>0</v>
      </c>
      <c r="M712" t="b">
        <f t="shared" si="107"/>
        <v>0</v>
      </c>
      <c r="N712" t="b">
        <f t="shared" si="108"/>
        <v>0</v>
      </c>
    </row>
    <row r="713" spans="1:14">
      <c r="A713" s="29">
        <v>45273</v>
      </c>
      <c r="B713" s="30">
        <f t="shared" si="100"/>
        <v>12</v>
      </c>
      <c r="C713" s="30">
        <f t="shared" si="103"/>
        <v>13</v>
      </c>
      <c r="D713" s="26">
        <f>MATCH(WEEKDAY(A713),そのた定義!A:A,0)</f>
        <v>5</v>
      </c>
      <c r="E713" s="26" t="str">
        <f t="shared" ca="1" si="104"/>
        <v>水</v>
      </c>
      <c r="F713" s="26">
        <f t="shared" si="105"/>
        <v>0</v>
      </c>
      <c r="G713" s="26">
        <f>IF(ISNA(MATCH(A713,祝日定義!E:E,0)),0,1)</f>
        <v>0</v>
      </c>
      <c r="H713" s="26">
        <f>IF(ISNA(MATCH(B713&amp;"/"&amp;C713,そのた定義!E:E,0)), 0, 1)</f>
        <v>0</v>
      </c>
      <c r="I713" s="26" t="b">
        <f t="shared" si="106"/>
        <v>0</v>
      </c>
      <c r="J713" s="26">
        <v>0</v>
      </c>
      <c r="K713" s="26" t="b">
        <f t="shared" si="101"/>
        <v>0</v>
      </c>
      <c r="L713" s="26" t="b">
        <f t="shared" si="102"/>
        <v>0</v>
      </c>
      <c r="M713" t="b">
        <f t="shared" si="107"/>
        <v>0</v>
      </c>
      <c r="N713" t="b">
        <f t="shared" si="108"/>
        <v>0</v>
      </c>
    </row>
    <row r="714" spans="1:14">
      <c r="A714" s="29">
        <v>45274</v>
      </c>
      <c r="B714" s="30">
        <f t="shared" si="100"/>
        <v>12</v>
      </c>
      <c r="C714" s="30">
        <f t="shared" si="103"/>
        <v>14</v>
      </c>
      <c r="D714" s="26">
        <f>MATCH(WEEKDAY(A714),そのた定義!A:A,0)</f>
        <v>6</v>
      </c>
      <c r="E714" s="26" t="str">
        <f t="shared" ca="1" si="104"/>
        <v>木</v>
      </c>
      <c r="F714" s="26">
        <f t="shared" si="105"/>
        <v>0</v>
      </c>
      <c r="G714" s="26">
        <f>IF(ISNA(MATCH(A714,祝日定義!E:E,0)),0,1)</f>
        <v>0</v>
      </c>
      <c r="H714" s="26">
        <f>IF(ISNA(MATCH(B714&amp;"/"&amp;C714,そのた定義!E:E,0)), 0, 1)</f>
        <v>0</v>
      </c>
      <c r="I714" s="26" t="b">
        <f t="shared" si="106"/>
        <v>0</v>
      </c>
      <c r="J714" s="26">
        <v>0</v>
      </c>
      <c r="K714" s="26" t="b">
        <f t="shared" si="101"/>
        <v>0</v>
      </c>
      <c r="L714" s="26" t="b">
        <f t="shared" si="102"/>
        <v>0</v>
      </c>
      <c r="M714" t="b">
        <f t="shared" si="107"/>
        <v>0</v>
      </c>
      <c r="N714" t="b">
        <f t="shared" si="108"/>
        <v>0</v>
      </c>
    </row>
    <row r="715" spans="1:14">
      <c r="A715" s="29">
        <v>45275</v>
      </c>
      <c r="B715" s="30">
        <f t="shared" si="100"/>
        <v>12</v>
      </c>
      <c r="C715" s="30">
        <f t="shared" si="103"/>
        <v>15</v>
      </c>
      <c r="D715" s="26">
        <f>MATCH(WEEKDAY(A715),そのた定義!A:A,0)</f>
        <v>7</v>
      </c>
      <c r="E715" s="26" t="str">
        <f t="shared" ca="1" si="104"/>
        <v>金</v>
      </c>
      <c r="F715" s="26">
        <f t="shared" si="105"/>
        <v>0</v>
      </c>
      <c r="G715" s="26">
        <f>IF(ISNA(MATCH(A715,祝日定義!E:E,0)),0,1)</f>
        <v>0</v>
      </c>
      <c r="H715" s="26">
        <f>IF(ISNA(MATCH(B715&amp;"/"&amp;C715,そのた定義!E:E,0)), 0, 1)</f>
        <v>0</v>
      </c>
      <c r="I715" s="26" t="b">
        <f t="shared" si="106"/>
        <v>0</v>
      </c>
      <c r="J715" s="26">
        <v>0</v>
      </c>
      <c r="K715" s="26" t="b">
        <f t="shared" si="101"/>
        <v>0</v>
      </c>
      <c r="L715" s="26" t="b">
        <f t="shared" si="102"/>
        <v>0</v>
      </c>
      <c r="M715" t="b">
        <f t="shared" si="107"/>
        <v>0</v>
      </c>
      <c r="N715" t="b">
        <f t="shared" si="108"/>
        <v>0</v>
      </c>
    </row>
    <row r="716" spans="1:14">
      <c r="A716" s="29">
        <v>45276</v>
      </c>
      <c r="B716" s="30">
        <f t="shared" si="100"/>
        <v>12</v>
      </c>
      <c r="C716" s="30">
        <f t="shared" si="103"/>
        <v>16</v>
      </c>
      <c r="D716" s="26">
        <f>MATCH(WEEKDAY(A716),そのた定義!A:A,0)</f>
        <v>8</v>
      </c>
      <c r="E716" s="33" t="str">
        <f t="shared" ca="1" si="104"/>
        <v>土</v>
      </c>
      <c r="F716" s="26">
        <f t="shared" si="105"/>
        <v>1</v>
      </c>
      <c r="G716" s="26">
        <f>IF(ISNA(MATCH(A716,祝日定義!E:E,0)),0,1)</f>
        <v>0</v>
      </c>
      <c r="H716" s="26">
        <f>IF(ISNA(MATCH(B716&amp;"/"&amp;C716,そのた定義!E:E,0)), 0, 1)</f>
        <v>0</v>
      </c>
      <c r="I716" s="23" t="b">
        <f t="shared" si="106"/>
        <v>1</v>
      </c>
      <c r="J716" s="26">
        <v>0</v>
      </c>
      <c r="K716" s="26" t="b">
        <f t="shared" si="101"/>
        <v>0</v>
      </c>
      <c r="L716" s="26" t="b">
        <f t="shared" si="102"/>
        <v>0</v>
      </c>
      <c r="M716" t="b">
        <f t="shared" si="107"/>
        <v>0</v>
      </c>
      <c r="N716" t="b">
        <f t="shared" si="108"/>
        <v>0</v>
      </c>
    </row>
    <row r="717" spans="1:14">
      <c r="A717" s="29">
        <v>45277</v>
      </c>
      <c r="B717" s="30">
        <f t="shared" si="100"/>
        <v>12</v>
      </c>
      <c r="C717" s="30">
        <f t="shared" si="103"/>
        <v>17</v>
      </c>
      <c r="D717" s="26">
        <f>MATCH(WEEKDAY(A717),そのた定義!A:A,0)</f>
        <v>2</v>
      </c>
      <c r="E717" s="32" t="str">
        <f t="shared" ca="1" si="104"/>
        <v>日</v>
      </c>
      <c r="F717" s="26">
        <f t="shared" si="105"/>
        <v>1</v>
      </c>
      <c r="G717" s="26">
        <f>IF(ISNA(MATCH(A717,祝日定義!E:E,0)),0,1)</f>
        <v>0</v>
      </c>
      <c r="H717" s="26">
        <f>IF(ISNA(MATCH(B717&amp;"/"&amp;C717,そのた定義!E:E,0)), 0, 1)</f>
        <v>0</v>
      </c>
      <c r="I717" s="23" t="b">
        <f t="shared" si="106"/>
        <v>1</v>
      </c>
      <c r="J717" s="26">
        <v>0</v>
      </c>
      <c r="K717" s="26" t="b">
        <f t="shared" si="101"/>
        <v>0</v>
      </c>
      <c r="L717" s="26" t="b">
        <f t="shared" si="102"/>
        <v>0</v>
      </c>
      <c r="M717" t="b">
        <f t="shared" si="107"/>
        <v>0</v>
      </c>
      <c r="N717" t="b">
        <f t="shared" si="108"/>
        <v>0</v>
      </c>
    </row>
    <row r="718" spans="1:14">
      <c r="A718" s="29">
        <v>45278</v>
      </c>
      <c r="B718" s="30">
        <f t="shared" si="100"/>
        <v>12</v>
      </c>
      <c r="C718" s="30">
        <f t="shared" si="103"/>
        <v>18</v>
      </c>
      <c r="D718" s="26">
        <f>MATCH(WEEKDAY(A718),そのた定義!A:A,0)</f>
        <v>3</v>
      </c>
      <c r="E718" s="26" t="str">
        <f t="shared" ca="1" si="104"/>
        <v>月</v>
      </c>
      <c r="F718" s="26">
        <f t="shared" si="105"/>
        <v>0</v>
      </c>
      <c r="G718" s="26">
        <f>IF(ISNA(MATCH(A718,祝日定義!E:E,0)),0,1)</f>
        <v>0</v>
      </c>
      <c r="H718" s="26">
        <f>IF(ISNA(MATCH(B718&amp;"/"&amp;C718,そのた定義!E:E,0)), 0, 1)</f>
        <v>0</v>
      </c>
      <c r="I718" s="26" t="b">
        <f t="shared" si="106"/>
        <v>0</v>
      </c>
      <c r="J718" s="26">
        <v>2</v>
      </c>
      <c r="K718" s="26" t="b">
        <f t="shared" si="101"/>
        <v>0</v>
      </c>
      <c r="L718" s="26" t="b">
        <f t="shared" si="102"/>
        <v>0</v>
      </c>
      <c r="M718" t="b">
        <f t="shared" si="107"/>
        <v>0</v>
      </c>
      <c r="N718" t="b">
        <f t="shared" si="108"/>
        <v>0</v>
      </c>
    </row>
    <row r="719" spans="1:14">
      <c r="A719" s="29">
        <v>45279</v>
      </c>
      <c r="B719" s="30">
        <f t="shared" si="100"/>
        <v>12</v>
      </c>
      <c r="C719" s="30">
        <f t="shared" si="103"/>
        <v>19</v>
      </c>
      <c r="D719" s="26">
        <f>MATCH(WEEKDAY(A719),そのた定義!A:A,0)</f>
        <v>4</v>
      </c>
      <c r="E719" s="26" t="str">
        <f t="shared" ca="1" si="104"/>
        <v>火</v>
      </c>
      <c r="F719" s="26">
        <f t="shared" si="105"/>
        <v>0</v>
      </c>
      <c r="G719" s="26">
        <f>IF(ISNA(MATCH(A719,祝日定義!E:E,0)),0,1)</f>
        <v>0</v>
      </c>
      <c r="H719" s="26">
        <f>IF(ISNA(MATCH(B719&amp;"/"&amp;C719,そのた定義!E:E,0)), 0, 1)</f>
        <v>0</v>
      </c>
      <c r="I719" s="26" t="b">
        <f t="shared" si="106"/>
        <v>0</v>
      </c>
      <c r="J719" s="26">
        <v>0</v>
      </c>
      <c r="K719" s="26" t="b">
        <f t="shared" si="101"/>
        <v>0</v>
      </c>
      <c r="L719" s="26" t="b">
        <f t="shared" si="102"/>
        <v>0</v>
      </c>
      <c r="M719" t="b">
        <f t="shared" si="107"/>
        <v>0</v>
      </c>
      <c r="N719" t="b">
        <f t="shared" si="108"/>
        <v>0</v>
      </c>
    </row>
    <row r="720" spans="1:14">
      <c r="A720" s="29">
        <v>45280</v>
      </c>
      <c r="B720" s="30">
        <f t="shared" si="100"/>
        <v>12</v>
      </c>
      <c r="C720" s="30">
        <f t="shared" si="103"/>
        <v>20</v>
      </c>
      <c r="D720" s="26">
        <f>MATCH(WEEKDAY(A720),そのた定義!A:A,0)</f>
        <v>5</v>
      </c>
      <c r="E720" s="26" t="str">
        <f t="shared" ca="1" si="104"/>
        <v>水</v>
      </c>
      <c r="F720" s="26">
        <f t="shared" si="105"/>
        <v>0</v>
      </c>
      <c r="G720" s="26">
        <f>IF(ISNA(MATCH(A720,祝日定義!E:E,0)),0,1)</f>
        <v>0</v>
      </c>
      <c r="H720" s="26">
        <f>IF(ISNA(MATCH(B720&amp;"/"&amp;C720,そのた定義!E:E,0)), 0, 1)</f>
        <v>0</v>
      </c>
      <c r="I720" s="26" t="b">
        <f t="shared" si="106"/>
        <v>0</v>
      </c>
      <c r="J720" s="26">
        <v>0</v>
      </c>
      <c r="K720" s="26" t="b">
        <f t="shared" si="101"/>
        <v>0</v>
      </c>
      <c r="L720" s="26" t="b">
        <f t="shared" si="102"/>
        <v>0</v>
      </c>
      <c r="M720" t="b">
        <f t="shared" si="107"/>
        <v>0</v>
      </c>
      <c r="N720" t="b">
        <f t="shared" si="108"/>
        <v>0</v>
      </c>
    </row>
    <row r="721" spans="1:14">
      <c r="A721" s="29">
        <v>45281</v>
      </c>
      <c r="B721" s="30">
        <f t="shared" si="100"/>
        <v>12</v>
      </c>
      <c r="C721" s="30">
        <f t="shared" si="103"/>
        <v>21</v>
      </c>
      <c r="D721" s="26">
        <f>MATCH(WEEKDAY(A721),そのた定義!A:A,0)</f>
        <v>6</v>
      </c>
      <c r="E721" s="26" t="str">
        <f t="shared" ca="1" si="104"/>
        <v>木</v>
      </c>
      <c r="F721" s="26">
        <f t="shared" si="105"/>
        <v>0</v>
      </c>
      <c r="G721" s="26">
        <f>IF(ISNA(MATCH(A721,祝日定義!E:E,0)),0,1)</f>
        <v>0</v>
      </c>
      <c r="H721" s="26">
        <f>IF(ISNA(MATCH(B721&amp;"/"&amp;C721,そのた定義!E:E,0)), 0, 1)</f>
        <v>0</v>
      </c>
      <c r="I721" s="26" t="b">
        <f t="shared" si="106"/>
        <v>0</v>
      </c>
      <c r="J721" s="26">
        <v>0</v>
      </c>
      <c r="K721" s="26" t="b">
        <f t="shared" si="101"/>
        <v>0</v>
      </c>
      <c r="L721" s="26" t="b">
        <f t="shared" si="102"/>
        <v>0</v>
      </c>
      <c r="M721" t="b">
        <f t="shared" si="107"/>
        <v>0</v>
      </c>
      <c r="N721" t="b">
        <f t="shared" si="108"/>
        <v>0</v>
      </c>
    </row>
    <row r="722" spans="1:14">
      <c r="A722" s="29">
        <v>45282</v>
      </c>
      <c r="B722" s="30">
        <f t="shared" si="100"/>
        <v>12</v>
      </c>
      <c r="C722" s="30">
        <f t="shared" si="103"/>
        <v>22</v>
      </c>
      <c r="D722" s="26">
        <f>MATCH(WEEKDAY(A722),そのた定義!A:A,0)</f>
        <v>7</v>
      </c>
      <c r="E722" s="26" t="str">
        <f t="shared" ca="1" si="104"/>
        <v>金</v>
      </c>
      <c r="F722" s="26">
        <f t="shared" si="105"/>
        <v>0</v>
      </c>
      <c r="G722" s="26">
        <f>IF(ISNA(MATCH(A722,祝日定義!E:E,0)),0,1)</f>
        <v>0</v>
      </c>
      <c r="H722" s="26">
        <f>IF(ISNA(MATCH(B722&amp;"/"&amp;C722,そのた定義!E:E,0)), 0, 1)</f>
        <v>0</v>
      </c>
      <c r="I722" s="26" t="b">
        <f t="shared" si="106"/>
        <v>0</v>
      </c>
      <c r="J722" s="26">
        <v>0</v>
      </c>
      <c r="K722" s="26" t="b">
        <f t="shared" si="101"/>
        <v>0</v>
      </c>
      <c r="L722" s="26" t="b">
        <f t="shared" si="102"/>
        <v>0</v>
      </c>
      <c r="M722" t="b">
        <f t="shared" si="107"/>
        <v>0</v>
      </c>
      <c r="N722" t="b">
        <f t="shared" si="108"/>
        <v>0</v>
      </c>
    </row>
    <row r="723" spans="1:14">
      <c r="A723" s="29">
        <v>45283</v>
      </c>
      <c r="B723" s="30">
        <f t="shared" si="100"/>
        <v>12</v>
      </c>
      <c r="C723" s="30">
        <f t="shared" si="103"/>
        <v>23</v>
      </c>
      <c r="D723" s="26">
        <f>MATCH(WEEKDAY(A723),そのた定義!A:A,0)</f>
        <v>8</v>
      </c>
      <c r="E723" s="33" t="str">
        <f t="shared" ca="1" si="104"/>
        <v>土</v>
      </c>
      <c r="F723" s="26">
        <f t="shared" si="105"/>
        <v>1</v>
      </c>
      <c r="G723" s="26">
        <f>IF(ISNA(MATCH(A723,祝日定義!E:E,0)),0,1)</f>
        <v>0</v>
      </c>
      <c r="H723" s="26">
        <f>IF(ISNA(MATCH(B723&amp;"/"&amp;C723,そのた定義!E:E,0)), 0, 1)</f>
        <v>0</v>
      </c>
      <c r="I723" s="23" t="b">
        <f t="shared" si="106"/>
        <v>1</v>
      </c>
      <c r="J723" s="26">
        <v>0</v>
      </c>
      <c r="K723" s="26" t="b">
        <f t="shared" si="101"/>
        <v>0</v>
      </c>
      <c r="L723" s="26" t="b">
        <f t="shared" si="102"/>
        <v>0</v>
      </c>
      <c r="M723" t="b">
        <f t="shared" si="107"/>
        <v>0</v>
      </c>
      <c r="N723" t="b">
        <f t="shared" si="108"/>
        <v>0</v>
      </c>
    </row>
    <row r="724" spans="1:14">
      <c r="A724" s="29">
        <v>45284</v>
      </c>
      <c r="B724" s="30">
        <f t="shared" si="100"/>
        <v>12</v>
      </c>
      <c r="C724" s="30">
        <f t="shared" si="103"/>
        <v>24</v>
      </c>
      <c r="D724" s="26">
        <f>MATCH(WEEKDAY(A724),そのた定義!A:A,0)</f>
        <v>2</v>
      </c>
      <c r="E724" s="32" t="str">
        <f t="shared" ca="1" si="104"/>
        <v>日</v>
      </c>
      <c r="F724" s="26">
        <f t="shared" si="105"/>
        <v>1</v>
      </c>
      <c r="G724" s="26">
        <f>IF(ISNA(MATCH(A724,祝日定義!E:E,0)),0,1)</f>
        <v>0</v>
      </c>
      <c r="H724" s="26">
        <f>IF(ISNA(MATCH(B724&amp;"/"&amp;C724,そのた定義!E:E,0)), 0, 1)</f>
        <v>0</v>
      </c>
      <c r="I724" s="23" t="b">
        <f t="shared" si="106"/>
        <v>1</v>
      </c>
      <c r="J724" s="26">
        <v>0</v>
      </c>
      <c r="K724" s="26" t="b">
        <f t="shared" si="101"/>
        <v>0</v>
      </c>
      <c r="L724" s="26" t="b">
        <f t="shared" si="102"/>
        <v>0</v>
      </c>
      <c r="M724" t="b">
        <f t="shared" si="107"/>
        <v>0</v>
      </c>
      <c r="N724" t="b">
        <f t="shared" si="108"/>
        <v>0</v>
      </c>
    </row>
    <row r="725" spans="1:14">
      <c r="A725" s="29">
        <v>45285</v>
      </c>
      <c r="B725" s="30">
        <f t="shared" si="100"/>
        <v>12</v>
      </c>
      <c r="C725" s="30">
        <f t="shared" si="103"/>
        <v>25</v>
      </c>
      <c r="D725" s="26">
        <f>MATCH(WEEKDAY(A725),そのた定義!A:A,0)</f>
        <v>3</v>
      </c>
      <c r="E725" s="26" t="str">
        <f t="shared" ca="1" si="104"/>
        <v>月</v>
      </c>
      <c r="F725" s="26">
        <f t="shared" si="105"/>
        <v>0</v>
      </c>
      <c r="G725" s="26">
        <f>IF(ISNA(MATCH(A725,祝日定義!E:E,0)),0,1)</f>
        <v>0</v>
      </c>
      <c r="H725" s="26">
        <f>IF(ISNA(MATCH(B725&amp;"/"&amp;C725,そのた定義!E:E,0)), 0, 1)</f>
        <v>0</v>
      </c>
      <c r="I725" s="26" t="b">
        <f t="shared" si="106"/>
        <v>0</v>
      </c>
      <c r="J725" s="26">
        <v>2</v>
      </c>
      <c r="K725" s="26" t="b">
        <f t="shared" si="101"/>
        <v>0</v>
      </c>
      <c r="L725" s="23" t="b">
        <f t="shared" si="102"/>
        <v>1</v>
      </c>
      <c r="M725" t="b">
        <f t="shared" si="107"/>
        <v>0</v>
      </c>
      <c r="N725" t="b">
        <f t="shared" si="108"/>
        <v>0</v>
      </c>
    </row>
    <row r="726" spans="1:14">
      <c r="A726" s="29">
        <v>45286</v>
      </c>
      <c r="B726" s="30">
        <f t="shared" si="100"/>
        <v>12</v>
      </c>
      <c r="C726" s="30">
        <f t="shared" si="103"/>
        <v>26</v>
      </c>
      <c r="D726" s="26">
        <f>MATCH(WEEKDAY(A726),そのた定義!A:A,0)</f>
        <v>4</v>
      </c>
      <c r="E726" s="26" t="str">
        <f t="shared" ca="1" si="104"/>
        <v>火</v>
      </c>
      <c r="F726" s="26">
        <f t="shared" si="105"/>
        <v>0</v>
      </c>
      <c r="G726" s="26">
        <f>IF(ISNA(MATCH(A726,祝日定義!E:E,0)),0,1)</f>
        <v>0</v>
      </c>
      <c r="H726" s="26">
        <f>IF(ISNA(MATCH(B726&amp;"/"&amp;C726,そのた定義!E:E,0)), 0, 1)</f>
        <v>0</v>
      </c>
      <c r="I726" s="26" t="b">
        <f t="shared" si="106"/>
        <v>0</v>
      </c>
      <c r="J726" s="26">
        <v>0</v>
      </c>
      <c r="K726" s="26" t="b">
        <f t="shared" si="101"/>
        <v>0</v>
      </c>
      <c r="L726" s="26" t="b">
        <f t="shared" si="102"/>
        <v>0</v>
      </c>
      <c r="M726" t="b">
        <f t="shared" si="107"/>
        <v>0</v>
      </c>
      <c r="N726" t="b">
        <f t="shared" si="108"/>
        <v>0</v>
      </c>
    </row>
    <row r="727" spans="1:14">
      <c r="A727" s="29">
        <v>45287</v>
      </c>
      <c r="B727" s="30">
        <f t="shared" si="100"/>
        <v>12</v>
      </c>
      <c r="C727" s="30">
        <f t="shared" si="103"/>
        <v>27</v>
      </c>
      <c r="D727" s="26">
        <f>MATCH(WEEKDAY(A727),そのた定義!A:A,0)</f>
        <v>5</v>
      </c>
      <c r="E727" s="26" t="str">
        <f t="shared" ca="1" si="104"/>
        <v>水</v>
      </c>
      <c r="F727" s="26">
        <f t="shared" si="105"/>
        <v>0</v>
      </c>
      <c r="G727" s="26">
        <f>IF(ISNA(MATCH(A727,祝日定義!E:E,0)),0,1)</f>
        <v>0</v>
      </c>
      <c r="H727" s="26">
        <f>IF(ISNA(MATCH(B727&amp;"/"&amp;C727,そのた定義!E:E,0)), 0, 1)</f>
        <v>0</v>
      </c>
      <c r="I727" s="26" t="b">
        <f t="shared" si="106"/>
        <v>0</v>
      </c>
      <c r="J727" s="26">
        <v>0</v>
      </c>
      <c r="K727" s="26" t="b">
        <f t="shared" si="101"/>
        <v>0</v>
      </c>
      <c r="L727" s="26" t="b">
        <f t="shared" si="102"/>
        <v>0</v>
      </c>
      <c r="M727" t="b">
        <f t="shared" si="107"/>
        <v>0</v>
      </c>
      <c r="N727" t="b">
        <f t="shared" si="108"/>
        <v>0</v>
      </c>
    </row>
    <row r="728" spans="1:14">
      <c r="A728" s="29">
        <v>45288</v>
      </c>
      <c r="B728" s="30">
        <f t="shared" si="100"/>
        <v>12</v>
      </c>
      <c r="C728" s="30">
        <f t="shared" si="103"/>
        <v>28</v>
      </c>
      <c r="D728" s="26">
        <f>MATCH(WEEKDAY(A728),そのた定義!A:A,0)</f>
        <v>6</v>
      </c>
      <c r="E728" s="26" t="str">
        <f t="shared" ca="1" si="104"/>
        <v>木</v>
      </c>
      <c r="F728" s="26">
        <f t="shared" si="105"/>
        <v>0</v>
      </c>
      <c r="G728" s="26">
        <f>IF(ISNA(MATCH(A728,祝日定義!E:E,0)),0,1)</f>
        <v>0</v>
      </c>
      <c r="H728" s="26">
        <f>IF(ISNA(MATCH(B728&amp;"/"&amp;C728,そのた定義!E:E,0)), 0, 1)</f>
        <v>0</v>
      </c>
      <c r="I728" s="26" t="b">
        <f t="shared" si="106"/>
        <v>0</v>
      </c>
      <c r="J728" s="26">
        <v>0</v>
      </c>
      <c r="K728" s="26" t="b">
        <f t="shared" si="101"/>
        <v>0</v>
      </c>
      <c r="L728" s="26" t="b">
        <f t="shared" si="102"/>
        <v>0</v>
      </c>
      <c r="M728" t="b">
        <f t="shared" si="107"/>
        <v>0</v>
      </c>
      <c r="N728" t="b">
        <f t="shared" si="108"/>
        <v>0</v>
      </c>
    </row>
    <row r="729" spans="1:14">
      <c r="A729" s="29">
        <v>45289</v>
      </c>
      <c r="B729" s="30">
        <f t="shared" si="100"/>
        <v>12</v>
      </c>
      <c r="C729" s="30">
        <f t="shared" si="103"/>
        <v>29</v>
      </c>
      <c r="D729" s="26">
        <f>MATCH(WEEKDAY(A729),そのた定義!A:A,0)</f>
        <v>7</v>
      </c>
      <c r="E729" s="26" t="str">
        <f t="shared" ca="1" si="104"/>
        <v>金</v>
      </c>
      <c r="F729" s="26">
        <f t="shared" si="105"/>
        <v>0</v>
      </c>
      <c r="G729" s="26">
        <f>IF(ISNA(MATCH(A729,祝日定義!E:E,0)),0,1)</f>
        <v>0</v>
      </c>
      <c r="H729" s="26">
        <f>IF(ISNA(MATCH(B729&amp;"/"&amp;C729,そのた定義!E:E,0)), 0, 1)</f>
        <v>0</v>
      </c>
      <c r="I729" s="26" t="b">
        <f t="shared" si="106"/>
        <v>0</v>
      </c>
      <c r="J729" s="26">
        <v>0</v>
      </c>
      <c r="K729" s="26" t="b">
        <f t="shared" si="101"/>
        <v>0</v>
      </c>
      <c r="L729" s="26" t="b">
        <f t="shared" si="102"/>
        <v>0</v>
      </c>
      <c r="M729" t="b">
        <f t="shared" si="107"/>
        <v>0</v>
      </c>
      <c r="N729" t="b">
        <f t="shared" si="108"/>
        <v>0</v>
      </c>
    </row>
    <row r="730" spans="1:14">
      <c r="A730" s="29">
        <v>45290</v>
      </c>
      <c r="B730" s="30">
        <f t="shared" si="100"/>
        <v>12</v>
      </c>
      <c r="C730" s="30">
        <f t="shared" si="103"/>
        <v>30</v>
      </c>
      <c r="D730" s="26">
        <f>MATCH(WEEKDAY(A730),そのた定義!A:A,0)</f>
        <v>8</v>
      </c>
      <c r="E730" s="33" t="str">
        <f t="shared" ca="1" si="104"/>
        <v>土</v>
      </c>
      <c r="F730" s="26">
        <f t="shared" si="105"/>
        <v>1</v>
      </c>
      <c r="G730" s="26">
        <f>IF(ISNA(MATCH(A730,祝日定義!E:E,0)),0,1)</f>
        <v>0</v>
      </c>
      <c r="H730" s="26">
        <f>IF(ISNA(MATCH(B730&amp;"/"&amp;C730,そのた定義!E:E,0)), 0, 1)</f>
        <v>1</v>
      </c>
      <c r="I730" s="23" t="b">
        <f t="shared" si="106"/>
        <v>1</v>
      </c>
      <c r="J730" s="26">
        <v>0</v>
      </c>
      <c r="K730" s="26" t="b">
        <f t="shared" si="101"/>
        <v>0</v>
      </c>
      <c r="L730" s="26" t="b">
        <f t="shared" si="102"/>
        <v>0</v>
      </c>
      <c r="M730" t="b">
        <f t="shared" si="107"/>
        <v>0</v>
      </c>
      <c r="N730" t="b">
        <f t="shared" si="108"/>
        <v>0</v>
      </c>
    </row>
    <row r="731" spans="1:14">
      <c r="A731" s="29">
        <v>45291</v>
      </c>
      <c r="B731" s="30">
        <f t="shared" si="100"/>
        <v>12</v>
      </c>
      <c r="C731" s="30">
        <f t="shared" si="103"/>
        <v>31</v>
      </c>
      <c r="D731" s="26">
        <f>MATCH(WEEKDAY(A731),そのた定義!A:A,0)</f>
        <v>2</v>
      </c>
      <c r="E731" s="32" t="str">
        <f t="shared" ca="1" si="104"/>
        <v>日</v>
      </c>
      <c r="F731" s="26">
        <f t="shared" si="105"/>
        <v>1</v>
      </c>
      <c r="G731" s="26">
        <f>IF(ISNA(MATCH(A731,祝日定義!E:E,0)),0,1)</f>
        <v>0</v>
      </c>
      <c r="H731" s="26">
        <f>IF(ISNA(MATCH(B731&amp;"/"&amp;C731,そのた定義!E:E,0)), 0, 1)</f>
        <v>1</v>
      </c>
      <c r="I731" s="23" t="b">
        <f t="shared" si="106"/>
        <v>1</v>
      </c>
      <c r="J731" s="26">
        <v>0</v>
      </c>
      <c r="K731" s="26" t="b">
        <f t="shared" si="101"/>
        <v>0</v>
      </c>
      <c r="L731" s="26" t="b">
        <f t="shared" si="102"/>
        <v>0</v>
      </c>
      <c r="M731" t="b">
        <f t="shared" si="107"/>
        <v>0</v>
      </c>
      <c r="N731" t="b">
        <f t="shared" si="108"/>
        <v>1</v>
      </c>
    </row>
    <row r="732" spans="1:14">
      <c r="A732" s="29">
        <v>45292</v>
      </c>
      <c r="B732" s="30">
        <f t="shared" si="100"/>
        <v>1</v>
      </c>
      <c r="C732" s="30">
        <f t="shared" si="103"/>
        <v>1</v>
      </c>
      <c r="D732" s="26">
        <f>MATCH(WEEKDAY(A732),そのた定義!A:A,0)</f>
        <v>3</v>
      </c>
      <c r="E732" s="31" t="str">
        <f t="shared" ca="1" si="104"/>
        <v>月</v>
      </c>
      <c r="F732" s="26">
        <f t="shared" si="105"/>
        <v>0</v>
      </c>
      <c r="G732" s="26">
        <f>IF(ISNA(MATCH(A732,祝日定義!E:E,0)),0,1)</f>
        <v>1</v>
      </c>
      <c r="H732" s="26">
        <f>IF(ISNA(MATCH(B732&amp;"/"&amp;C732,そのた定義!E:E,0)), 0, 1)</f>
        <v>1</v>
      </c>
      <c r="I732" s="23" t="b">
        <f t="shared" si="106"/>
        <v>1</v>
      </c>
      <c r="J732" s="26">
        <v>0</v>
      </c>
      <c r="K732" s="26" t="b">
        <f t="shared" si="101"/>
        <v>0</v>
      </c>
      <c r="L732" s="26" t="b">
        <f t="shared" si="102"/>
        <v>0</v>
      </c>
      <c r="M732" t="b">
        <f t="shared" si="107"/>
        <v>0</v>
      </c>
      <c r="N732" t="b">
        <f t="shared" si="108"/>
        <v>0</v>
      </c>
    </row>
    <row r="733" spans="1:14">
      <c r="A733" s="29">
        <v>45293</v>
      </c>
      <c r="B733" s="30">
        <f t="shared" si="100"/>
        <v>1</v>
      </c>
      <c r="C733" s="30">
        <f t="shared" si="103"/>
        <v>2</v>
      </c>
      <c r="D733" s="26">
        <f>MATCH(WEEKDAY(A733),そのた定義!A:A,0)</f>
        <v>4</v>
      </c>
      <c r="E733" s="31" t="str">
        <f t="shared" ca="1" si="104"/>
        <v>火</v>
      </c>
      <c r="F733" s="26">
        <f t="shared" si="105"/>
        <v>0</v>
      </c>
      <c r="G733" s="26">
        <f>IF(ISNA(MATCH(A733,祝日定義!E:E,0)),0,1)</f>
        <v>0</v>
      </c>
      <c r="H733" s="26">
        <f>IF(ISNA(MATCH(B733&amp;"/"&amp;C733,そのた定義!E:E,0)), 0, 1)</f>
        <v>1</v>
      </c>
      <c r="I733" s="23" t="b">
        <f t="shared" si="106"/>
        <v>1</v>
      </c>
      <c r="J733" s="26">
        <v>0</v>
      </c>
      <c r="K733" s="26" t="b">
        <f t="shared" si="101"/>
        <v>0</v>
      </c>
      <c r="L733" s="26" t="b">
        <f t="shared" si="102"/>
        <v>0</v>
      </c>
      <c r="M733" t="b">
        <f t="shared" si="107"/>
        <v>0</v>
      </c>
      <c r="N733" t="b">
        <f t="shared" si="108"/>
        <v>0</v>
      </c>
    </row>
    <row r="734" spans="1:14">
      <c r="A734" s="29">
        <v>45294</v>
      </c>
      <c r="B734" s="30">
        <f t="shared" si="100"/>
        <v>1</v>
      </c>
      <c r="C734" s="30">
        <f t="shared" si="103"/>
        <v>3</v>
      </c>
      <c r="D734" s="26">
        <f>MATCH(WEEKDAY(A734),そのた定義!A:A,0)</f>
        <v>5</v>
      </c>
      <c r="E734" s="31" t="str">
        <f t="shared" ca="1" si="104"/>
        <v>水</v>
      </c>
      <c r="F734" s="26">
        <f t="shared" si="105"/>
        <v>0</v>
      </c>
      <c r="G734" s="26">
        <f>IF(ISNA(MATCH(A734,祝日定義!E:E,0)),0,1)</f>
        <v>0</v>
      </c>
      <c r="H734" s="26">
        <f>IF(ISNA(MATCH(B734&amp;"/"&amp;C734,そのた定義!E:E,0)), 0, 1)</f>
        <v>1</v>
      </c>
      <c r="I734" s="23" t="b">
        <f t="shared" si="106"/>
        <v>1</v>
      </c>
      <c r="J734" s="26">
        <v>0</v>
      </c>
      <c r="K734" s="26" t="b">
        <f t="shared" si="101"/>
        <v>0</v>
      </c>
      <c r="L734" s="26" t="b">
        <f t="shared" si="102"/>
        <v>0</v>
      </c>
      <c r="M734" t="b">
        <f t="shared" si="107"/>
        <v>0</v>
      </c>
      <c r="N734" t="b">
        <f t="shared" si="108"/>
        <v>0</v>
      </c>
    </row>
    <row r="735" spans="1:14">
      <c r="A735" s="29">
        <v>45295</v>
      </c>
      <c r="B735" s="30">
        <f t="shared" si="100"/>
        <v>1</v>
      </c>
      <c r="C735" s="30">
        <f t="shared" si="103"/>
        <v>4</v>
      </c>
      <c r="D735" s="26">
        <f>MATCH(WEEKDAY(A735),そのた定義!A:A,0)</f>
        <v>6</v>
      </c>
      <c r="E735" s="26" t="str">
        <f t="shared" ca="1" si="104"/>
        <v>木</v>
      </c>
      <c r="F735" s="26">
        <f t="shared" si="105"/>
        <v>0</v>
      </c>
      <c r="G735" s="26">
        <f>IF(ISNA(MATCH(A735,祝日定義!E:E,0)),0,1)</f>
        <v>0</v>
      </c>
      <c r="H735" s="26">
        <f>IF(ISNA(MATCH(B735&amp;"/"&amp;C735,そのた定義!E:E,0)), 0, 1)</f>
        <v>0</v>
      </c>
      <c r="I735" s="26" t="b">
        <f t="shared" si="106"/>
        <v>0</v>
      </c>
      <c r="J735" s="26">
        <v>5</v>
      </c>
      <c r="K735" s="26" t="b">
        <f t="shared" si="101"/>
        <v>0</v>
      </c>
      <c r="L735" s="26" t="b">
        <f t="shared" si="102"/>
        <v>0</v>
      </c>
      <c r="M735" t="b">
        <f t="shared" si="107"/>
        <v>1</v>
      </c>
      <c r="N735" t="b">
        <f t="shared" si="108"/>
        <v>0</v>
      </c>
    </row>
    <row r="736" spans="1:14">
      <c r="A736" s="29">
        <v>45296</v>
      </c>
      <c r="B736" s="30">
        <f t="shared" si="100"/>
        <v>1</v>
      </c>
      <c r="C736" s="30">
        <f t="shared" si="103"/>
        <v>5</v>
      </c>
      <c r="D736" s="26">
        <f>MATCH(WEEKDAY(A736),そのた定義!A:A,0)</f>
        <v>7</v>
      </c>
      <c r="E736" s="26" t="str">
        <f t="shared" ca="1" si="104"/>
        <v>金</v>
      </c>
      <c r="F736" s="26">
        <f t="shared" si="105"/>
        <v>0</v>
      </c>
      <c r="G736" s="26">
        <f>IF(ISNA(MATCH(A736,祝日定義!E:E,0)),0,1)</f>
        <v>0</v>
      </c>
      <c r="H736" s="26">
        <f>IF(ISNA(MATCH(B736&amp;"/"&amp;C736,そのた定義!E:E,0)), 0, 1)</f>
        <v>0</v>
      </c>
      <c r="I736" s="26" t="b">
        <f t="shared" si="106"/>
        <v>0</v>
      </c>
      <c r="J736" s="26">
        <v>0</v>
      </c>
      <c r="K736" s="26" t="b">
        <f t="shared" si="101"/>
        <v>0</v>
      </c>
      <c r="L736" s="26" t="b">
        <f t="shared" si="102"/>
        <v>0</v>
      </c>
      <c r="M736" t="b">
        <f t="shared" si="107"/>
        <v>0</v>
      </c>
      <c r="N736" t="b">
        <f t="shared" si="108"/>
        <v>0</v>
      </c>
    </row>
    <row r="737" spans="1:14">
      <c r="A737" s="29">
        <v>45297</v>
      </c>
      <c r="B737" s="30">
        <f t="shared" si="100"/>
        <v>1</v>
      </c>
      <c r="C737" s="30">
        <f t="shared" si="103"/>
        <v>6</v>
      </c>
      <c r="D737" s="26">
        <f>MATCH(WEEKDAY(A737),そのた定義!A:A,0)</f>
        <v>8</v>
      </c>
      <c r="E737" s="33" t="str">
        <f t="shared" ca="1" si="104"/>
        <v>土</v>
      </c>
      <c r="F737" s="26">
        <f t="shared" si="105"/>
        <v>1</v>
      </c>
      <c r="G737" s="26">
        <f>IF(ISNA(MATCH(A737,祝日定義!E:E,0)),0,1)</f>
        <v>0</v>
      </c>
      <c r="H737" s="26">
        <f>IF(ISNA(MATCH(B737&amp;"/"&amp;C737,そのた定義!E:E,0)), 0, 1)</f>
        <v>0</v>
      </c>
      <c r="I737" s="23" t="b">
        <f t="shared" si="106"/>
        <v>1</v>
      </c>
      <c r="J737" s="26">
        <v>0</v>
      </c>
      <c r="K737" s="26" t="b">
        <f t="shared" si="101"/>
        <v>0</v>
      </c>
      <c r="L737" s="26" t="b">
        <f t="shared" si="102"/>
        <v>0</v>
      </c>
      <c r="M737" t="b">
        <f t="shared" si="107"/>
        <v>0</v>
      </c>
      <c r="N737" t="b">
        <f t="shared" si="108"/>
        <v>0</v>
      </c>
    </row>
    <row r="738" spans="1:14">
      <c r="A738" s="29">
        <v>45298</v>
      </c>
      <c r="B738" s="30">
        <f t="shared" si="100"/>
        <v>1</v>
      </c>
      <c r="C738" s="30">
        <f t="shared" si="103"/>
        <v>7</v>
      </c>
      <c r="D738" s="26">
        <f>MATCH(WEEKDAY(A738),そのた定義!A:A,0)</f>
        <v>2</v>
      </c>
      <c r="E738" s="32" t="str">
        <f t="shared" ca="1" si="104"/>
        <v>日</v>
      </c>
      <c r="F738" s="26">
        <f t="shared" si="105"/>
        <v>1</v>
      </c>
      <c r="G738" s="26">
        <f>IF(ISNA(MATCH(A738,祝日定義!E:E,0)),0,1)</f>
        <v>0</v>
      </c>
      <c r="H738" s="26">
        <f>IF(ISNA(MATCH(B738&amp;"/"&amp;C738,そのた定義!E:E,0)), 0, 1)</f>
        <v>0</v>
      </c>
      <c r="I738" s="23" t="b">
        <f t="shared" si="106"/>
        <v>1</v>
      </c>
      <c r="J738" s="26">
        <v>0</v>
      </c>
      <c r="K738" s="26" t="b">
        <f t="shared" si="101"/>
        <v>0</v>
      </c>
      <c r="L738" s="26" t="b">
        <f t="shared" si="102"/>
        <v>0</v>
      </c>
      <c r="M738" t="b">
        <f t="shared" si="107"/>
        <v>0</v>
      </c>
      <c r="N738" t="b">
        <f t="shared" si="108"/>
        <v>0</v>
      </c>
    </row>
    <row r="739" spans="1:14">
      <c r="A739" s="29">
        <v>45299</v>
      </c>
      <c r="B739" s="30">
        <f t="shared" si="100"/>
        <v>1</v>
      </c>
      <c r="C739" s="30">
        <f t="shared" si="103"/>
        <v>8</v>
      </c>
      <c r="D739" s="26">
        <f>MATCH(WEEKDAY(A739),そのた定義!A:A,0)</f>
        <v>3</v>
      </c>
      <c r="E739" s="31" t="str">
        <f t="shared" ca="1" si="104"/>
        <v>月</v>
      </c>
      <c r="F739" s="26">
        <f t="shared" si="105"/>
        <v>0</v>
      </c>
      <c r="G739" s="26">
        <f>IF(ISNA(MATCH(A739,祝日定義!E:E,0)),0,1)</f>
        <v>1</v>
      </c>
      <c r="H739" s="26">
        <f>IF(ISNA(MATCH(B739&amp;"/"&amp;C739,そのた定義!E:E,0)), 0, 1)</f>
        <v>0</v>
      </c>
      <c r="I739" s="23" t="b">
        <f t="shared" si="106"/>
        <v>1</v>
      </c>
      <c r="J739" s="26">
        <v>0</v>
      </c>
      <c r="K739" s="26" t="b">
        <f t="shared" si="101"/>
        <v>0</v>
      </c>
      <c r="L739" s="26" t="b">
        <f t="shared" si="102"/>
        <v>0</v>
      </c>
      <c r="M739" t="b">
        <f t="shared" si="107"/>
        <v>0</v>
      </c>
      <c r="N739" t="b">
        <f t="shared" si="108"/>
        <v>0</v>
      </c>
    </row>
    <row r="740" spans="1:14">
      <c r="A740" s="29">
        <v>45300</v>
      </c>
      <c r="B740" s="30">
        <f t="shared" si="100"/>
        <v>1</v>
      </c>
      <c r="C740" s="30">
        <f t="shared" si="103"/>
        <v>9</v>
      </c>
      <c r="D740" s="26">
        <f>MATCH(WEEKDAY(A740),そのた定義!A:A,0)</f>
        <v>4</v>
      </c>
      <c r="E740" s="26" t="str">
        <f t="shared" ca="1" si="104"/>
        <v>火</v>
      </c>
      <c r="F740" s="26">
        <f t="shared" si="105"/>
        <v>0</v>
      </c>
      <c r="G740" s="26">
        <f>IF(ISNA(MATCH(A740,祝日定義!E:E,0)),0,1)</f>
        <v>0</v>
      </c>
      <c r="H740" s="26">
        <f>IF(ISNA(MATCH(B740&amp;"/"&amp;C740,そのた定義!E:E,0)), 0, 1)</f>
        <v>0</v>
      </c>
      <c r="I740" s="26" t="b">
        <f t="shared" si="106"/>
        <v>0</v>
      </c>
      <c r="J740" s="26">
        <v>3</v>
      </c>
      <c r="K740" s="26" t="b">
        <f t="shared" si="101"/>
        <v>0</v>
      </c>
      <c r="L740" s="26" t="b">
        <f t="shared" si="102"/>
        <v>0</v>
      </c>
      <c r="M740" t="b">
        <f t="shared" si="107"/>
        <v>0</v>
      </c>
      <c r="N740" t="b">
        <f t="shared" si="108"/>
        <v>0</v>
      </c>
    </row>
    <row r="741" spans="1:14">
      <c r="A741" s="29">
        <v>45301</v>
      </c>
      <c r="B741" s="30">
        <f t="shared" si="100"/>
        <v>1</v>
      </c>
      <c r="C741" s="30">
        <f t="shared" si="103"/>
        <v>10</v>
      </c>
      <c r="D741" s="26">
        <f>MATCH(WEEKDAY(A741),そのた定義!A:A,0)</f>
        <v>5</v>
      </c>
      <c r="E741" s="26" t="str">
        <f t="shared" ca="1" si="104"/>
        <v>水</v>
      </c>
      <c r="F741" s="26">
        <f t="shared" si="105"/>
        <v>0</v>
      </c>
      <c r="G741" s="26">
        <f>IF(ISNA(MATCH(A741,祝日定義!E:E,0)),0,1)</f>
        <v>0</v>
      </c>
      <c r="H741" s="26">
        <f>IF(ISNA(MATCH(B741&amp;"/"&amp;C741,そのた定義!E:E,0)), 0, 1)</f>
        <v>0</v>
      </c>
      <c r="I741" s="26" t="b">
        <f t="shared" si="106"/>
        <v>0</v>
      </c>
      <c r="J741" s="26">
        <v>0</v>
      </c>
      <c r="K741" s="26" t="b">
        <f t="shared" si="101"/>
        <v>0</v>
      </c>
      <c r="L741" s="26" t="b">
        <f t="shared" si="102"/>
        <v>0</v>
      </c>
      <c r="M741" t="b">
        <f t="shared" si="107"/>
        <v>0</v>
      </c>
      <c r="N741" t="b">
        <f t="shared" si="108"/>
        <v>0</v>
      </c>
    </row>
    <row r="742" spans="1:14">
      <c r="A742" s="29">
        <v>45302</v>
      </c>
      <c r="B742" s="30">
        <f t="shared" si="100"/>
        <v>1</v>
      </c>
      <c r="C742" s="30">
        <f t="shared" si="103"/>
        <v>11</v>
      </c>
      <c r="D742" s="26">
        <f>MATCH(WEEKDAY(A742),そのた定義!A:A,0)</f>
        <v>6</v>
      </c>
      <c r="E742" s="26" t="str">
        <f t="shared" ca="1" si="104"/>
        <v>木</v>
      </c>
      <c r="F742" s="26">
        <f t="shared" si="105"/>
        <v>0</v>
      </c>
      <c r="G742" s="26">
        <f>IF(ISNA(MATCH(A742,祝日定義!E:E,0)),0,1)</f>
        <v>0</v>
      </c>
      <c r="H742" s="26">
        <f>IF(ISNA(MATCH(B742&amp;"/"&amp;C742,そのた定義!E:E,0)), 0, 1)</f>
        <v>0</v>
      </c>
      <c r="I742" s="26" t="b">
        <f t="shared" si="106"/>
        <v>0</v>
      </c>
      <c r="J742" s="26">
        <v>0</v>
      </c>
      <c r="K742" s="26" t="b">
        <f t="shared" si="101"/>
        <v>0</v>
      </c>
      <c r="L742" s="26" t="b">
        <f t="shared" si="102"/>
        <v>0</v>
      </c>
      <c r="M742" t="b">
        <f t="shared" si="107"/>
        <v>0</v>
      </c>
      <c r="N742" t="b">
        <f t="shared" si="108"/>
        <v>0</v>
      </c>
    </row>
    <row r="743" spans="1:14">
      <c r="A743" s="29">
        <v>45303</v>
      </c>
      <c r="B743" s="30">
        <f t="shared" si="100"/>
        <v>1</v>
      </c>
      <c r="C743" s="30">
        <f t="shared" si="103"/>
        <v>12</v>
      </c>
      <c r="D743" s="26">
        <f>MATCH(WEEKDAY(A743),そのた定義!A:A,0)</f>
        <v>7</v>
      </c>
      <c r="E743" s="26" t="str">
        <f t="shared" ca="1" si="104"/>
        <v>金</v>
      </c>
      <c r="F743" s="26">
        <f t="shared" si="105"/>
        <v>0</v>
      </c>
      <c r="G743" s="26">
        <f>IF(ISNA(MATCH(A743,祝日定義!E:E,0)),0,1)</f>
        <v>0</v>
      </c>
      <c r="H743" s="26">
        <f>IF(ISNA(MATCH(B743&amp;"/"&amp;C743,そのた定義!E:E,0)), 0, 1)</f>
        <v>0</v>
      </c>
      <c r="I743" s="26" t="b">
        <f t="shared" si="106"/>
        <v>0</v>
      </c>
      <c r="J743" s="26">
        <v>0</v>
      </c>
      <c r="K743" s="26" t="b">
        <f t="shared" si="101"/>
        <v>0</v>
      </c>
      <c r="L743" s="26" t="b">
        <f t="shared" si="102"/>
        <v>0</v>
      </c>
      <c r="M743" t="b">
        <f t="shared" si="107"/>
        <v>0</v>
      </c>
      <c r="N743" t="b">
        <f t="shared" si="108"/>
        <v>0</v>
      </c>
    </row>
    <row r="744" spans="1:14">
      <c r="A744" s="29">
        <v>45304</v>
      </c>
      <c r="B744" s="30">
        <f t="shared" si="100"/>
        <v>1</v>
      </c>
      <c r="C744" s="30">
        <f t="shared" si="103"/>
        <v>13</v>
      </c>
      <c r="D744" s="26">
        <f>MATCH(WEEKDAY(A744),そのた定義!A:A,0)</f>
        <v>8</v>
      </c>
      <c r="E744" s="33" t="str">
        <f t="shared" ca="1" si="104"/>
        <v>土</v>
      </c>
      <c r="F744" s="26">
        <f t="shared" si="105"/>
        <v>1</v>
      </c>
      <c r="G744" s="26">
        <f>IF(ISNA(MATCH(A744,祝日定義!E:E,0)),0,1)</f>
        <v>0</v>
      </c>
      <c r="H744" s="26">
        <f>IF(ISNA(MATCH(B744&amp;"/"&amp;C744,そのた定義!E:E,0)), 0, 1)</f>
        <v>0</v>
      </c>
      <c r="I744" s="23" t="b">
        <f t="shared" si="106"/>
        <v>1</v>
      </c>
      <c r="J744" s="26">
        <v>0</v>
      </c>
      <c r="K744" s="26" t="b">
        <f t="shared" si="101"/>
        <v>0</v>
      </c>
      <c r="L744" s="26" t="b">
        <f t="shared" si="102"/>
        <v>0</v>
      </c>
      <c r="M744" t="b">
        <f t="shared" si="107"/>
        <v>0</v>
      </c>
      <c r="N744" t="b">
        <f t="shared" si="108"/>
        <v>0</v>
      </c>
    </row>
    <row r="745" spans="1:14">
      <c r="A745" s="29">
        <v>45305</v>
      </c>
      <c r="B745" s="30">
        <f t="shared" si="100"/>
        <v>1</v>
      </c>
      <c r="C745" s="30">
        <f t="shared" si="103"/>
        <v>14</v>
      </c>
      <c r="D745" s="26">
        <f>MATCH(WEEKDAY(A745),そのた定義!A:A,0)</f>
        <v>2</v>
      </c>
      <c r="E745" s="32" t="str">
        <f t="shared" ca="1" si="104"/>
        <v>日</v>
      </c>
      <c r="F745" s="26">
        <f t="shared" si="105"/>
        <v>1</v>
      </c>
      <c r="G745" s="26">
        <f>IF(ISNA(MATCH(A745,祝日定義!E:E,0)),0,1)</f>
        <v>0</v>
      </c>
      <c r="H745" s="26">
        <f>IF(ISNA(MATCH(B745&amp;"/"&amp;C745,そのた定義!E:E,0)), 0, 1)</f>
        <v>0</v>
      </c>
      <c r="I745" s="23" t="b">
        <f t="shared" si="106"/>
        <v>1</v>
      </c>
      <c r="J745" s="26">
        <v>0</v>
      </c>
      <c r="K745" s="26" t="b">
        <f t="shared" si="101"/>
        <v>0</v>
      </c>
      <c r="L745" s="26" t="b">
        <f t="shared" si="102"/>
        <v>0</v>
      </c>
      <c r="M745" t="b">
        <f t="shared" si="107"/>
        <v>0</v>
      </c>
      <c r="N745" t="b">
        <f t="shared" si="108"/>
        <v>0</v>
      </c>
    </row>
    <row r="746" spans="1:14">
      <c r="A746" s="29">
        <v>45306</v>
      </c>
      <c r="B746" s="30">
        <f t="shared" si="100"/>
        <v>1</v>
      </c>
      <c r="C746" s="30">
        <f t="shared" si="103"/>
        <v>15</v>
      </c>
      <c r="D746" s="26">
        <f>MATCH(WEEKDAY(A746),そのた定義!A:A,0)</f>
        <v>3</v>
      </c>
      <c r="E746" s="26" t="str">
        <f t="shared" ca="1" si="104"/>
        <v>月</v>
      </c>
      <c r="F746" s="26">
        <f t="shared" si="105"/>
        <v>0</v>
      </c>
      <c r="G746" s="26">
        <f>IF(ISNA(MATCH(A746,祝日定義!E:E,0)),0,1)</f>
        <v>0</v>
      </c>
      <c r="H746" s="26">
        <f>IF(ISNA(MATCH(B746&amp;"/"&amp;C746,そのた定義!E:E,0)), 0, 1)</f>
        <v>0</v>
      </c>
      <c r="I746" s="26" t="b">
        <f t="shared" si="106"/>
        <v>0</v>
      </c>
      <c r="J746" s="26">
        <v>2</v>
      </c>
      <c r="K746" s="26" t="b">
        <f t="shared" si="101"/>
        <v>0</v>
      </c>
      <c r="L746" s="26" t="b">
        <f t="shared" si="102"/>
        <v>0</v>
      </c>
      <c r="M746" t="b">
        <f t="shared" si="107"/>
        <v>0</v>
      </c>
      <c r="N746" t="b">
        <f t="shared" si="108"/>
        <v>0</v>
      </c>
    </row>
    <row r="747" spans="1:14">
      <c r="A747" s="29">
        <v>45307</v>
      </c>
      <c r="B747" s="30">
        <f t="shared" si="100"/>
        <v>1</v>
      </c>
      <c r="C747" s="30">
        <f t="shared" si="103"/>
        <v>16</v>
      </c>
      <c r="D747" s="26">
        <f>MATCH(WEEKDAY(A747),そのた定義!A:A,0)</f>
        <v>4</v>
      </c>
      <c r="E747" s="26" t="str">
        <f t="shared" ca="1" si="104"/>
        <v>火</v>
      </c>
      <c r="F747" s="26">
        <f t="shared" si="105"/>
        <v>0</v>
      </c>
      <c r="G747" s="26">
        <f>IF(ISNA(MATCH(A747,祝日定義!E:E,0)),0,1)</f>
        <v>0</v>
      </c>
      <c r="H747" s="26">
        <f>IF(ISNA(MATCH(B747&amp;"/"&amp;C747,そのた定義!E:E,0)), 0, 1)</f>
        <v>0</v>
      </c>
      <c r="I747" s="26" t="b">
        <f t="shared" si="106"/>
        <v>0</v>
      </c>
      <c r="J747" s="26">
        <v>0</v>
      </c>
      <c r="K747" s="26" t="b">
        <f t="shared" si="101"/>
        <v>0</v>
      </c>
      <c r="L747" s="26" t="b">
        <f t="shared" si="102"/>
        <v>0</v>
      </c>
      <c r="M747" t="b">
        <f t="shared" si="107"/>
        <v>0</v>
      </c>
      <c r="N747" t="b">
        <f t="shared" si="108"/>
        <v>0</v>
      </c>
    </row>
    <row r="748" spans="1:14">
      <c r="A748" s="29">
        <v>45308</v>
      </c>
      <c r="B748" s="30">
        <f t="shared" si="100"/>
        <v>1</v>
      </c>
      <c r="C748" s="30">
        <f t="shared" si="103"/>
        <v>17</v>
      </c>
      <c r="D748" s="26">
        <f>MATCH(WEEKDAY(A748),そのた定義!A:A,0)</f>
        <v>5</v>
      </c>
      <c r="E748" s="26" t="str">
        <f t="shared" ca="1" si="104"/>
        <v>水</v>
      </c>
      <c r="F748" s="26">
        <f t="shared" si="105"/>
        <v>0</v>
      </c>
      <c r="G748" s="26">
        <f>IF(ISNA(MATCH(A748,祝日定義!E:E,0)),0,1)</f>
        <v>0</v>
      </c>
      <c r="H748" s="26">
        <f>IF(ISNA(MATCH(B748&amp;"/"&amp;C748,そのた定義!E:E,0)), 0, 1)</f>
        <v>0</v>
      </c>
      <c r="I748" s="26" t="b">
        <f t="shared" si="106"/>
        <v>0</v>
      </c>
      <c r="J748" s="26">
        <v>0</v>
      </c>
      <c r="K748" s="26" t="b">
        <f t="shared" si="101"/>
        <v>0</v>
      </c>
      <c r="L748" s="26" t="b">
        <f t="shared" si="102"/>
        <v>0</v>
      </c>
      <c r="M748" t="b">
        <f t="shared" si="107"/>
        <v>0</v>
      </c>
      <c r="N748" t="b">
        <f t="shared" si="108"/>
        <v>0</v>
      </c>
    </row>
    <row r="749" spans="1:14">
      <c r="A749" s="29">
        <v>45309</v>
      </c>
      <c r="B749" s="30">
        <f t="shared" si="100"/>
        <v>1</v>
      </c>
      <c r="C749" s="30">
        <f t="shared" si="103"/>
        <v>18</v>
      </c>
      <c r="D749" s="26">
        <f>MATCH(WEEKDAY(A749),そのた定義!A:A,0)</f>
        <v>6</v>
      </c>
      <c r="E749" s="26" t="str">
        <f t="shared" ca="1" si="104"/>
        <v>木</v>
      </c>
      <c r="F749" s="26">
        <f t="shared" si="105"/>
        <v>0</v>
      </c>
      <c r="G749" s="26">
        <f>IF(ISNA(MATCH(A749,祝日定義!E:E,0)),0,1)</f>
        <v>0</v>
      </c>
      <c r="H749" s="26">
        <f>IF(ISNA(MATCH(B749&amp;"/"&amp;C749,そのた定義!E:E,0)), 0, 1)</f>
        <v>0</v>
      </c>
      <c r="I749" s="26" t="b">
        <f t="shared" si="106"/>
        <v>0</v>
      </c>
      <c r="J749" s="26">
        <v>0</v>
      </c>
      <c r="K749" s="26" t="b">
        <f t="shared" si="101"/>
        <v>0</v>
      </c>
      <c r="L749" s="26" t="b">
        <f t="shared" si="102"/>
        <v>0</v>
      </c>
      <c r="M749" t="b">
        <f t="shared" si="107"/>
        <v>0</v>
      </c>
      <c r="N749" t="b">
        <f t="shared" si="108"/>
        <v>0</v>
      </c>
    </row>
    <row r="750" spans="1:14">
      <c r="A750" s="29">
        <v>45310</v>
      </c>
      <c r="B750" s="30">
        <f t="shared" si="100"/>
        <v>1</v>
      </c>
      <c r="C750" s="30">
        <f t="shared" si="103"/>
        <v>19</v>
      </c>
      <c r="D750" s="26">
        <f>MATCH(WEEKDAY(A750),そのた定義!A:A,0)</f>
        <v>7</v>
      </c>
      <c r="E750" s="26" t="str">
        <f t="shared" ca="1" si="104"/>
        <v>金</v>
      </c>
      <c r="F750" s="26">
        <f t="shared" si="105"/>
        <v>0</v>
      </c>
      <c r="G750" s="26">
        <f>IF(ISNA(MATCH(A750,祝日定義!E:E,0)),0,1)</f>
        <v>0</v>
      </c>
      <c r="H750" s="26">
        <f>IF(ISNA(MATCH(B750&amp;"/"&amp;C750,そのた定義!E:E,0)), 0, 1)</f>
        <v>0</v>
      </c>
      <c r="I750" s="26" t="b">
        <f t="shared" si="106"/>
        <v>0</v>
      </c>
      <c r="J750" s="26">
        <v>0</v>
      </c>
      <c r="K750" s="26" t="b">
        <f t="shared" si="101"/>
        <v>0</v>
      </c>
      <c r="L750" s="26" t="b">
        <f t="shared" si="102"/>
        <v>0</v>
      </c>
      <c r="M750" t="b">
        <f t="shared" si="107"/>
        <v>0</v>
      </c>
      <c r="N750" t="b">
        <f t="shared" si="108"/>
        <v>0</v>
      </c>
    </row>
    <row r="751" spans="1:14">
      <c r="A751" s="29">
        <v>45311</v>
      </c>
      <c r="B751" s="30">
        <f t="shared" si="100"/>
        <v>1</v>
      </c>
      <c r="C751" s="30">
        <f t="shared" si="103"/>
        <v>20</v>
      </c>
      <c r="D751" s="26">
        <f>MATCH(WEEKDAY(A751),そのた定義!A:A,0)</f>
        <v>8</v>
      </c>
      <c r="E751" s="33" t="str">
        <f t="shared" ca="1" si="104"/>
        <v>土</v>
      </c>
      <c r="F751" s="26">
        <f t="shared" si="105"/>
        <v>1</v>
      </c>
      <c r="G751" s="26">
        <f>IF(ISNA(MATCH(A751,祝日定義!E:E,0)),0,1)</f>
        <v>0</v>
      </c>
      <c r="H751" s="26">
        <f>IF(ISNA(MATCH(B751&amp;"/"&amp;C751,そのた定義!E:E,0)), 0, 1)</f>
        <v>0</v>
      </c>
      <c r="I751" s="23" t="b">
        <f t="shared" si="106"/>
        <v>1</v>
      </c>
      <c r="J751" s="26">
        <v>0</v>
      </c>
      <c r="K751" s="26" t="b">
        <f t="shared" si="101"/>
        <v>0</v>
      </c>
      <c r="L751" s="26" t="b">
        <f t="shared" si="102"/>
        <v>0</v>
      </c>
      <c r="M751" t="b">
        <f t="shared" si="107"/>
        <v>0</v>
      </c>
      <c r="N751" t="b">
        <f t="shared" si="108"/>
        <v>0</v>
      </c>
    </row>
    <row r="752" spans="1:14">
      <c r="A752" s="29">
        <v>45312</v>
      </c>
      <c r="B752" s="30">
        <f t="shared" si="100"/>
        <v>1</v>
      </c>
      <c r="C752" s="30">
        <f t="shared" si="103"/>
        <v>21</v>
      </c>
      <c r="D752" s="26">
        <f>MATCH(WEEKDAY(A752),そのた定義!A:A,0)</f>
        <v>2</v>
      </c>
      <c r="E752" s="32" t="str">
        <f t="shared" ca="1" si="104"/>
        <v>日</v>
      </c>
      <c r="F752" s="26">
        <f t="shared" si="105"/>
        <v>1</v>
      </c>
      <c r="G752" s="26">
        <f>IF(ISNA(MATCH(A752,祝日定義!E:E,0)),0,1)</f>
        <v>0</v>
      </c>
      <c r="H752" s="26">
        <f>IF(ISNA(MATCH(B752&amp;"/"&amp;C752,そのた定義!E:E,0)), 0, 1)</f>
        <v>0</v>
      </c>
      <c r="I752" s="23" t="b">
        <f t="shared" si="106"/>
        <v>1</v>
      </c>
      <c r="J752" s="26">
        <v>0</v>
      </c>
      <c r="K752" s="26" t="b">
        <f t="shared" si="101"/>
        <v>0</v>
      </c>
      <c r="L752" s="26" t="b">
        <f t="shared" si="102"/>
        <v>0</v>
      </c>
      <c r="M752" t="b">
        <f t="shared" si="107"/>
        <v>0</v>
      </c>
      <c r="N752" t="b">
        <f t="shared" si="108"/>
        <v>0</v>
      </c>
    </row>
    <row r="753" spans="1:14">
      <c r="A753" s="29">
        <v>45313</v>
      </c>
      <c r="B753" s="30">
        <f t="shared" si="100"/>
        <v>1</v>
      </c>
      <c r="C753" s="30">
        <f t="shared" si="103"/>
        <v>22</v>
      </c>
      <c r="D753" s="26">
        <f>MATCH(WEEKDAY(A753),そのた定義!A:A,0)</f>
        <v>3</v>
      </c>
      <c r="E753" s="26" t="str">
        <f t="shared" ca="1" si="104"/>
        <v>月</v>
      </c>
      <c r="F753" s="26">
        <f t="shared" si="105"/>
        <v>0</v>
      </c>
      <c r="G753" s="26">
        <f>IF(ISNA(MATCH(A753,祝日定義!E:E,0)),0,1)</f>
        <v>0</v>
      </c>
      <c r="H753" s="26">
        <f>IF(ISNA(MATCH(B753&amp;"/"&amp;C753,そのた定義!E:E,0)), 0, 1)</f>
        <v>0</v>
      </c>
      <c r="I753" s="26" t="b">
        <f t="shared" si="106"/>
        <v>0</v>
      </c>
      <c r="J753" s="26">
        <v>2</v>
      </c>
      <c r="K753" s="26" t="b">
        <f t="shared" si="101"/>
        <v>0</v>
      </c>
      <c r="L753" s="26" t="b">
        <f t="shared" si="102"/>
        <v>0</v>
      </c>
      <c r="M753" t="b">
        <f t="shared" si="107"/>
        <v>0</v>
      </c>
      <c r="N753" t="b">
        <f t="shared" si="108"/>
        <v>0</v>
      </c>
    </row>
    <row r="754" spans="1:14">
      <c r="A754" s="29">
        <v>45314</v>
      </c>
      <c r="B754" s="30">
        <f t="shared" si="100"/>
        <v>1</v>
      </c>
      <c r="C754" s="30">
        <f t="shared" si="103"/>
        <v>23</v>
      </c>
      <c r="D754" s="26">
        <f>MATCH(WEEKDAY(A754),そのた定義!A:A,0)</f>
        <v>4</v>
      </c>
      <c r="E754" s="26" t="str">
        <f t="shared" ca="1" si="104"/>
        <v>火</v>
      </c>
      <c r="F754" s="26">
        <f t="shared" si="105"/>
        <v>0</v>
      </c>
      <c r="G754" s="26">
        <f>IF(ISNA(MATCH(A754,祝日定義!E:E,0)),0,1)</f>
        <v>0</v>
      </c>
      <c r="H754" s="26">
        <f>IF(ISNA(MATCH(B754&amp;"/"&amp;C754,そのた定義!E:E,0)), 0, 1)</f>
        <v>0</v>
      </c>
      <c r="I754" s="26" t="b">
        <f t="shared" si="106"/>
        <v>0</v>
      </c>
      <c r="J754" s="26">
        <v>0</v>
      </c>
      <c r="K754" s="26" t="b">
        <f t="shared" si="101"/>
        <v>0</v>
      </c>
      <c r="L754" s="26" t="b">
        <f t="shared" si="102"/>
        <v>0</v>
      </c>
      <c r="M754" t="b">
        <f t="shared" si="107"/>
        <v>0</v>
      </c>
      <c r="N754" t="b">
        <f t="shared" si="108"/>
        <v>0</v>
      </c>
    </row>
    <row r="755" spans="1:14">
      <c r="A755" s="29">
        <v>45315</v>
      </c>
      <c r="B755" s="30">
        <f t="shared" si="100"/>
        <v>1</v>
      </c>
      <c r="C755" s="30">
        <f t="shared" si="103"/>
        <v>24</v>
      </c>
      <c r="D755" s="26">
        <f>MATCH(WEEKDAY(A755),そのた定義!A:A,0)</f>
        <v>5</v>
      </c>
      <c r="E755" s="26" t="str">
        <f t="shared" ca="1" si="104"/>
        <v>水</v>
      </c>
      <c r="F755" s="26">
        <f t="shared" si="105"/>
        <v>0</v>
      </c>
      <c r="G755" s="26">
        <f>IF(ISNA(MATCH(A755,祝日定義!E:E,0)),0,1)</f>
        <v>0</v>
      </c>
      <c r="H755" s="26">
        <f>IF(ISNA(MATCH(B755&amp;"/"&amp;C755,そのた定義!E:E,0)), 0, 1)</f>
        <v>0</v>
      </c>
      <c r="I755" s="26" t="b">
        <f t="shared" si="106"/>
        <v>0</v>
      </c>
      <c r="J755" s="26">
        <v>0</v>
      </c>
      <c r="K755" s="26" t="b">
        <f t="shared" si="101"/>
        <v>0</v>
      </c>
      <c r="L755" s="26" t="b">
        <f t="shared" si="102"/>
        <v>0</v>
      </c>
      <c r="M755" t="b">
        <f t="shared" si="107"/>
        <v>0</v>
      </c>
      <c r="N755" t="b">
        <f t="shared" si="108"/>
        <v>0</v>
      </c>
    </row>
    <row r="756" spans="1:14">
      <c r="A756" s="29">
        <v>45316</v>
      </c>
      <c r="B756" s="30">
        <f t="shared" si="100"/>
        <v>1</v>
      </c>
      <c r="C756" s="30">
        <f t="shared" si="103"/>
        <v>25</v>
      </c>
      <c r="D756" s="26">
        <f>MATCH(WEEKDAY(A756),そのた定義!A:A,0)</f>
        <v>6</v>
      </c>
      <c r="E756" s="26" t="str">
        <f t="shared" ca="1" si="104"/>
        <v>木</v>
      </c>
      <c r="F756" s="26">
        <f t="shared" si="105"/>
        <v>0</v>
      </c>
      <c r="G756" s="26">
        <f>IF(ISNA(MATCH(A756,祝日定義!E:E,0)),0,1)</f>
        <v>0</v>
      </c>
      <c r="H756" s="26">
        <f>IF(ISNA(MATCH(B756&amp;"/"&amp;C756,そのた定義!E:E,0)), 0, 1)</f>
        <v>0</v>
      </c>
      <c r="I756" s="26" t="b">
        <f t="shared" si="106"/>
        <v>0</v>
      </c>
      <c r="J756" s="26">
        <v>0</v>
      </c>
      <c r="K756" s="26" t="b">
        <f t="shared" si="101"/>
        <v>0</v>
      </c>
      <c r="L756" s="23" t="b">
        <f t="shared" si="102"/>
        <v>1</v>
      </c>
      <c r="M756" t="b">
        <f t="shared" si="107"/>
        <v>0</v>
      </c>
      <c r="N756" t="b">
        <f t="shared" si="108"/>
        <v>0</v>
      </c>
    </row>
    <row r="757" spans="1:14">
      <c r="A757" s="29">
        <v>45317</v>
      </c>
      <c r="B757" s="30">
        <f t="shared" si="100"/>
        <v>1</v>
      </c>
      <c r="C757" s="30">
        <f t="shared" si="103"/>
        <v>26</v>
      </c>
      <c r="D757" s="26">
        <f>MATCH(WEEKDAY(A757),そのた定義!A:A,0)</f>
        <v>7</v>
      </c>
      <c r="E757" s="26" t="str">
        <f t="shared" ca="1" si="104"/>
        <v>金</v>
      </c>
      <c r="F757" s="26">
        <f t="shared" si="105"/>
        <v>0</v>
      </c>
      <c r="G757" s="26">
        <f>IF(ISNA(MATCH(A757,祝日定義!E:E,0)),0,1)</f>
        <v>0</v>
      </c>
      <c r="H757" s="26">
        <f>IF(ISNA(MATCH(B757&amp;"/"&amp;C757,そのた定義!E:E,0)), 0, 1)</f>
        <v>0</v>
      </c>
      <c r="I757" s="26" t="b">
        <f t="shared" si="106"/>
        <v>0</v>
      </c>
      <c r="J757" s="26">
        <v>0</v>
      </c>
      <c r="K757" s="26" t="b">
        <f t="shared" si="101"/>
        <v>0</v>
      </c>
      <c r="L757" s="26" t="b">
        <f t="shared" si="102"/>
        <v>0</v>
      </c>
      <c r="M757" t="b">
        <f t="shared" si="107"/>
        <v>0</v>
      </c>
      <c r="N757" t="b">
        <f t="shared" si="108"/>
        <v>0</v>
      </c>
    </row>
    <row r="758" spans="1:14">
      <c r="A758" s="29">
        <v>45318</v>
      </c>
      <c r="B758" s="30">
        <f t="shared" si="100"/>
        <v>1</v>
      </c>
      <c r="C758" s="30">
        <f t="shared" si="103"/>
        <v>27</v>
      </c>
      <c r="D758" s="26">
        <f>MATCH(WEEKDAY(A758),そのた定義!A:A,0)</f>
        <v>8</v>
      </c>
      <c r="E758" s="33" t="str">
        <f t="shared" ca="1" si="104"/>
        <v>土</v>
      </c>
      <c r="F758" s="26">
        <f t="shared" si="105"/>
        <v>1</v>
      </c>
      <c r="G758" s="26">
        <f>IF(ISNA(MATCH(A758,祝日定義!E:E,0)),0,1)</f>
        <v>0</v>
      </c>
      <c r="H758" s="26">
        <f>IF(ISNA(MATCH(B758&amp;"/"&amp;C758,そのた定義!E:E,0)), 0, 1)</f>
        <v>0</v>
      </c>
      <c r="I758" s="23" t="b">
        <f t="shared" si="106"/>
        <v>1</v>
      </c>
      <c r="J758" s="26">
        <v>0</v>
      </c>
      <c r="K758" s="26" t="b">
        <f t="shared" si="101"/>
        <v>0</v>
      </c>
      <c r="L758" s="26" t="b">
        <f t="shared" si="102"/>
        <v>0</v>
      </c>
      <c r="M758" t="b">
        <f t="shared" si="107"/>
        <v>0</v>
      </c>
      <c r="N758" t="b">
        <f t="shared" si="108"/>
        <v>0</v>
      </c>
    </row>
    <row r="759" spans="1:14">
      <c r="A759" s="29">
        <v>45319</v>
      </c>
      <c r="B759" s="30">
        <f t="shared" si="100"/>
        <v>1</v>
      </c>
      <c r="C759" s="30">
        <f t="shared" si="103"/>
        <v>28</v>
      </c>
      <c r="D759" s="26">
        <f>MATCH(WEEKDAY(A759),そのた定義!A:A,0)</f>
        <v>2</v>
      </c>
      <c r="E759" s="32" t="str">
        <f t="shared" ca="1" si="104"/>
        <v>日</v>
      </c>
      <c r="F759" s="26">
        <f t="shared" si="105"/>
        <v>1</v>
      </c>
      <c r="G759" s="26">
        <f>IF(ISNA(MATCH(A759,祝日定義!E:E,0)),0,1)</f>
        <v>0</v>
      </c>
      <c r="H759" s="26">
        <f>IF(ISNA(MATCH(B759&amp;"/"&amp;C759,そのた定義!E:E,0)), 0, 1)</f>
        <v>0</v>
      </c>
      <c r="I759" s="23" t="b">
        <f t="shared" si="106"/>
        <v>1</v>
      </c>
      <c r="J759" s="26">
        <v>0</v>
      </c>
      <c r="K759" s="26" t="b">
        <f t="shared" si="101"/>
        <v>0</v>
      </c>
      <c r="L759" s="26" t="b">
        <f t="shared" si="102"/>
        <v>0</v>
      </c>
      <c r="M759" t="b">
        <f t="shared" si="107"/>
        <v>0</v>
      </c>
      <c r="N759" t="b">
        <f t="shared" si="108"/>
        <v>0</v>
      </c>
    </row>
    <row r="760" spans="1:14">
      <c r="A760" s="29">
        <v>45320</v>
      </c>
      <c r="B760" s="30">
        <f t="shared" si="100"/>
        <v>1</v>
      </c>
      <c r="C760" s="30">
        <f t="shared" si="103"/>
        <v>29</v>
      </c>
      <c r="D760" s="26">
        <f>MATCH(WEEKDAY(A760),そのた定義!A:A,0)</f>
        <v>3</v>
      </c>
      <c r="E760" s="26" t="str">
        <f t="shared" ca="1" si="104"/>
        <v>月</v>
      </c>
      <c r="F760" s="26">
        <f t="shared" si="105"/>
        <v>0</v>
      </c>
      <c r="G760" s="26">
        <f>IF(ISNA(MATCH(A760,祝日定義!E:E,0)),0,1)</f>
        <v>0</v>
      </c>
      <c r="H760" s="26">
        <f>IF(ISNA(MATCH(B760&amp;"/"&amp;C760,そのた定義!E:E,0)), 0, 1)</f>
        <v>0</v>
      </c>
      <c r="I760" s="26" t="b">
        <f t="shared" si="106"/>
        <v>0</v>
      </c>
      <c r="J760" s="26">
        <v>2</v>
      </c>
      <c r="K760" s="26" t="b">
        <f t="shared" si="101"/>
        <v>0</v>
      </c>
      <c r="L760" s="26" t="b">
        <f t="shared" si="102"/>
        <v>0</v>
      </c>
      <c r="M760" t="b">
        <f t="shared" si="107"/>
        <v>0</v>
      </c>
      <c r="N760" t="b">
        <f t="shared" si="108"/>
        <v>0</v>
      </c>
    </row>
    <row r="761" spans="1:14">
      <c r="A761" s="29">
        <v>45321</v>
      </c>
      <c r="B761" s="30">
        <f t="shared" si="100"/>
        <v>1</v>
      </c>
      <c r="C761" s="30">
        <f t="shared" si="103"/>
        <v>30</v>
      </c>
      <c r="D761" s="26">
        <f>MATCH(WEEKDAY(A761),そのた定義!A:A,0)</f>
        <v>4</v>
      </c>
      <c r="E761" s="26" t="str">
        <f t="shared" ca="1" si="104"/>
        <v>火</v>
      </c>
      <c r="F761" s="26">
        <f t="shared" si="105"/>
        <v>0</v>
      </c>
      <c r="G761" s="26">
        <f>IF(ISNA(MATCH(A761,祝日定義!E:E,0)),0,1)</f>
        <v>0</v>
      </c>
      <c r="H761" s="26">
        <f>IF(ISNA(MATCH(B761&amp;"/"&amp;C761,そのた定義!E:E,0)), 0, 1)</f>
        <v>0</v>
      </c>
      <c r="I761" s="26" t="b">
        <f t="shared" si="106"/>
        <v>0</v>
      </c>
      <c r="J761" s="26">
        <v>0</v>
      </c>
      <c r="K761" s="26" t="b">
        <f t="shared" si="101"/>
        <v>0</v>
      </c>
      <c r="L761" s="26" t="b">
        <f t="shared" si="102"/>
        <v>0</v>
      </c>
      <c r="M761" t="b">
        <f t="shared" si="107"/>
        <v>0</v>
      </c>
      <c r="N761" t="b">
        <f t="shared" si="108"/>
        <v>0</v>
      </c>
    </row>
    <row r="762" spans="1:14">
      <c r="A762" s="29">
        <v>45322</v>
      </c>
      <c r="B762" s="30">
        <f t="shared" si="100"/>
        <v>1</v>
      </c>
      <c r="C762" s="30">
        <f t="shared" si="103"/>
        <v>31</v>
      </c>
      <c r="D762" s="26">
        <f>MATCH(WEEKDAY(A762),そのた定義!A:A,0)</f>
        <v>5</v>
      </c>
      <c r="E762" s="26" t="str">
        <f t="shared" ca="1" si="104"/>
        <v>水</v>
      </c>
      <c r="F762" s="26">
        <f t="shared" si="105"/>
        <v>0</v>
      </c>
      <c r="G762" s="26">
        <f>IF(ISNA(MATCH(A762,祝日定義!E:E,0)),0,1)</f>
        <v>0</v>
      </c>
      <c r="H762" s="26">
        <f>IF(ISNA(MATCH(B762&amp;"/"&amp;C762,そのた定義!E:E,0)), 0, 1)</f>
        <v>0</v>
      </c>
      <c r="I762" s="26" t="b">
        <f t="shared" si="106"/>
        <v>0</v>
      </c>
      <c r="J762" s="26">
        <v>0</v>
      </c>
      <c r="K762" s="26" t="b">
        <f t="shared" si="101"/>
        <v>0</v>
      </c>
      <c r="L762" s="26" t="b">
        <f t="shared" si="102"/>
        <v>0</v>
      </c>
      <c r="M762" t="b">
        <f t="shared" si="107"/>
        <v>0</v>
      </c>
      <c r="N762" t="b">
        <f t="shared" si="108"/>
        <v>1</v>
      </c>
    </row>
    <row r="763" spans="1:14">
      <c r="A763" s="29">
        <v>45323</v>
      </c>
      <c r="B763" s="30">
        <f t="shared" si="100"/>
        <v>2</v>
      </c>
      <c r="C763" s="30">
        <f t="shared" si="103"/>
        <v>1</v>
      </c>
      <c r="D763" s="26">
        <f>MATCH(WEEKDAY(A763),そのた定義!A:A,0)</f>
        <v>6</v>
      </c>
      <c r="E763" s="26" t="str">
        <f t="shared" ca="1" si="104"/>
        <v>木</v>
      </c>
      <c r="F763" s="26">
        <f t="shared" si="105"/>
        <v>0</v>
      </c>
      <c r="G763" s="26">
        <f>IF(ISNA(MATCH(A763,祝日定義!E:E,0)),0,1)</f>
        <v>0</v>
      </c>
      <c r="H763" s="26">
        <f>IF(ISNA(MATCH(B763&amp;"/"&amp;C763,そのた定義!E:E,0)), 0, 1)</f>
        <v>0</v>
      </c>
      <c r="I763" s="26" t="b">
        <f t="shared" si="106"/>
        <v>0</v>
      </c>
      <c r="J763" s="26">
        <v>0</v>
      </c>
      <c r="K763" s="26" t="b">
        <f t="shared" si="101"/>
        <v>0</v>
      </c>
      <c r="L763" s="26" t="b">
        <f t="shared" si="102"/>
        <v>0</v>
      </c>
      <c r="M763" t="b">
        <f t="shared" si="107"/>
        <v>0</v>
      </c>
      <c r="N763" t="b">
        <f t="shared" si="108"/>
        <v>0</v>
      </c>
    </row>
    <row r="764" spans="1:14">
      <c r="A764" s="29">
        <v>45324</v>
      </c>
      <c r="B764" s="30">
        <f t="shared" si="100"/>
        <v>2</v>
      </c>
      <c r="C764" s="30">
        <f t="shared" si="103"/>
        <v>2</v>
      </c>
      <c r="D764" s="26">
        <f>MATCH(WEEKDAY(A764),そのた定義!A:A,0)</f>
        <v>7</v>
      </c>
      <c r="E764" s="26" t="str">
        <f t="shared" ca="1" si="104"/>
        <v>金</v>
      </c>
      <c r="F764" s="26">
        <f t="shared" si="105"/>
        <v>0</v>
      </c>
      <c r="G764" s="26">
        <f>IF(ISNA(MATCH(A764,祝日定義!E:E,0)),0,1)</f>
        <v>0</v>
      </c>
      <c r="H764" s="26">
        <f>IF(ISNA(MATCH(B764&amp;"/"&amp;C764,そのた定義!E:E,0)), 0, 1)</f>
        <v>0</v>
      </c>
      <c r="I764" s="26" t="b">
        <f t="shared" si="106"/>
        <v>0</v>
      </c>
      <c r="J764" s="26">
        <v>0</v>
      </c>
      <c r="K764" s="26" t="b">
        <f t="shared" si="101"/>
        <v>0</v>
      </c>
      <c r="L764" s="26" t="b">
        <f t="shared" si="102"/>
        <v>0</v>
      </c>
      <c r="M764" t="b">
        <f t="shared" si="107"/>
        <v>0</v>
      </c>
      <c r="N764" t="b">
        <f t="shared" si="108"/>
        <v>0</v>
      </c>
    </row>
    <row r="765" spans="1:14">
      <c r="A765" s="29">
        <v>45325</v>
      </c>
      <c r="B765" s="30">
        <f t="shared" si="100"/>
        <v>2</v>
      </c>
      <c r="C765" s="30">
        <f t="shared" si="103"/>
        <v>3</v>
      </c>
      <c r="D765" s="26">
        <f>MATCH(WEEKDAY(A765),そのた定義!A:A,0)</f>
        <v>8</v>
      </c>
      <c r="E765" s="33" t="str">
        <f t="shared" ca="1" si="104"/>
        <v>土</v>
      </c>
      <c r="F765" s="26">
        <f t="shared" si="105"/>
        <v>1</v>
      </c>
      <c r="G765" s="26">
        <f>IF(ISNA(MATCH(A765,祝日定義!E:E,0)),0,1)</f>
        <v>0</v>
      </c>
      <c r="H765" s="26">
        <f>IF(ISNA(MATCH(B765&amp;"/"&amp;C765,そのた定義!E:E,0)), 0, 1)</f>
        <v>0</v>
      </c>
      <c r="I765" s="23" t="b">
        <f t="shared" si="106"/>
        <v>1</v>
      </c>
      <c r="J765" s="26">
        <v>0</v>
      </c>
      <c r="K765" s="26" t="b">
        <f t="shared" si="101"/>
        <v>0</v>
      </c>
      <c r="L765" s="26" t="b">
        <f t="shared" si="102"/>
        <v>0</v>
      </c>
      <c r="M765" t="b">
        <f t="shared" si="107"/>
        <v>0</v>
      </c>
      <c r="N765" t="b">
        <f t="shared" si="108"/>
        <v>0</v>
      </c>
    </row>
    <row r="766" spans="1:14">
      <c r="A766" s="29">
        <v>45326</v>
      </c>
      <c r="B766" s="30">
        <f t="shared" si="100"/>
        <v>2</v>
      </c>
      <c r="C766" s="30">
        <f t="shared" si="103"/>
        <v>4</v>
      </c>
      <c r="D766" s="26">
        <f>MATCH(WEEKDAY(A766),そのた定義!A:A,0)</f>
        <v>2</v>
      </c>
      <c r="E766" s="32" t="str">
        <f t="shared" ca="1" si="104"/>
        <v>日</v>
      </c>
      <c r="F766" s="26">
        <f t="shared" si="105"/>
        <v>1</v>
      </c>
      <c r="G766" s="26">
        <f>IF(ISNA(MATCH(A766,祝日定義!E:E,0)),0,1)</f>
        <v>0</v>
      </c>
      <c r="H766" s="26">
        <f>IF(ISNA(MATCH(B766&amp;"/"&amp;C766,そのた定義!E:E,0)), 0, 1)</f>
        <v>0</v>
      </c>
      <c r="I766" s="23" t="b">
        <f t="shared" si="106"/>
        <v>1</v>
      </c>
      <c r="J766" s="26">
        <v>0</v>
      </c>
      <c r="K766" s="26" t="b">
        <f t="shared" si="101"/>
        <v>0</v>
      </c>
      <c r="L766" s="26" t="b">
        <f t="shared" si="102"/>
        <v>0</v>
      </c>
      <c r="M766" t="b">
        <f t="shared" si="107"/>
        <v>0</v>
      </c>
      <c r="N766" t="b">
        <f t="shared" si="108"/>
        <v>0</v>
      </c>
    </row>
    <row r="767" spans="1:14">
      <c r="A767" s="29">
        <v>45327</v>
      </c>
      <c r="B767" s="30">
        <f t="shared" si="100"/>
        <v>2</v>
      </c>
      <c r="C767" s="30">
        <f t="shared" si="103"/>
        <v>5</v>
      </c>
      <c r="D767" s="26">
        <f>MATCH(WEEKDAY(A767),そのた定義!A:A,0)</f>
        <v>3</v>
      </c>
      <c r="E767" s="26" t="str">
        <f t="shared" ca="1" si="104"/>
        <v>月</v>
      </c>
      <c r="F767" s="26">
        <f t="shared" si="105"/>
        <v>0</v>
      </c>
      <c r="G767" s="26">
        <f>IF(ISNA(MATCH(A767,祝日定義!E:E,0)),0,1)</f>
        <v>0</v>
      </c>
      <c r="H767" s="26">
        <f>IF(ISNA(MATCH(B767&amp;"/"&amp;C767,そのた定義!E:E,0)), 0, 1)</f>
        <v>0</v>
      </c>
      <c r="I767" s="26" t="b">
        <f t="shared" si="106"/>
        <v>0</v>
      </c>
      <c r="J767" s="26">
        <v>2</v>
      </c>
      <c r="K767" s="26" t="b">
        <f t="shared" si="101"/>
        <v>0</v>
      </c>
      <c r="L767" s="26" t="b">
        <f t="shared" si="102"/>
        <v>0</v>
      </c>
      <c r="M767" t="b">
        <f t="shared" si="107"/>
        <v>0</v>
      </c>
      <c r="N767" t="b">
        <f t="shared" si="108"/>
        <v>0</v>
      </c>
    </row>
    <row r="768" spans="1:14">
      <c r="A768" s="29">
        <v>45328</v>
      </c>
      <c r="B768" s="30">
        <f t="shared" si="100"/>
        <v>2</v>
      </c>
      <c r="C768" s="30">
        <f t="shared" si="103"/>
        <v>6</v>
      </c>
      <c r="D768" s="26">
        <f>MATCH(WEEKDAY(A768),そのた定義!A:A,0)</f>
        <v>4</v>
      </c>
      <c r="E768" s="26" t="str">
        <f t="shared" ca="1" si="104"/>
        <v>火</v>
      </c>
      <c r="F768" s="26">
        <f t="shared" si="105"/>
        <v>0</v>
      </c>
      <c r="G768" s="26">
        <f>IF(ISNA(MATCH(A768,祝日定義!E:E,0)),0,1)</f>
        <v>0</v>
      </c>
      <c r="H768" s="26">
        <f>IF(ISNA(MATCH(B768&amp;"/"&amp;C768,そのた定義!E:E,0)), 0, 1)</f>
        <v>0</v>
      </c>
      <c r="I768" s="26" t="b">
        <f t="shared" si="106"/>
        <v>0</v>
      </c>
      <c r="J768" s="26">
        <v>0</v>
      </c>
      <c r="K768" s="26" t="b">
        <f t="shared" si="101"/>
        <v>0</v>
      </c>
      <c r="L768" s="26" t="b">
        <f t="shared" si="102"/>
        <v>0</v>
      </c>
      <c r="M768" t="b">
        <f t="shared" si="107"/>
        <v>0</v>
      </c>
      <c r="N768" t="b">
        <f t="shared" si="108"/>
        <v>0</v>
      </c>
    </row>
    <row r="769" spans="1:14">
      <c r="A769" s="29">
        <v>45329</v>
      </c>
      <c r="B769" s="30">
        <f t="shared" si="100"/>
        <v>2</v>
      </c>
      <c r="C769" s="30">
        <f t="shared" si="103"/>
        <v>7</v>
      </c>
      <c r="D769" s="26">
        <f>MATCH(WEEKDAY(A769),そのた定義!A:A,0)</f>
        <v>5</v>
      </c>
      <c r="E769" s="26" t="str">
        <f t="shared" ca="1" si="104"/>
        <v>水</v>
      </c>
      <c r="F769" s="26">
        <f t="shared" si="105"/>
        <v>0</v>
      </c>
      <c r="G769" s="26">
        <f>IF(ISNA(MATCH(A769,祝日定義!E:E,0)),0,1)</f>
        <v>0</v>
      </c>
      <c r="H769" s="26">
        <f>IF(ISNA(MATCH(B769&amp;"/"&amp;C769,そのた定義!E:E,0)), 0, 1)</f>
        <v>0</v>
      </c>
      <c r="I769" s="26" t="b">
        <f t="shared" si="106"/>
        <v>0</v>
      </c>
      <c r="J769" s="26">
        <v>0</v>
      </c>
      <c r="K769" s="26" t="b">
        <f t="shared" si="101"/>
        <v>0</v>
      </c>
      <c r="L769" s="26" t="b">
        <f t="shared" si="102"/>
        <v>0</v>
      </c>
      <c r="M769" t="b">
        <f t="shared" si="107"/>
        <v>0</v>
      </c>
      <c r="N769" t="b">
        <f t="shared" si="108"/>
        <v>0</v>
      </c>
    </row>
    <row r="770" spans="1:14">
      <c r="A770" s="29">
        <v>45330</v>
      </c>
      <c r="B770" s="30">
        <f t="shared" ref="B770:B833" si="109">MONTH(A770)</f>
        <v>2</v>
      </c>
      <c r="C770" s="30">
        <f t="shared" si="103"/>
        <v>8</v>
      </c>
      <c r="D770" s="26">
        <f>MATCH(WEEKDAY(A770),そのた定義!A:A,0)</f>
        <v>6</v>
      </c>
      <c r="E770" s="26" t="str">
        <f t="shared" ca="1" si="104"/>
        <v>木</v>
      </c>
      <c r="F770" s="26">
        <f t="shared" si="105"/>
        <v>0</v>
      </c>
      <c r="G770" s="26">
        <f>IF(ISNA(MATCH(A770,祝日定義!E:E,0)),0,1)</f>
        <v>0</v>
      </c>
      <c r="H770" s="26">
        <f>IF(ISNA(MATCH(B770&amp;"/"&amp;C770,そのた定義!E:E,0)), 0, 1)</f>
        <v>0</v>
      </c>
      <c r="I770" s="26" t="b">
        <f t="shared" si="106"/>
        <v>0</v>
      </c>
      <c r="J770" s="26">
        <v>0</v>
      </c>
      <c r="K770" s="26" t="b">
        <f t="shared" ref="K770:K833" si="110">AND(C770&gt;25,DAY(A770-J770)&lt;=25)</f>
        <v>0</v>
      </c>
      <c r="L770" s="26" t="b">
        <f t="shared" ref="L770:L833" si="111">C770=25</f>
        <v>0</v>
      </c>
      <c r="M770" t="b">
        <f t="shared" si="107"/>
        <v>0</v>
      </c>
      <c r="N770" t="b">
        <f t="shared" si="108"/>
        <v>0</v>
      </c>
    </row>
    <row r="771" spans="1:14">
      <c r="A771" s="29">
        <v>45331</v>
      </c>
      <c r="B771" s="30">
        <f t="shared" si="109"/>
        <v>2</v>
      </c>
      <c r="C771" s="30">
        <f t="shared" ref="C771:C834" si="112">DAY(A771)</f>
        <v>9</v>
      </c>
      <c r="D771" s="26">
        <f>MATCH(WEEKDAY(A771),そのた定義!A:A,0)</f>
        <v>7</v>
      </c>
      <c r="E771" s="26" t="str">
        <f t="shared" ref="E771:E834" ca="1" si="113">INDIRECT("そのた定義!"&amp;"B"&amp;D771)</f>
        <v>金</v>
      </c>
      <c r="F771" s="26">
        <f t="shared" ref="F771:F834" si="114">IF(OR(D771=8,D771=2),1,0)</f>
        <v>0</v>
      </c>
      <c r="G771" s="26">
        <f>IF(ISNA(MATCH(A771,祝日定義!E:E,0)),0,1)</f>
        <v>0</v>
      </c>
      <c r="H771" s="26">
        <f>IF(ISNA(MATCH(B771&amp;"/"&amp;C771,そのた定義!E:E,0)), 0, 1)</f>
        <v>0</v>
      </c>
      <c r="I771" s="26" t="b">
        <f t="shared" ref="I771:I834" si="115">SUM(F771:H771)&gt;0</f>
        <v>0</v>
      </c>
      <c r="J771" s="26">
        <v>0</v>
      </c>
      <c r="K771" s="26" t="b">
        <f t="shared" si="110"/>
        <v>0</v>
      </c>
      <c r="L771" s="26" t="b">
        <f t="shared" si="111"/>
        <v>0</v>
      </c>
      <c r="M771" t="b">
        <f t="shared" ref="M771:M834" si="116">B771&lt;&gt;MONTH(A771-J771)</f>
        <v>0</v>
      </c>
      <c r="N771" t="b">
        <f t="shared" ref="N771:N834" si="117">B771&lt;&gt;MONTH(A771+1)</f>
        <v>0</v>
      </c>
    </row>
    <row r="772" spans="1:14">
      <c r="A772" s="29">
        <v>45332</v>
      </c>
      <c r="B772" s="30">
        <f t="shared" si="109"/>
        <v>2</v>
      </c>
      <c r="C772" s="30">
        <f t="shared" si="112"/>
        <v>10</v>
      </c>
      <c r="D772" s="26">
        <f>MATCH(WEEKDAY(A772),そのた定義!A:A,0)</f>
        <v>8</v>
      </c>
      <c r="E772" s="33" t="str">
        <f t="shared" ca="1" si="113"/>
        <v>土</v>
      </c>
      <c r="F772" s="26">
        <f t="shared" si="114"/>
        <v>1</v>
      </c>
      <c r="G772" s="26">
        <f>IF(ISNA(MATCH(A772,祝日定義!E:E,0)),0,1)</f>
        <v>0</v>
      </c>
      <c r="H772" s="26">
        <f>IF(ISNA(MATCH(B772&amp;"/"&amp;C772,そのた定義!E:E,0)), 0, 1)</f>
        <v>0</v>
      </c>
      <c r="I772" s="23" t="b">
        <f t="shared" si="115"/>
        <v>1</v>
      </c>
      <c r="J772" s="26">
        <v>0</v>
      </c>
      <c r="K772" s="26" t="b">
        <f t="shared" si="110"/>
        <v>0</v>
      </c>
      <c r="L772" s="26" t="b">
        <f t="shared" si="111"/>
        <v>0</v>
      </c>
      <c r="M772" t="b">
        <f t="shared" si="116"/>
        <v>0</v>
      </c>
      <c r="N772" t="b">
        <f t="shared" si="117"/>
        <v>0</v>
      </c>
    </row>
    <row r="773" spans="1:14">
      <c r="A773" s="29">
        <v>45333</v>
      </c>
      <c r="B773" s="30">
        <f t="shared" si="109"/>
        <v>2</v>
      </c>
      <c r="C773" s="30">
        <f t="shared" si="112"/>
        <v>11</v>
      </c>
      <c r="D773" s="26">
        <f>MATCH(WEEKDAY(A773),そのた定義!A:A,0)</f>
        <v>2</v>
      </c>
      <c r="E773" s="32" t="str">
        <f t="shared" ca="1" si="113"/>
        <v>日</v>
      </c>
      <c r="F773" s="26">
        <f t="shared" si="114"/>
        <v>1</v>
      </c>
      <c r="G773" s="26">
        <f>IF(ISNA(MATCH(A773,祝日定義!E:E,0)),0,1)</f>
        <v>1</v>
      </c>
      <c r="H773" s="26">
        <f>IF(ISNA(MATCH(B773&amp;"/"&amp;C773,そのた定義!E:E,0)), 0, 1)</f>
        <v>0</v>
      </c>
      <c r="I773" s="23" t="b">
        <f t="shared" si="115"/>
        <v>1</v>
      </c>
      <c r="J773" s="26">
        <v>0</v>
      </c>
      <c r="K773" s="26" t="b">
        <f t="shared" si="110"/>
        <v>0</v>
      </c>
      <c r="L773" s="26" t="b">
        <f t="shared" si="111"/>
        <v>0</v>
      </c>
      <c r="M773" t="b">
        <f t="shared" si="116"/>
        <v>0</v>
      </c>
      <c r="N773" t="b">
        <f t="shared" si="117"/>
        <v>0</v>
      </c>
    </row>
    <row r="774" spans="1:14">
      <c r="A774" s="29">
        <v>45334</v>
      </c>
      <c r="B774" s="30">
        <f t="shared" si="109"/>
        <v>2</v>
      </c>
      <c r="C774" s="30">
        <f t="shared" si="112"/>
        <v>12</v>
      </c>
      <c r="D774" s="26">
        <f>MATCH(WEEKDAY(A774),そのた定義!A:A,0)</f>
        <v>3</v>
      </c>
      <c r="E774" s="31" t="str">
        <f t="shared" ca="1" si="113"/>
        <v>月</v>
      </c>
      <c r="F774" s="26">
        <f t="shared" si="114"/>
        <v>0</v>
      </c>
      <c r="G774" s="26">
        <f>IF(ISNA(MATCH(A774,祝日定義!E:E,0)),0,1)</f>
        <v>1</v>
      </c>
      <c r="H774" s="26">
        <f>IF(ISNA(MATCH(B774&amp;"/"&amp;C774,そのた定義!E:E,0)), 0, 1)</f>
        <v>0</v>
      </c>
      <c r="I774" s="23" t="b">
        <f t="shared" si="115"/>
        <v>1</v>
      </c>
      <c r="J774" s="26">
        <v>0</v>
      </c>
      <c r="K774" s="26" t="b">
        <f t="shared" si="110"/>
        <v>0</v>
      </c>
      <c r="L774" s="26" t="b">
        <f t="shared" si="111"/>
        <v>0</v>
      </c>
      <c r="M774" t="b">
        <f t="shared" si="116"/>
        <v>0</v>
      </c>
      <c r="N774" t="b">
        <f t="shared" si="117"/>
        <v>0</v>
      </c>
    </row>
    <row r="775" spans="1:14">
      <c r="A775" s="29">
        <v>45335</v>
      </c>
      <c r="B775" s="30">
        <f t="shared" si="109"/>
        <v>2</v>
      </c>
      <c r="C775" s="30">
        <f t="shared" si="112"/>
        <v>13</v>
      </c>
      <c r="D775" s="26">
        <f>MATCH(WEEKDAY(A775),そのた定義!A:A,0)</f>
        <v>4</v>
      </c>
      <c r="E775" s="26" t="str">
        <f t="shared" ca="1" si="113"/>
        <v>火</v>
      </c>
      <c r="F775" s="26">
        <f t="shared" si="114"/>
        <v>0</v>
      </c>
      <c r="G775" s="26">
        <f>IF(ISNA(MATCH(A775,祝日定義!E:E,0)),0,1)</f>
        <v>0</v>
      </c>
      <c r="H775" s="26">
        <f>IF(ISNA(MATCH(B775&amp;"/"&amp;C775,そのた定義!E:E,0)), 0, 1)</f>
        <v>0</v>
      </c>
      <c r="I775" s="26" t="b">
        <f t="shared" si="115"/>
        <v>0</v>
      </c>
      <c r="J775" s="26">
        <v>3</v>
      </c>
      <c r="K775" s="26" t="b">
        <f t="shared" si="110"/>
        <v>0</v>
      </c>
      <c r="L775" s="26" t="b">
        <f t="shared" si="111"/>
        <v>0</v>
      </c>
      <c r="M775" t="b">
        <f t="shared" si="116"/>
        <v>0</v>
      </c>
      <c r="N775" t="b">
        <f t="shared" si="117"/>
        <v>0</v>
      </c>
    </row>
    <row r="776" spans="1:14">
      <c r="A776" s="29">
        <v>45336</v>
      </c>
      <c r="B776" s="30">
        <f t="shared" si="109"/>
        <v>2</v>
      </c>
      <c r="C776" s="30">
        <f t="shared" si="112"/>
        <v>14</v>
      </c>
      <c r="D776" s="26">
        <f>MATCH(WEEKDAY(A776),そのた定義!A:A,0)</f>
        <v>5</v>
      </c>
      <c r="E776" s="26" t="str">
        <f t="shared" ca="1" si="113"/>
        <v>水</v>
      </c>
      <c r="F776" s="26">
        <f t="shared" si="114"/>
        <v>0</v>
      </c>
      <c r="G776" s="26">
        <f>IF(ISNA(MATCH(A776,祝日定義!E:E,0)),0,1)</f>
        <v>0</v>
      </c>
      <c r="H776" s="26">
        <f>IF(ISNA(MATCH(B776&amp;"/"&amp;C776,そのた定義!E:E,0)), 0, 1)</f>
        <v>0</v>
      </c>
      <c r="I776" s="26" t="b">
        <f t="shared" si="115"/>
        <v>0</v>
      </c>
      <c r="J776" s="26">
        <v>0</v>
      </c>
      <c r="K776" s="26" t="b">
        <f t="shared" si="110"/>
        <v>0</v>
      </c>
      <c r="L776" s="26" t="b">
        <f t="shared" si="111"/>
        <v>0</v>
      </c>
      <c r="M776" t="b">
        <f t="shared" si="116"/>
        <v>0</v>
      </c>
      <c r="N776" t="b">
        <f t="shared" si="117"/>
        <v>0</v>
      </c>
    </row>
    <row r="777" spans="1:14">
      <c r="A777" s="29">
        <v>45337</v>
      </c>
      <c r="B777" s="30">
        <f t="shared" si="109"/>
        <v>2</v>
      </c>
      <c r="C777" s="30">
        <f t="shared" si="112"/>
        <v>15</v>
      </c>
      <c r="D777" s="26">
        <f>MATCH(WEEKDAY(A777),そのた定義!A:A,0)</f>
        <v>6</v>
      </c>
      <c r="E777" s="26" t="str">
        <f t="shared" ca="1" si="113"/>
        <v>木</v>
      </c>
      <c r="F777" s="26">
        <f t="shared" si="114"/>
        <v>0</v>
      </c>
      <c r="G777" s="26">
        <f>IF(ISNA(MATCH(A777,祝日定義!E:E,0)),0,1)</f>
        <v>0</v>
      </c>
      <c r="H777" s="26">
        <f>IF(ISNA(MATCH(B777&amp;"/"&amp;C777,そのた定義!E:E,0)), 0, 1)</f>
        <v>0</v>
      </c>
      <c r="I777" s="26" t="b">
        <f t="shared" si="115"/>
        <v>0</v>
      </c>
      <c r="J777" s="26">
        <v>0</v>
      </c>
      <c r="K777" s="26" t="b">
        <f t="shared" si="110"/>
        <v>0</v>
      </c>
      <c r="L777" s="26" t="b">
        <f t="shared" si="111"/>
        <v>0</v>
      </c>
      <c r="M777" t="b">
        <f t="shared" si="116"/>
        <v>0</v>
      </c>
      <c r="N777" t="b">
        <f t="shared" si="117"/>
        <v>0</v>
      </c>
    </row>
    <row r="778" spans="1:14">
      <c r="A778" s="29">
        <v>45338</v>
      </c>
      <c r="B778" s="30">
        <f t="shared" si="109"/>
        <v>2</v>
      </c>
      <c r="C778" s="30">
        <f t="shared" si="112"/>
        <v>16</v>
      </c>
      <c r="D778" s="26">
        <f>MATCH(WEEKDAY(A778),そのた定義!A:A,0)</f>
        <v>7</v>
      </c>
      <c r="E778" s="26" t="str">
        <f t="shared" ca="1" si="113"/>
        <v>金</v>
      </c>
      <c r="F778" s="26">
        <f t="shared" si="114"/>
        <v>0</v>
      </c>
      <c r="G778" s="26">
        <f>IF(ISNA(MATCH(A778,祝日定義!E:E,0)),0,1)</f>
        <v>0</v>
      </c>
      <c r="H778" s="26">
        <f>IF(ISNA(MATCH(B778&amp;"/"&amp;C778,そのた定義!E:E,0)), 0, 1)</f>
        <v>0</v>
      </c>
      <c r="I778" s="26" t="b">
        <f t="shared" si="115"/>
        <v>0</v>
      </c>
      <c r="J778" s="26">
        <v>0</v>
      </c>
      <c r="K778" s="26" t="b">
        <f t="shared" si="110"/>
        <v>0</v>
      </c>
      <c r="L778" s="26" t="b">
        <f t="shared" si="111"/>
        <v>0</v>
      </c>
      <c r="M778" t="b">
        <f t="shared" si="116"/>
        <v>0</v>
      </c>
      <c r="N778" t="b">
        <f t="shared" si="117"/>
        <v>0</v>
      </c>
    </row>
    <row r="779" spans="1:14">
      <c r="A779" s="29">
        <v>45339</v>
      </c>
      <c r="B779" s="30">
        <f t="shared" si="109"/>
        <v>2</v>
      </c>
      <c r="C779" s="30">
        <f t="shared" si="112"/>
        <v>17</v>
      </c>
      <c r="D779" s="26">
        <f>MATCH(WEEKDAY(A779),そのた定義!A:A,0)</f>
        <v>8</v>
      </c>
      <c r="E779" s="33" t="str">
        <f t="shared" ca="1" si="113"/>
        <v>土</v>
      </c>
      <c r="F779" s="26">
        <f t="shared" si="114"/>
        <v>1</v>
      </c>
      <c r="G779" s="26">
        <f>IF(ISNA(MATCH(A779,祝日定義!E:E,0)),0,1)</f>
        <v>0</v>
      </c>
      <c r="H779" s="26">
        <f>IF(ISNA(MATCH(B779&amp;"/"&amp;C779,そのた定義!E:E,0)), 0, 1)</f>
        <v>0</v>
      </c>
      <c r="I779" s="23" t="b">
        <f t="shared" si="115"/>
        <v>1</v>
      </c>
      <c r="J779" s="26">
        <v>0</v>
      </c>
      <c r="K779" s="26" t="b">
        <f t="shared" si="110"/>
        <v>0</v>
      </c>
      <c r="L779" s="26" t="b">
        <f t="shared" si="111"/>
        <v>0</v>
      </c>
      <c r="M779" t="b">
        <f t="shared" si="116"/>
        <v>0</v>
      </c>
      <c r="N779" t="b">
        <f t="shared" si="117"/>
        <v>0</v>
      </c>
    </row>
    <row r="780" spans="1:14">
      <c r="A780" s="29">
        <v>45340</v>
      </c>
      <c r="B780" s="30">
        <f t="shared" si="109"/>
        <v>2</v>
      </c>
      <c r="C780" s="30">
        <f t="shared" si="112"/>
        <v>18</v>
      </c>
      <c r="D780" s="26">
        <f>MATCH(WEEKDAY(A780),そのた定義!A:A,0)</f>
        <v>2</v>
      </c>
      <c r="E780" s="32" t="str">
        <f t="shared" ca="1" si="113"/>
        <v>日</v>
      </c>
      <c r="F780" s="26">
        <f t="shared" si="114"/>
        <v>1</v>
      </c>
      <c r="G780" s="26">
        <f>IF(ISNA(MATCH(A780,祝日定義!E:E,0)),0,1)</f>
        <v>0</v>
      </c>
      <c r="H780" s="26">
        <f>IF(ISNA(MATCH(B780&amp;"/"&amp;C780,そのた定義!E:E,0)), 0, 1)</f>
        <v>0</v>
      </c>
      <c r="I780" s="23" t="b">
        <f t="shared" si="115"/>
        <v>1</v>
      </c>
      <c r="J780" s="26">
        <v>0</v>
      </c>
      <c r="K780" s="26" t="b">
        <f t="shared" si="110"/>
        <v>0</v>
      </c>
      <c r="L780" s="26" t="b">
        <f t="shared" si="111"/>
        <v>0</v>
      </c>
      <c r="M780" t="b">
        <f t="shared" si="116"/>
        <v>0</v>
      </c>
      <c r="N780" t="b">
        <f t="shared" si="117"/>
        <v>0</v>
      </c>
    </row>
    <row r="781" spans="1:14">
      <c r="A781" s="29">
        <v>45341</v>
      </c>
      <c r="B781" s="30">
        <f t="shared" si="109"/>
        <v>2</v>
      </c>
      <c r="C781" s="30">
        <f t="shared" si="112"/>
        <v>19</v>
      </c>
      <c r="D781" s="26">
        <f>MATCH(WEEKDAY(A781),そのた定義!A:A,0)</f>
        <v>3</v>
      </c>
      <c r="E781" s="26" t="str">
        <f t="shared" ca="1" si="113"/>
        <v>月</v>
      </c>
      <c r="F781" s="26">
        <f t="shared" si="114"/>
        <v>0</v>
      </c>
      <c r="G781" s="26">
        <f>IF(ISNA(MATCH(A781,祝日定義!E:E,0)),0,1)</f>
        <v>0</v>
      </c>
      <c r="H781" s="26">
        <f>IF(ISNA(MATCH(B781&amp;"/"&amp;C781,そのた定義!E:E,0)), 0, 1)</f>
        <v>0</v>
      </c>
      <c r="I781" s="26" t="b">
        <f t="shared" si="115"/>
        <v>0</v>
      </c>
      <c r="J781" s="26">
        <v>2</v>
      </c>
      <c r="K781" s="26" t="b">
        <f t="shared" si="110"/>
        <v>0</v>
      </c>
      <c r="L781" s="26" t="b">
        <f t="shared" si="111"/>
        <v>0</v>
      </c>
      <c r="M781" t="b">
        <f t="shared" si="116"/>
        <v>0</v>
      </c>
      <c r="N781" t="b">
        <f t="shared" si="117"/>
        <v>0</v>
      </c>
    </row>
    <row r="782" spans="1:14">
      <c r="A782" s="29">
        <v>45342</v>
      </c>
      <c r="B782" s="30">
        <f t="shared" si="109"/>
        <v>2</v>
      </c>
      <c r="C782" s="30">
        <f t="shared" si="112"/>
        <v>20</v>
      </c>
      <c r="D782" s="26">
        <f>MATCH(WEEKDAY(A782),そのた定義!A:A,0)</f>
        <v>4</v>
      </c>
      <c r="E782" s="26" t="str">
        <f t="shared" ca="1" si="113"/>
        <v>火</v>
      </c>
      <c r="F782" s="26">
        <f t="shared" si="114"/>
        <v>0</v>
      </c>
      <c r="G782" s="26">
        <f>IF(ISNA(MATCH(A782,祝日定義!E:E,0)),0,1)</f>
        <v>0</v>
      </c>
      <c r="H782" s="26">
        <f>IF(ISNA(MATCH(B782&amp;"/"&amp;C782,そのた定義!E:E,0)), 0, 1)</f>
        <v>0</v>
      </c>
      <c r="I782" s="26" t="b">
        <f t="shared" si="115"/>
        <v>0</v>
      </c>
      <c r="J782" s="26">
        <v>0</v>
      </c>
      <c r="K782" s="26" t="b">
        <f t="shared" si="110"/>
        <v>0</v>
      </c>
      <c r="L782" s="26" t="b">
        <f t="shared" si="111"/>
        <v>0</v>
      </c>
      <c r="M782" t="b">
        <f t="shared" si="116"/>
        <v>0</v>
      </c>
      <c r="N782" t="b">
        <f t="shared" si="117"/>
        <v>0</v>
      </c>
    </row>
    <row r="783" spans="1:14">
      <c r="A783" s="29">
        <v>45343</v>
      </c>
      <c r="B783" s="30">
        <f t="shared" si="109"/>
        <v>2</v>
      </c>
      <c r="C783" s="30">
        <f t="shared" si="112"/>
        <v>21</v>
      </c>
      <c r="D783" s="26">
        <f>MATCH(WEEKDAY(A783),そのた定義!A:A,0)</f>
        <v>5</v>
      </c>
      <c r="E783" s="26" t="str">
        <f t="shared" ca="1" si="113"/>
        <v>水</v>
      </c>
      <c r="F783" s="26">
        <f t="shared" si="114"/>
        <v>0</v>
      </c>
      <c r="G783" s="26">
        <f>IF(ISNA(MATCH(A783,祝日定義!E:E,0)),0,1)</f>
        <v>0</v>
      </c>
      <c r="H783" s="26">
        <f>IF(ISNA(MATCH(B783&amp;"/"&amp;C783,そのた定義!E:E,0)), 0, 1)</f>
        <v>0</v>
      </c>
      <c r="I783" s="26" t="b">
        <f t="shared" si="115"/>
        <v>0</v>
      </c>
      <c r="J783" s="26">
        <v>0</v>
      </c>
      <c r="K783" s="26" t="b">
        <f t="shared" si="110"/>
        <v>0</v>
      </c>
      <c r="L783" s="26" t="b">
        <f t="shared" si="111"/>
        <v>0</v>
      </c>
      <c r="M783" t="b">
        <f t="shared" si="116"/>
        <v>0</v>
      </c>
      <c r="N783" t="b">
        <f t="shared" si="117"/>
        <v>0</v>
      </c>
    </row>
    <row r="784" spans="1:14">
      <c r="A784" s="29">
        <v>45344</v>
      </c>
      <c r="B784" s="30">
        <f t="shared" si="109"/>
        <v>2</v>
      </c>
      <c r="C784" s="30">
        <f t="shared" si="112"/>
        <v>22</v>
      </c>
      <c r="D784" s="26">
        <f>MATCH(WEEKDAY(A784),そのた定義!A:A,0)</f>
        <v>6</v>
      </c>
      <c r="E784" s="26" t="str">
        <f t="shared" ca="1" si="113"/>
        <v>木</v>
      </c>
      <c r="F784" s="26">
        <f t="shared" si="114"/>
        <v>0</v>
      </c>
      <c r="G784" s="26">
        <f>IF(ISNA(MATCH(A784,祝日定義!E:E,0)),0,1)</f>
        <v>0</v>
      </c>
      <c r="H784" s="26">
        <f>IF(ISNA(MATCH(B784&amp;"/"&amp;C784,そのた定義!E:E,0)), 0, 1)</f>
        <v>0</v>
      </c>
      <c r="I784" s="26" t="b">
        <f t="shared" si="115"/>
        <v>0</v>
      </c>
      <c r="J784" s="26">
        <v>0</v>
      </c>
      <c r="K784" s="26" t="b">
        <f t="shared" si="110"/>
        <v>0</v>
      </c>
      <c r="L784" s="26" t="b">
        <f t="shared" si="111"/>
        <v>0</v>
      </c>
      <c r="M784" t="b">
        <f t="shared" si="116"/>
        <v>0</v>
      </c>
      <c r="N784" t="b">
        <f t="shared" si="117"/>
        <v>0</v>
      </c>
    </row>
    <row r="785" spans="1:14">
      <c r="A785" s="29">
        <v>45345</v>
      </c>
      <c r="B785" s="30">
        <f t="shared" si="109"/>
        <v>2</v>
      </c>
      <c r="C785" s="30">
        <f t="shared" si="112"/>
        <v>23</v>
      </c>
      <c r="D785" s="26">
        <f>MATCH(WEEKDAY(A785),そのた定義!A:A,0)</f>
        <v>7</v>
      </c>
      <c r="E785" s="31" t="str">
        <f t="shared" ca="1" si="113"/>
        <v>金</v>
      </c>
      <c r="F785" s="26">
        <f t="shared" si="114"/>
        <v>0</v>
      </c>
      <c r="G785" s="26">
        <f>IF(ISNA(MATCH(A785,祝日定義!E:E,0)),0,1)</f>
        <v>1</v>
      </c>
      <c r="H785" s="26">
        <f>IF(ISNA(MATCH(B785&amp;"/"&amp;C785,そのた定義!E:E,0)), 0, 1)</f>
        <v>0</v>
      </c>
      <c r="I785" s="23" t="b">
        <f t="shared" si="115"/>
        <v>1</v>
      </c>
      <c r="J785" s="26">
        <v>0</v>
      </c>
      <c r="K785" s="26" t="b">
        <f t="shared" si="110"/>
        <v>0</v>
      </c>
      <c r="L785" s="26" t="b">
        <f t="shared" si="111"/>
        <v>0</v>
      </c>
      <c r="M785" t="b">
        <f t="shared" si="116"/>
        <v>0</v>
      </c>
      <c r="N785" t="b">
        <f t="shared" si="117"/>
        <v>0</v>
      </c>
    </row>
    <row r="786" spans="1:14">
      <c r="A786" s="29">
        <v>45346</v>
      </c>
      <c r="B786" s="30">
        <f t="shared" si="109"/>
        <v>2</v>
      </c>
      <c r="C786" s="30">
        <f t="shared" si="112"/>
        <v>24</v>
      </c>
      <c r="D786" s="26">
        <f>MATCH(WEEKDAY(A786),そのた定義!A:A,0)</f>
        <v>8</v>
      </c>
      <c r="E786" s="33" t="str">
        <f t="shared" ca="1" si="113"/>
        <v>土</v>
      </c>
      <c r="F786" s="26">
        <f t="shared" si="114"/>
        <v>1</v>
      </c>
      <c r="G786" s="26">
        <f>IF(ISNA(MATCH(A786,祝日定義!E:E,0)),0,1)</f>
        <v>0</v>
      </c>
      <c r="H786" s="26">
        <f>IF(ISNA(MATCH(B786&amp;"/"&amp;C786,そのた定義!E:E,0)), 0, 1)</f>
        <v>0</v>
      </c>
      <c r="I786" s="23" t="b">
        <f t="shared" si="115"/>
        <v>1</v>
      </c>
      <c r="J786" s="26">
        <v>0</v>
      </c>
      <c r="K786" s="26" t="b">
        <f t="shared" si="110"/>
        <v>0</v>
      </c>
      <c r="L786" s="26" t="b">
        <f t="shared" si="111"/>
        <v>0</v>
      </c>
      <c r="M786" t="b">
        <f t="shared" si="116"/>
        <v>0</v>
      </c>
      <c r="N786" t="b">
        <f t="shared" si="117"/>
        <v>0</v>
      </c>
    </row>
    <row r="787" spans="1:14">
      <c r="A787" s="29">
        <v>45347</v>
      </c>
      <c r="B787" s="30">
        <f t="shared" si="109"/>
        <v>2</v>
      </c>
      <c r="C787" s="30">
        <f t="shared" si="112"/>
        <v>25</v>
      </c>
      <c r="D787" s="26">
        <f>MATCH(WEEKDAY(A787),そのた定義!A:A,0)</f>
        <v>2</v>
      </c>
      <c r="E787" s="32" t="str">
        <f t="shared" ca="1" si="113"/>
        <v>日</v>
      </c>
      <c r="F787" s="26">
        <f t="shared" si="114"/>
        <v>1</v>
      </c>
      <c r="G787" s="26">
        <f>IF(ISNA(MATCH(A787,祝日定義!E:E,0)),0,1)</f>
        <v>0</v>
      </c>
      <c r="H787" s="26">
        <f>IF(ISNA(MATCH(B787&amp;"/"&amp;C787,そのた定義!E:E,0)), 0, 1)</f>
        <v>0</v>
      </c>
      <c r="I787" s="23" t="b">
        <f t="shared" si="115"/>
        <v>1</v>
      </c>
      <c r="J787" s="26">
        <v>0</v>
      </c>
      <c r="K787" s="26" t="b">
        <f t="shared" si="110"/>
        <v>0</v>
      </c>
      <c r="L787" s="23" t="b">
        <f t="shared" si="111"/>
        <v>1</v>
      </c>
      <c r="M787" t="b">
        <f t="shared" si="116"/>
        <v>0</v>
      </c>
      <c r="N787" t="b">
        <f t="shared" si="117"/>
        <v>0</v>
      </c>
    </row>
    <row r="788" spans="1:14">
      <c r="A788" s="29">
        <v>45348</v>
      </c>
      <c r="B788" s="30">
        <f t="shared" si="109"/>
        <v>2</v>
      </c>
      <c r="C788" s="30">
        <f t="shared" si="112"/>
        <v>26</v>
      </c>
      <c r="D788" s="26">
        <f>MATCH(WEEKDAY(A788),そのた定義!A:A,0)</f>
        <v>3</v>
      </c>
      <c r="E788" s="26" t="str">
        <f t="shared" ca="1" si="113"/>
        <v>月</v>
      </c>
      <c r="F788" s="26">
        <f t="shared" si="114"/>
        <v>0</v>
      </c>
      <c r="G788" s="26">
        <f>IF(ISNA(MATCH(A788,祝日定義!E:E,0)),0,1)</f>
        <v>0</v>
      </c>
      <c r="H788" s="26">
        <f>IF(ISNA(MATCH(B788&amp;"/"&amp;C788,そのた定義!E:E,0)), 0, 1)</f>
        <v>0</v>
      </c>
      <c r="I788" s="26" t="b">
        <f t="shared" si="115"/>
        <v>0</v>
      </c>
      <c r="J788" s="26">
        <v>3</v>
      </c>
      <c r="K788" s="23" t="b">
        <f t="shared" si="110"/>
        <v>1</v>
      </c>
      <c r="L788" s="26" t="b">
        <f t="shared" si="111"/>
        <v>0</v>
      </c>
      <c r="M788" t="b">
        <f t="shared" si="116"/>
        <v>0</v>
      </c>
      <c r="N788" t="b">
        <f t="shared" si="117"/>
        <v>0</v>
      </c>
    </row>
    <row r="789" spans="1:14">
      <c r="A789" s="29">
        <v>45349</v>
      </c>
      <c r="B789" s="30">
        <f t="shared" si="109"/>
        <v>2</v>
      </c>
      <c r="C789" s="30">
        <f t="shared" si="112"/>
        <v>27</v>
      </c>
      <c r="D789" s="26">
        <f>MATCH(WEEKDAY(A789),そのた定義!A:A,0)</f>
        <v>4</v>
      </c>
      <c r="E789" s="26" t="str">
        <f t="shared" ca="1" si="113"/>
        <v>火</v>
      </c>
      <c r="F789" s="26">
        <f t="shared" si="114"/>
        <v>0</v>
      </c>
      <c r="G789" s="26">
        <f>IF(ISNA(MATCH(A789,祝日定義!E:E,0)),0,1)</f>
        <v>0</v>
      </c>
      <c r="H789" s="26">
        <f>IF(ISNA(MATCH(B789&amp;"/"&amp;C789,そのた定義!E:E,0)), 0, 1)</f>
        <v>0</v>
      </c>
      <c r="I789" s="26" t="b">
        <f t="shared" si="115"/>
        <v>0</v>
      </c>
      <c r="J789" s="26">
        <v>0</v>
      </c>
      <c r="K789" s="26" t="b">
        <f t="shared" si="110"/>
        <v>0</v>
      </c>
      <c r="L789" s="26" t="b">
        <f t="shared" si="111"/>
        <v>0</v>
      </c>
      <c r="M789" t="b">
        <f t="shared" si="116"/>
        <v>0</v>
      </c>
      <c r="N789" t="b">
        <f t="shared" si="117"/>
        <v>0</v>
      </c>
    </row>
    <row r="790" spans="1:14">
      <c r="A790" s="29">
        <v>45350</v>
      </c>
      <c r="B790" s="30">
        <f t="shared" si="109"/>
        <v>2</v>
      </c>
      <c r="C790" s="30">
        <f t="shared" si="112"/>
        <v>28</v>
      </c>
      <c r="D790" s="26">
        <f>MATCH(WEEKDAY(A790),そのた定義!A:A,0)</f>
        <v>5</v>
      </c>
      <c r="E790" s="26" t="str">
        <f t="shared" ca="1" si="113"/>
        <v>水</v>
      </c>
      <c r="F790" s="26">
        <f t="shared" si="114"/>
        <v>0</v>
      </c>
      <c r="G790" s="26">
        <f>IF(ISNA(MATCH(A790,祝日定義!E:E,0)),0,1)</f>
        <v>0</v>
      </c>
      <c r="H790" s="26">
        <f>IF(ISNA(MATCH(B790&amp;"/"&amp;C790,そのた定義!E:E,0)), 0, 1)</f>
        <v>0</v>
      </c>
      <c r="I790" s="26" t="b">
        <f t="shared" si="115"/>
        <v>0</v>
      </c>
      <c r="J790" s="26">
        <v>0</v>
      </c>
      <c r="K790" s="26" t="b">
        <f t="shared" si="110"/>
        <v>0</v>
      </c>
      <c r="L790" s="26" t="b">
        <f t="shared" si="111"/>
        <v>0</v>
      </c>
      <c r="M790" t="b">
        <f t="shared" si="116"/>
        <v>0</v>
      </c>
      <c r="N790" t="b">
        <f t="shared" si="117"/>
        <v>0</v>
      </c>
    </row>
    <row r="791" spans="1:14">
      <c r="A791" s="29">
        <v>45351</v>
      </c>
      <c r="B791" s="30">
        <f t="shared" si="109"/>
        <v>2</v>
      </c>
      <c r="C791" s="30">
        <f t="shared" si="112"/>
        <v>29</v>
      </c>
      <c r="D791" s="26">
        <f>MATCH(WEEKDAY(A791),そのた定義!A:A,0)</f>
        <v>6</v>
      </c>
      <c r="E791" s="26" t="str">
        <f t="shared" ca="1" si="113"/>
        <v>木</v>
      </c>
      <c r="F791" s="26">
        <f t="shared" si="114"/>
        <v>0</v>
      </c>
      <c r="G791" s="26">
        <f>IF(ISNA(MATCH(A791,祝日定義!E:E,0)),0,1)</f>
        <v>0</v>
      </c>
      <c r="H791" s="26">
        <f>IF(ISNA(MATCH(B791&amp;"/"&amp;C791,そのた定義!E:E,0)), 0, 1)</f>
        <v>0</v>
      </c>
      <c r="I791" s="26" t="b">
        <f t="shared" si="115"/>
        <v>0</v>
      </c>
      <c r="J791" s="26">
        <v>0</v>
      </c>
      <c r="K791" s="26" t="b">
        <f t="shared" si="110"/>
        <v>0</v>
      </c>
      <c r="L791" s="26" t="b">
        <f t="shared" si="111"/>
        <v>0</v>
      </c>
      <c r="M791" t="b">
        <f t="shared" si="116"/>
        <v>0</v>
      </c>
      <c r="N791" t="b">
        <f t="shared" si="117"/>
        <v>1</v>
      </c>
    </row>
    <row r="792" spans="1:14">
      <c r="A792" s="29">
        <v>45352</v>
      </c>
      <c r="B792" s="30">
        <f t="shared" si="109"/>
        <v>3</v>
      </c>
      <c r="C792" s="30">
        <f t="shared" si="112"/>
        <v>1</v>
      </c>
      <c r="D792" s="26">
        <f>MATCH(WEEKDAY(A792),そのた定義!A:A,0)</f>
        <v>7</v>
      </c>
      <c r="E792" s="26" t="str">
        <f t="shared" ca="1" si="113"/>
        <v>金</v>
      </c>
      <c r="F792" s="26">
        <f t="shared" si="114"/>
        <v>0</v>
      </c>
      <c r="G792" s="26">
        <f>IF(ISNA(MATCH(A792,祝日定義!E:E,0)),0,1)</f>
        <v>0</v>
      </c>
      <c r="H792" s="26">
        <f>IF(ISNA(MATCH(B792&amp;"/"&amp;C792,そのた定義!E:E,0)), 0, 1)</f>
        <v>0</v>
      </c>
      <c r="I792" s="26" t="b">
        <f t="shared" si="115"/>
        <v>0</v>
      </c>
      <c r="J792" s="26">
        <v>0</v>
      </c>
      <c r="K792" s="26" t="b">
        <f t="shared" si="110"/>
        <v>0</v>
      </c>
      <c r="L792" s="26" t="b">
        <f t="shared" si="111"/>
        <v>0</v>
      </c>
      <c r="M792" t="b">
        <f t="shared" si="116"/>
        <v>0</v>
      </c>
      <c r="N792" t="b">
        <f t="shared" si="117"/>
        <v>0</v>
      </c>
    </row>
    <row r="793" spans="1:14">
      <c r="A793" s="29">
        <v>45353</v>
      </c>
      <c r="B793" s="30">
        <f t="shared" si="109"/>
        <v>3</v>
      </c>
      <c r="C793" s="30">
        <f t="shared" si="112"/>
        <v>2</v>
      </c>
      <c r="D793" s="26">
        <f>MATCH(WEEKDAY(A793),そのた定義!A:A,0)</f>
        <v>8</v>
      </c>
      <c r="E793" s="33" t="str">
        <f t="shared" ca="1" si="113"/>
        <v>土</v>
      </c>
      <c r="F793" s="26">
        <f t="shared" si="114"/>
        <v>1</v>
      </c>
      <c r="G793" s="26">
        <f>IF(ISNA(MATCH(A793,祝日定義!E:E,0)),0,1)</f>
        <v>0</v>
      </c>
      <c r="H793" s="26">
        <f>IF(ISNA(MATCH(B793&amp;"/"&amp;C793,そのた定義!E:E,0)), 0, 1)</f>
        <v>0</v>
      </c>
      <c r="I793" s="23" t="b">
        <f t="shared" si="115"/>
        <v>1</v>
      </c>
      <c r="J793" s="26">
        <v>0</v>
      </c>
      <c r="K793" s="26" t="b">
        <f t="shared" si="110"/>
        <v>0</v>
      </c>
      <c r="L793" s="26" t="b">
        <f t="shared" si="111"/>
        <v>0</v>
      </c>
      <c r="M793" t="b">
        <f t="shared" si="116"/>
        <v>0</v>
      </c>
      <c r="N793" t="b">
        <f t="shared" si="117"/>
        <v>0</v>
      </c>
    </row>
    <row r="794" spans="1:14">
      <c r="A794" s="29">
        <v>45354</v>
      </c>
      <c r="B794" s="30">
        <f t="shared" si="109"/>
        <v>3</v>
      </c>
      <c r="C794" s="30">
        <f t="shared" si="112"/>
        <v>3</v>
      </c>
      <c r="D794" s="26">
        <f>MATCH(WEEKDAY(A794),そのた定義!A:A,0)</f>
        <v>2</v>
      </c>
      <c r="E794" s="32" t="str">
        <f t="shared" ca="1" si="113"/>
        <v>日</v>
      </c>
      <c r="F794" s="26">
        <f t="shared" si="114"/>
        <v>1</v>
      </c>
      <c r="G794" s="26">
        <f>IF(ISNA(MATCH(A794,祝日定義!E:E,0)),0,1)</f>
        <v>0</v>
      </c>
      <c r="H794" s="26">
        <f>IF(ISNA(MATCH(B794&amp;"/"&amp;C794,そのた定義!E:E,0)), 0, 1)</f>
        <v>0</v>
      </c>
      <c r="I794" s="23" t="b">
        <f t="shared" si="115"/>
        <v>1</v>
      </c>
      <c r="J794" s="26">
        <v>0</v>
      </c>
      <c r="K794" s="26" t="b">
        <f t="shared" si="110"/>
        <v>0</v>
      </c>
      <c r="L794" s="26" t="b">
        <f t="shared" si="111"/>
        <v>0</v>
      </c>
      <c r="M794" t="b">
        <f t="shared" si="116"/>
        <v>0</v>
      </c>
      <c r="N794" t="b">
        <f t="shared" si="117"/>
        <v>0</v>
      </c>
    </row>
    <row r="795" spans="1:14">
      <c r="A795" s="29">
        <v>45355</v>
      </c>
      <c r="B795" s="30">
        <f t="shared" si="109"/>
        <v>3</v>
      </c>
      <c r="C795" s="30">
        <f t="shared" si="112"/>
        <v>4</v>
      </c>
      <c r="D795" s="26">
        <f>MATCH(WEEKDAY(A795),そのた定義!A:A,0)</f>
        <v>3</v>
      </c>
      <c r="E795" s="26" t="str">
        <f t="shared" ca="1" si="113"/>
        <v>月</v>
      </c>
      <c r="F795" s="26">
        <f t="shared" si="114"/>
        <v>0</v>
      </c>
      <c r="G795" s="26">
        <f>IF(ISNA(MATCH(A795,祝日定義!E:E,0)),0,1)</f>
        <v>0</v>
      </c>
      <c r="H795" s="26">
        <f>IF(ISNA(MATCH(B795&amp;"/"&amp;C795,そのた定義!E:E,0)), 0, 1)</f>
        <v>0</v>
      </c>
      <c r="I795" s="26" t="b">
        <f t="shared" si="115"/>
        <v>0</v>
      </c>
      <c r="J795" s="26">
        <v>2</v>
      </c>
      <c r="K795" s="26" t="b">
        <f t="shared" si="110"/>
        <v>0</v>
      </c>
      <c r="L795" s="26" t="b">
        <f t="shared" si="111"/>
        <v>0</v>
      </c>
      <c r="M795" t="b">
        <f t="shared" si="116"/>
        <v>0</v>
      </c>
      <c r="N795" t="b">
        <f t="shared" si="117"/>
        <v>0</v>
      </c>
    </row>
    <row r="796" spans="1:14">
      <c r="A796" s="29">
        <v>45356</v>
      </c>
      <c r="B796" s="30">
        <f t="shared" si="109"/>
        <v>3</v>
      </c>
      <c r="C796" s="30">
        <f t="shared" si="112"/>
        <v>5</v>
      </c>
      <c r="D796" s="26">
        <f>MATCH(WEEKDAY(A796),そのた定義!A:A,0)</f>
        <v>4</v>
      </c>
      <c r="E796" s="26" t="str">
        <f t="shared" ca="1" si="113"/>
        <v>火</v>
      </c>
      <c r="F796" s="26">
        <f t="shared" si="114"/>
        <v>0</v>
      </c>
      <c r="G796" s="26">
        <f>IF(ISNA(MATCH(A796,祝日定義!E:E,0)),0,1)</f>
        <v>0</v>
      </c>
      <c r="H796" s="26">
        <f>IF(ISNA(MATCH(B796&amp;"/"&amp;C796,そのた定義!E:E,0)), 0, 1)</f>
        <v>0</v>
      </c>
      <c r="I796" s="26" t="b">
        <f t="shared" si="115"/>
        <v>0</v>
      </c>
      <c r="J796" s="26">
        <v>0</v>
      </c>
      <c r="K796" s="26" t="b">
        <f t="shared" si="110"/>
        <v>0</v>
      </c>
      <c r="L796" s="26" t="b">
        <f t="shared" si="111"/>
        <v>0</v>
      </c>
      <c r="M796" t="b">
        <f t="shared" si="116"/>
        <v>0</v>
      </c>
      <c r="N796" t="b">
        <f t="shared" si="117"/>
        <v>0</v>
      </c>
    </row>
    <row r="797" spans="1:14">
      <c r="A797" s="29">
        <v>45357</v>
      </c>
      <c r="B797" s="30">
        <f t="shared" si="109"/>
        <v>3</v>
      </c>
      <c r="C797" s="30">
        <f t="shared" si="112"/>
        <v>6</v>
      </c>
      <c r="D797" s="26">
        <f>MATCH(WEEKDAY(A797),そのた定義!A:A,0)</f>
        <v>5</v>
      </c>
      <c r="E797" s="26" t="str">
        <f t="shared" ca="1" si="113"/>
        <v>水</v>
      </c>
      <c r="F797" s="26">
        <f t="shared" si="114"/>
        <v>0</v>
      </c>
      <c r="G797" s="26">
        <f>IF(ISNA(MATCH(A797,祝日定義!E:E,0)),0,1)</f>
        <v>0</v>
      </c>
      <c r="H797" s="26">
        <f>IF(ISNA(MATCH(B797&amp;"/"&amp;C797,そのた定義!E:E,0)), 0, 1)</f>
        <v>0</v>
      </c>
      <c r="I797" s="26" t="b">
        <f t="shared" si="115"/>
        <v>0</v>
      </c>
      <c r="J797" s="26">
        <v>0</v>
      </c>
      <c r="K797" s="26" t="b">
        <f t="shared" si="110"/>
        <v>0</v>
      </c>
      <c r="L797" s="26" t="b">
        <f t="shared" si="111"/>
        <v>0</v>
      </c>
      <c r="M797" t="b">
        <f t="shared" si="116"/>
        <v>0</v>
      </c>
      <c r="N797" t="b">
        <f t="shared" si="117"/>
        <v>0</v>
      </c>
    </row>
    <row r="798" spans="1:14">
      <c r="A798" s="29">
        <v>45358</v>
      </c>
      <c r="B798" s="30">
        <f t="shared" si="109"/>
        <v>3</v>
      </c>
      <c r="C798" s="30">
        <f t="shared" si="112"/>
        <v>7</v>
      </c>
      <c r="D798" s="26">
        <f>MATCH(WEEKDAY(A798),そのた定義!A:A,0)</f>
        <v>6</v>
      </c>
      <c r="E798" s="26" t="str">
        <f t="shared" ca="1" si="113"/>
        <v>木</v>
      </c>
      <c r="F798" s="26">
        <f t="shared" si="114"/>
        <v>0</v>
      </c>
      <c r="G798" s="26">
        <f>IF(ISNA(MATCH(A798,祝日定義!E:E,0)),0,1)</f>
        <v>0</v>
      </c>
      <c r="H798" s="26">
        <f>IF(ISNA(MATCH(B798&amp;"/"&amp;C798,そのた定義!E:E,0)), 0, 1)</f>
        <v>0</v>
      </c>
      <c r="I798" s="26" t="b">
        <f t="shared" si="115"/>
        <v>0</v>
      </c>
      <c r="J798" s="26">
        <v>0</v>
      </c>
      <c r="K798" s="26" t="b">
        <f t="shared" si="110"/>
        <v>0</v>
      </c>
      <c r="L798" s="26" t="b">
        <f t="shared" si="111"/>
        <v>0</v>
      </c>
      <c r="M798" t="b">
        <f t="shared" si="116"/>
        <v>0</v>
      </c>
      <c r="N798" t="b">
        <f t="shared" si="117"/>
        <v>0</v>
      </c>
    </row>
    <row r="799" spans="1:14">
      <c r="A799" s="29">
        <v>45359</v>
      </c>
      <c r="B799" s="30">
        <f t="shared" si="109"/>
        <v>3</v>
      </c>
      <c r="C799" s="30">
        <f t="shared" si="112"/>
        <v>8</v>
      </c>
      <c r="D799" s="26">
        <f>MATCH(WEEKDAY(A799),そのた定義!A:A,0)</f>
        <v>7</v>
      </c>
      <c r="E799" s="26" t="str">
        <f t="shared" ca="1" si="113"/>
        <v>金</v>
      </c>
      <c r="F799" s="26">
        <f t="shared" si="114"/>
        <v>0</v>
      </c>
      <c r="G799" s="26">
        <f>IF(ISNA(MATCH(A799,祝日定義!E:E,0)),0,1)</f>
        <v>0</v>
      </c>
      <c r="H799" s="26">
        <f>IF(ISNA(MATCH(B799&amp;"/"&amp;C799,そのた定義!E:E,0)), 0, 1)</f>
        <v>0</v>
      </c>
      <c r="I799" s="26" t="b">
        <f t="shared" si="115"/>
        <v>0</v>
      </c>
      <c r="J799" s="26">
        <v>0</v>
      </c>
      <c r="K799" s="26" t="b">
        <f t="shared" si="110"/>
        <v>0</v>
      </c>
      <c r="L799" s="26" t="b">
        <f t="shared" si="111"/>
        <v>0</v>
      </c>
      <c r="M799" t="b">
        <f t="shared" si="116"/>
        <v>0</v>
      </c>
      <c r="N799" t="b">
        <f t="shared" si="117"/>
        <v>0</v>
      </c>
    </row>
    <row r="800" spans="1:14">
      <c r="A800" s="29">
        <v>45360</v>
      </c>
      <c r="B800" s="30">
        <f t="shared" si="109"/>
        <v>3</v>
      </c>
      <c r="C800" s="30">
        <f t="shared" si="112"/>
        <v>9</v>
      </c>
      <c r="D800" s="26">
        <f>MATCH(WEEKDAY(A800),そのた定義!A:A,0)</f>
        <v>8</v>
      </c>
      <c r="E800" s="33" t="str">
        <f t="shared" ca="1" si="113"/>
        <v>土</v>
      </c>
      <c r="F800" s="26">
        <f t="shared" si="114"/>
        <v>1</v>
      </c>
      <c r="G800" s="26">
        <f>IF(ISNA(MATCH(A800,祝日定義!E:E,0)),0,1)</f>
        <v>0</v>
      </c>
      <c r="H800" s="26">
        <f>IF(ISNA(MATCH(B800&amp;"/"&amp;C800,そのた定義!E:E,0)), 0, 1)</f>
        <v>0</v>
      </c>
      <c r="I800" s="23" t="b">
        <f t="shared" si="115"/>
        <v>1</v>
      </c>
      <c r="J800" s="26">
        <v>0</v>
      </c>
      <c r="K800" s="26" t="b">
        <f t="shared" si="110"/>
        <v>0</v>
      </c>
      <c r="L800" s="26" t="b">
        <f t="shared" si="111"/>
        <v>0</v>
      </c>
      <c r="M800" t="b">
        <f t="shared" si="116"/>
        <v>0</v>
      </c>
      <c r="N800" t="b">
        <f t="shared" si="117"/>
        <v>0</v>
      </c>
    </row>
    <row r="801" spans="1:14">
      <c r="A801" s="29">
        <v>45361</v>
      </c>
      <c r="B801" s="30">
        <f t="shared" si="109"/>
        <v>3</v>
      </c>
      <c r="C801" s="30">
        <f t="shared" si="112"/>
        <v>10</v>
      </c>
      <c r="D801" s="26">
        <f>MATCH(WEEKDAY(A801),そのた定義!A:A,0)</f>
        <v>2</v>
      </c>
      <c r="E801" s="32" t="str">
        <f t="shared" ca="1" si="113"/>
        <v>日</v>
      </c>
      <c r="F801" s="26">
        <f t="shared" si="114"/>
        <v>1</v>
      </c>
      <c r="G801" s="26">
        <f>IF(ISNA(MATCH(A801,祝日定義!E:E,0)),0,1)</f>
        <v>0</v>
      </c>
      <c r="H801" s="26">
        <f>IF(ISNA(MATCH(B801&amp;"/"&amp;C801,そのた定義!E:E,0)), 0, 1)</f>
        <v>0</v>
      </c>
      <c r="I801" s="23" t="b">
        <f t="shared" si="115"/>
        <v>1</v>
      </c>
      <c r="J801" s="26">
        <v>0</v>
      </c>
      <c r="K801" s="26" t="b">
        <f t="shared" si="110"/>
        <v>0</v>
      </c>
      <c r="L801" s="26" t="b">
        <f t="shared" si="111"/>
        <v>0</v>
      </c>
      <c r="M801" t="b">
        <f t="shared" si="116"/>
        <v>0</v>
      </c>
      <c r="N801" t="b">
        <f t="shared" si="117"/>
        <v>0</v>
      </c>
    </row>
    <row r="802" spans="1:14">
      <c r="A802" s="29">
        <v>45362</v>
      </c>
      <c r="B802" s="30">
        <f t="shared" si="109"/>
        <v>3</v>
      </c>
      <c r="C802" s="30">
        <f t="shared" si="112"/>
        <v>11</v>
      </c>
      <c r="D802" s="26">
        <f>MATCH(WEEKDAY(A802),そのた定義!A:A,0)</f>
        <v>3</v>
      </c>
      <c r="E802" s="26" t="str">
        <f t="shared" ca="1" si="113"/>
        <v>月</v>
      </c>
      <c r="F802" s="26">
        <f t="shared" si="114"/>
        <v>0</v>
      </c>
      <c r="G802" s="26">
        <f>IF(ISNA(MATCH(A802,祝日定義!E:E,0)),0,1)</f>
        <v>0</v>
      </c>
      <c r="H802" s="26">
        <f>IF(ISNA(MATCH(B802&amp;"/"&amp;C802,そのた定義!E:E,0)), 0, 1)</f>
        <v>0</v>
      </c>
      <c r="I802" s="26" t="b">
        <f t="shared" si="115"/>
        <v>0</v>
      </c>
      <c r="J802" s="26">
        <v>2</v>
      </c>
      <c r="K802" s="26" t="b">
        <f t="shared" si="110"/>
        <v>0</v>
      </c>
      <c r="L802" s="26" t="b">
        <f t="shared" si="111"/>
        <v>0</v>
      </c>
      <c r="M802" t="b">
        <f t="shared" si="116"/>
        <v>0</v>
      </c>
      <c r="N802" t="b">
        <f t="shared" si="117"/>
        <v>0</v>
      </c>
    </row>
    <row r="803" spans="1:14">
      <c r="A803" s="29">
        <v>45363</v>
      </c>
      <c r="B803" s="30">
        <f t="shared" si="109"/>
        <v>3</v>
      </c>
      <c r="C803" s="30">
        <f t="shared" si="112"/>
        <v>12</v>
      </c>
      <c r="D803" s="26">
        <f>MATCH(WEEKDAY(A803),そのた定義!A:A,0)</f>
        <v>4</v>
      </c>
      <c r="E803" s="26" t="str">
        <f t="shared" ca="1" si="113"/>
        <v>火</v>
      </c>
      <c r="F803" s="26">
        <f t="shared" si="114"/>
        <v>0</v>
      </c>
      <c r="G803" s="26">
        <f>IF(ISNA(MATCH(A803,祝日定義!E:E,0)),0,1)</f>
        <v>0</v>
      </c>
      <c r="H803" s="26">
        <f>IF(ISNA(MATCH(B803&amp;"/"&amp;C803,そのた定義!E:E,0)), 0, 1)</f>
        <v>0</v>
      </c>
      <c r="I803" s="26" t="b">
        <f t="shared" si="115"/>
        <v>0</v>
      </c>
      <c r="J803" s="26">
        <v>0</v>
      </c>
      <c r="K803" s="26" t="b">
        <f t="shared" si="110"/>
        <v>0</v>
      </c>
      <c r="L803" s="26" t="b">
        <f t="shared" si="111"/>
        <v>0</v>
      </c>
      <c r="M803" t="b">
        <f t="shared" si="116"/>
        <v>0</v>
      </c>
      <c r="N803" t="b">
        <f t="shared" si="117"/>
        <v>0</v>
      </c>
    </row>
    <row r="804" spans="1:14">
      <c r="A804" s="29">
        <v>45364</v>
      </c>
      <c r="B804" s="30">
        <f t="shared" si="109"/>
        <v>3</v>
      </c>
      <c r="C804" s="30">
        <f t="shared" si="112"/>
        <v>13</v>
      </c>
      <c r="D804" s="26">
        <f>MATCH(WEEKDAY(A804),そのた定義!A:A,0)</f>
        <v>5</v>
      </c>
      <c r="E804" s="26" t="str">
        <f t="shared" ca="1" si="113"/>
        <v>水</v>
      </c>
      <c r="F804" s="26">
        <f t="shared" si="114"/>
        <v>0</v>
      </c>
      <c r="G804" s="26">
        <f>IF(ISNA(MATCH(A804,祝日定義!E:E,0)),0,1)</f>
        <v>0</v>
      </c>
      <c r="H804" s="26">
        <f>IF(ISNA(MATCH(B804&amp;"/"&amp;C804,そのた定義!E:E,0)), 0, 1)</f>
        <v>0</v>
      </c>
      <c r="I804" s="26" t="b">
        <f t="shared" si="115"/>
        <v>0</v>
      </c>
      <c r="J804" s="26">
        <v>0</v>
      </c>
      <c r="K804" s="26" t="b">
        <f t="shared" si="110"/>
        <v>0</v>
      </c>
      <c r="L804" s="26" t="b">
        <f t="shared" si="111"/>
        <v>0</v>
      </c>
      <c r="M804" t="b">
        <f t="shared" si="116"/>
        <v>0</v>
      </c>
      <c r="N804" t="b">
        <f t="shared" si="117"/>
        <v>0</v>
      </c>
    </row>
    <row r="805" spans="1:14">
      <c r="A805" s="29">
        <v>45365</v>
      </c>
      <c r="B805" s="30">
        <f t="shared" si="109"/>
        <v>3</v>
      </c>
      <c r="C805" s="30">
        <f t="shared" si="112"/>
        <v>14</v>
      </c>
      <c r="D805" s="26">
        <f>MATCH(WEEKDAY(A805),そのた定義!A:A,0)</f>
        <v>6</v>
      </c>
      <c r="E805" s="26" t="str">
        <f t="shared" ca="1" si="113"/>
        <v>木</v>
      </c>
      <c r="F805" s="26">
        <f t="shared" si="114"/>
        <v>0</v>
      </c>
      <c r="G805" s="26">
        <f>IF(ISNA(MATCH(A805,祝日定義!E:E,0)),0,1)</f>
        <v>0</v>
      </c>
      <c r="H805" s="26">
        <f>IF(ISNA(MATCH(B805&amp;"/"&amp;C805,そのた定義!E:E,0)), 0, 1)</f>
        <v>0</v>
      </c>
      <c r="I805" s="26" t="b">
        <f t="shared" si="115"/>
        <v>0</v>
      </c>
      <c r="J805" s="26">
        <v>0</v>
      </c>
      <c r="K805" s="26" t="b">
        <f t="shared" si="110"/>
        <v>0</v>
      </c>
      <c r="L805" s="26" t="b">
        <f t="shared" si="111"/>
        <v>0</v>
      </c>
      <c r="M805" t="b">
        <f t="shared" si="116"/>
        <v>0</v>
      </c>
      <c r="N805" t="b">
        <f t="shared" si="117"/>
        <v>0</v>
      </c>
    </row>
    <row r="806" spans="1:14">
      <c r="A806" s="29">
        <v>45366</v>
      </c>
      <c r="B806" s="30">
        <f t="shared" si="109"/>
        <v>3</v>
      </c>
      <c r="C806" s="30">
        <f t="shared" si="112"/>
        <v>15</v>
      </c>
      <c r="D806" s="26">
        <f>MATCH(WEEKDAY(A806),そのた定義!A:A,0)</f>
        <v>7</v>
      </c>
      <c r="E806" s="26" t="str">
        <f t="shared" ca="1" si="113"/>
        <v>金</v>
      </c>
      <c r="F806" s="26">
        <f t="shared" si="114"/>
        <v>0</v>
      </c>
      <c r="G806" s="26">
        <f>IF(ISNA(MATCH(A806,祝日定義!E:E,0)),0,1)</f>
        <v>0</v>
      </c>
      <c r="H806" s="26">
        <f>IF(ISNA(MATCH(B806&amp;"/"&amp;C806,そのた定義!E:E,0)), 0, 1)</f>
        <v>0</v>
      </c>
      <c r="I806" s="26" t="b">
        <f t="shared" si="115"/>
        <v>0</v>
      </c>
      <c r="J806" s="26">
        <v>0</v>
      </c>
      <c r="K806" s="26" t="b">
        <f t="shared" si="110"/>
        <v>0</v>
      </c>
      <c r="L806" s="26" t="b">
        <f t="shared" si="111"/>
        <v>0</v>
      </c>
      <c r="M806" t="b">
        <f t="shared" si="116"/>
        <v>0</v>
      </c>
      <c r="N806" t="b">
        <f t="shared" si="117"/>
        <v>0</v>
      </c>
    </row>
    <row r="807" spans="1:14">
      <c r="A807" s="29">
        <v>45367</v>
      </c>
      <c r="B807" s="30">
        <f t="shared" si="109"/>
        <v>3</v>
      </c>
      <c r="C807" s="30">
        <f t="shared" si="112"/>
        <v>16</v>
      </c>
      <c r="D807" s="26">
        <f>MATCH(WEEKDAY(A807),そのた定義!A:A,0)</f>
        <v>8</v>
      </c>
      <c r="E807" s="33" t="str">
        <f t="shared" ca="1" si="113"/>
        <v>土</v>
      </c>
      <c r="F807" s="26">
        <f t="shared" si="114"/>
        <v>1</v>
      </c>
      <c r="G807" s="26">
        <f>IF(ISNA(MATCH(A807,祝日定義!E:E,0)),0,1)</f>
        <v>0</v>
      </c>
      <c r="H807" s="26">
        <f>IF(ISNA(MATCH(B807&amp;"/"&amp;C807,そのた定義!E:E,0)), 0, 1)</f>
        <v>0</v>
      </c>
      <c r="I807" s="23" t="b">
        <f t="shared" si="115"/>
        <v>1</v>
      </c>
      <c r="J807" s="26">
        <v>0</v>
      </c>
      <c r="K807" s="26" t="b">
        <f t="shared" si="110"/>
        <v>0</v>
      </c>
      <c r="L807" s="26" t="b">
        <f t="shared" si="111"/>
        <v>0</v>
      </c>
      <c r="M807" t="b">
        <f t="shared" si="116"/>
        <v>0</v>
      </c>
      <c r="N807" t="b">
        <f t="shared" si="117"/>
        <v>0</v>
      </c>
    </row>
    <row r="808" spans="1:14">
      <c r="A808" s="29">
        <v>45368</v>
      </c>
      <c r="B808" s="30">
        <f t="shared" si="109"/>
        <v>3</v>
      </c>
      <c r="C808" s="30">
        <f t="shared" si="112"/>
        <v>17</v>
      </c>
      <c r="D808" s="26">
        <f>MATCH(WEEKDAY(A808),そのた定義!A:A,0)</f>
        <v>2</v>
      </c>
      <c r="E808" s="32" t="str">
        <f t="shared" ca="1" si="113"/>
        <v>日</v>
      </c>
      <c r="F808" s="26">
        <f t="shared" si="114"/>
        <v>1</v>
      </c>
      <c r="G808" s="26">
        <f>IF(ISNA(MATCH(A808,祝日定義!E:E,0)),0,1)</f>
        <v>0</v>
      </c>
      <c r="H808" s="26">
        <f>IF(ISNA(MATCH(B808&amp;"/"&amp;C808,そのた定義!E:E,0)), 0, 1)</f>
        <v>0</v>
      </c>
      <c r="I808" s="23" t="b">
        <f t="shared" si="115"/>
        <v>1</v>
      </c>
      <c r="J808" s="26">
        <v>0</v>
      </c>
      <c r="K808" s="26" t="b">
        <f t="shared" si="110"/>
        <v>0</v>
      </c>
      <c r="L808" s="26" t="b">
        <f t="shared" si="111"/>
        <v>0</v>
      </c>
      <c r="M808" t="b">
        <f t="shared" si="116"/>
        <v>0</v>
      </c>
      <c r="N808" t="b">
        <f t="shared" si="117"/>
        <v>0</v>
      </c>
    </row>
    <row r="809" spans="1:14">
      <c r="A809" s="29">
        <v>45369</v>
      </c>
      <c r="B809" s="30">
        <f t="shared" si="109"/>
        <v>3</v>
      </c>
      <c r="C809" s="30">
        <f t="shared" si="112"/>
        <v>18</v>
      </c>
      <c r="D809" s="26">
        <f>MATCH(WEEKDAY(A809),そのた定義!A:A,0)</f>
        <v>3</v>
      </c>
      <c r="E809" s="26" t="str">
        <f t="shared" ca="1" si="113"/>
        <v>月</v>
      </c>
      <c r="F809" s="26">
        <f t="shared" si="114"/>
        <v>0</v>
      </c>
      <c r="G809" s="26">
        <f>IF(ISNA(MATCH(A809,祝日定義!E:E,0)),0,1)</f>
        <v>0</v>
      </c>
      <c r="H809" s="26">
        <f>IF(ISNA(MATCH(B809&amp;"/"&amp;C809,そのた定義!E:E,0)), 0, 1)</f>
        <v>0</v>
      </c>
      <c r="I809" s="26" t="b">
        <f t="shared" si="115"/>
        <v>0</v>
      </c>
      <c r="J809" s="26">
        <v>2</v>
      </c>
      <c r="K809" s="26" t="b">
        <f t="shared" si="110"/>
        <v>0</v>
      </c>
      <c r="L809" s="26" t="b">
        <f t="shared" si="111"/>
        <v>0</v>
      </c>
      <c r="M809" t="b">
        <f t="shared" si="116"/>
        <v>0</v>
      </c>
      <c r="N809" t="b">
        <f t="shared" si="117"/>
        <v>0</v>
      </c>
    </row>
    <row r="810" spans="1:14">
      <c r="A810" s="29">
        <v>45370</v>
      </c>
      <c r="B810" s="30">
        <f t="shared" si="109"/>
        <v>3</v>
      </c>
      <c r="C810" s="30">
        <f t="shared" si="112"/>
        <v>19</v>
      </c>
      <c r="D810" s="26">
        <f>MATCH(WEEKDAY(A810),そのた定義!A:A,0)</f>
        <v>4</v>
      </c>
      <c r="E810" s="26" t="str">
        <f t="shared" ca="1" si="113"/>
        <v>火</v>
      </c>
      <c r="F810" s="26">
        <f t="shared" si="114"/>
        <v>0</v>
      </c>
      <c r="G810" s="26">
        <f>IF(ISNA(MATCH(A810,祝日定義!E:E,0)),0,1)</f>
        <v>0</v>
      </c>
      <c r="H810" s="26">
        <f>IF(ISNA(MATCH(B810&amp;"/"&amp;C810,そのた定義!E:E,0)), 0, 1)</f>
        <v>0</v>
      </c>
      <c r="I810" s="26" t="b">
        <f t="shared" si="115"/>
        <v>0</v>
      </c>
      <c r="J810" s="26">
        <v>0</v>
      </c>
      <c r="K810" s="26" t="b">
        <f t="shared" si="110"/>
        <v>0</v>
      </c>
      <c r="L810" s="26" t="b">
        <f t="shared" si="111"/>
        <v>0</v>
      </c>
      <c r="M810" t="b">
        <f t="shared" si="116"/>
        <v>0</v>
      </c>
      <c r="N810" t="b">
        <f t="shared" si="117"/>
        <v>0</v>
      </c>
    </row>
    <row r="811" spans="1:14">
      <c r="A811" s="29">
        <v>45371</v>
      </c>
      <c r="B811" s="30">
        <f t="shared" si="109"/>
        <v>3</v>
      </c>
      <c r="C811" s="30">
        <f t="shared" si="112"/>
        <v>20</v>
      </c>
      <c r="D811" s="26">
        <f>MATCH(WEEKDAY(A811),そのた定義!A:A,0)</f>
        <v>5</v>
      </c>
      <c r="E811" s="31" t="str">
        <f t="shared" ca="1" si="113"/>
        <v>水</v>
      </c>
      <c r="F811" s="26">
        <f t="shared" si="114"/>
        <v>0</v>
      </c>
      <c r="G811" s="26">
        <f>IF(ISNA(MATCH(A811,祝日定義!E:E,0)),0,1)</f>
        <v>1</v>
      </c>
      <c r="H811" s="26">
        <f>IF(ISNA(MATCH(B811&amp;"/"&amp;C811,そのた定義!E:E,0)), 0, 1)</f>
        <v>0</v>
      </c>
      <c r="I811" s="23" t="b">
        <f t="shared" si="115"/>
        <v>1</v>
      </c>
      <c r="J811" s="26">
        <v>0</v>
      </c>
      <c r="K811" s="26" t="b">
        <f t="shared" si="110"/>
        <v>0</v>
      </c>
      <c r="L811" s="26" t="b">
        <f t="shared" si="111"/>
        <v>0</v>
      </c>
      <c r="M811" t="b">
        <f t="shared" si="116"/>
        <v>0</v>
      </c>
      <c r="N811" t="b">
        <f t="shared" si="117"/>
        <v>0</v>
      </c>
    </row>
    <row r="812" spans="1:14">
      <c r="A812" s="29">
        <v>45372</v>
      </c>
      <c r="B812" s="30">
        <f t="shared" si="109"/>
        <v>3</v>
      </c>
      <c r="C812" s="30">
        <f t="shared" si="112"/>
        <v>21</v>
      </c>
      <c r="D812" s="26">
        <f>MATCH(WEEKDAY(A812),そのた定義!A:A,0)</f>
        <v>6</v>
      </c>
      <c r="E812" s="26" t="str">
        <f t="shared" ca="1" si="113"/>
        <v>木</v>
      </c>
      <c r="F812" s="26">
        <f t="shared" si="114"/>
        <v>0</v>
      </c>
      <c r="G812" s="26">
        <f>IF(ISNA(MATCH(A812,祝日定義!E:E,0)),0,1)</f>
        <v>0</v>
      </c>
      <c r="H812" s="26">
        <f>IF(ISNA(MATCH(B812&amp;"/"&amp;C812,そのた定義!E:E,0)), 0, 1)</f>
        <v>0</v>
      </c>
      <c r="I812" s="26" t="b">
        <f t="shared" si="115"/>
        <v>0</v>
      </c>
      <c r="J812" s="26">
        <v>1</v>
      </c>
      <c r="K812" s="26" t="b">
        <f t="shared" si="110"/>
        <v>0</v>
      </c>
      <c r="L812" s="26" t="b">
        <f t="shared" si="111"/>
        <v>0</v>
      </c>
      <c r="M812" t="b">
        <f t="shared" si="116"/>
        <v>0</v>
      </c>
      <c r="N812" t="b">
        <f t="shared" si="117"/>
        <v>0</v>
      </c>
    </row>
    <row r="813" spans="1:14">
      <c r="A813" s="29">
        <v>45373</v>
      </c>
      <c r="B813" s="30">
        <f t="shared" si="109"/>
        <v>3</v>
      </c>
      <c r="C813" s="30">
        <f t="shared" si="112"/>
        <v>22</v>
      </c>
      <c r="D813" s="26">
        <f>MATCH(WEEKDAY(A813),そのた定義!A:A,0)</f>
        <v>7</v>
      </c>
      <c r="E813" s="26" t="str">
        <f t="shared" ca="1" si="113"/>
        <v>金</v>
      </c>
      <c r="F813" s="26">
        <f t="shared" si="114"/>
        <v>0</v>
      </c>
      <c r="G813" s="26">
        <f>IF(ISNA(MATCH(A813,祝日定義!E:E,0)),0,1)</f>
        <v>0</v>
      </c>
      <c r="H813" s="26">
        <f>IF(ISNA(MATCH(B813&amp;"/"&amp;C813,そのた定義!E:E,0)), 0, 1)</f>
        <v>0</v>
      </c>
      <c r="I813" s="26" t="b">
        <f t="shared" si="115"/>
        <v>0</v>
      </c>
      <c r="J813" s="26">
        <v>0</v>
      </c>
      <c r="K813" s="26" t="b">
        <f t="shared" si="110"/>
        <v>0</v>
      </c>
      <c r="L813" s="26" t="b">
        <f t="shared" si="111"/>
        <v>0</v>
      </c>
      <c r="M813" t="b">
        <f t="shared" si="116"/>
        <v>0</v>
      </c>
      <c r="N813" t="b">
        <f t="shared" si="117"/>
        <v>0</v>
      </c>
    </row>
    <row r="814" spans="1:14">
      <c r="A814" s="29">
        <v>45374</v>
      </c>
      <c r="B814" s="30">
        <f t="shared" si="109"/>
        <v>3</v>
      </c>
      <c r="C814" s="30">
        <f t="shared" si="112"/>
        <v>23</v>
      </c>
      <c r="D814" s="26">
        <f>MATCH(WEEKDAY(A814),そのた定義!A:A,0)</f>
        <v>8</v>
      </c>
      <c r="E814" s="33" t="str">
        <f t="shared" ca="1" si="113"/>
        <v>土</v>
      </c>
      <c r="F814" s="26">
        <f t="shared" si="114"/>
        <v>1</v>
      </c>
      <c r="G814" s="26">
        <f>IF(ISNA(MATCH(A814,祝日定義!E:E,0)),0,1)</f>
        <v>0</v>
      </c>
      <c r="H814" s="26">
        <f>IF(ISNA(MATCH(B814&amp;"/"&amp;C814,そのた定義!E:E,0)), 0, 1)</f>
        <v>0</v>
      </c>
      <c r="I814" s="23" t="b">
        <f t="shared" si="115"/>
        <v>1</v>
      </c>
      <c r="J814" s="26">
        <v>0</v>
      </c>
      <c r="K814" s="26" t="b">
        <f t="shared" si="110"/>
        <v>0</v>
      </c>
      <c r="L814" s="26" t="b">
        <f t="shared" si="111"/>
        <v>0</v>
      </c>
      <c r="M814" t="b">
        <f t="shared" si="116"/>
        <v>0</v>
      </c>
      <c r="N814" t="b">
        <f t="shared" si="117"/>
        <v>0</v>
      </c>
    </row>
    <row r="815" spans="1:14">
      <c r="A815" s="29">
        <v>45375</v>
      </c>
      <c r="B815" s="30">
        <f t="shared" si="109"/>
        <v>3</v>
      </c>
      <c r="C815" s="30">
        <f t="shared" si="112"/>
        <v>24</v>
      </c>
      <c r="D815" s="26">
        <f>MATCH(WEEKDAY(A815),そのた定義!A:A,0)</f>
        <v>2</v>
      </c>
      <c r="E815" s="32" t="str">
        <f t="shared" ca="1" si="113"/>
        <v>日</v>
      </c>
      <c r="F815" s="26">
        <f t="shared" si="114"/>
        <v>1</v>
      </c>
      <c r="G815" s="26">
        <f>IF(ISNA(MATCH(A815,祝日定義!E:E,0)),0,1)</f>
        <v>0</v>
      </c>
      <c r="H815" s="26">
        <f>IF(ISNA(MATCH(B815&amp;"/"&amp;C815,そのた定義!E:E,0)), 0, 1)</f>
        <v>0</v>
      </c>
      <c r="I815" s="23" t="b">
        <f t="shared" si="115"/>
        <v>1</v>
      </c>
      <c r="J815" s="26">
        <v>0</v>
      </c>
      <c r="K815" s="26" t="b">
        <f t="shared" si="110"/>
        <v>0</v>
      </c>
      <c r="L815" s="26" t="b">
        <f t="shared" si="111"/>
        <v>0</v>
      </c>
      <c r="M815" t="b">
        <f t="shared" si="116"/>
        <v>0</v>
      </c>
      <c r="N815" t="b">
        <f t="shared" si="117"/>
        <v>0</v>
      </c>
    </row>
    <row r="816" spans="1:14">
      <c r="A816" s="29">
        <v>45376</v>
      </c>
      <c r="B816" s="30">
        <f t="shared" si="109"/>
        <v>3</v>
      </c>
      <c r="C816" s="30">
        <f t="shared" si="112"/>
        <v>25</v>
      </c>
      <c r="D816" s="26">
        <f>MATCH(WEEKDAY(A816),そのた定義!A:A,0)</f>
        <v>3</v>
      </c>
      <c r="E816" s="26" t="str">
        <f t="shared" ca="1" si="113"/>
        <v>月</v>
      </c>
      <c r="F816" s="26">
        <f t="shared" si="114"/>
        <v>0</v>
      </c>
      <c r="G816" s="26">
        <f>IF(ISNA(MATCH(A816,祝日定義!E:E,0)),0,1)</f>
        <v>0</v>
      </c>
      <c r="H816" s="26">
        <f>IF(ISNA(MATCH(B816&amp;"/"&amp;C816,そのた定義!E:E,0)), 0, 1)</f>
        <v>0</v>
      </c>
      <c r="I816" s="26" t="b">
        <f t="shared" si="115"/>
        <v>0</v>
      </c>
      <c r="J816" s="26">
        <v>2</v>
      </c>
      <c r="K816" s="26" t="b">
        <f t="shared" si="110"/>
        <v>0</v>
      </c>
      <c r="L816" s="23" t="b">
        <f t="shared" si="111"/>
        <v>1</v>
      </c>
      <c r="M816" t="b">
        <f t="shared" si="116"/>
        <v>0</v>
      </c>
      <c r="N816" t="b">
        <f t="shared" si="117"/>
        <v>0</v>
      </c>
    </row>
    <row r="817" spans="1:14">
      <c r="A817" s="29">
        <v>45377</v>
      </c>
      <c r="B817" s="30">
        <f t="shared" si="109"/>
        <v>3</v>
      </c>
      <c r="C817" s="30">
        <f t="shared" si="112"/>
        <v>26</v>
      </c>
      <c r="D817" s="26">
        <f>MATCH(WEEKDAY(A817),そのた定義!A:A,0)</f>
        <v>4</v>
      </c>
      <c r="E817" s="26" t="str">
        <f t="shared" ca="1" si="113"/>
        <v>火</v>
      </c>
      <c r="F817" s="26">
        <f t="shared" si="114"/>
        <v>0</v>
      </c>
      <c r="G817" s="26">
        <f>IF(ISNA(MATCH(A817,祝日定義!E:E,0)),0,1)</f>
        <v>0</v>
      </c>
      <c r="H817" s="26">
        <f>IF(ISNA(MATCH(B817&amp;"/"&amp;C817,そのた定義!E:E,0)), 0, 1)</f>
        <v>0</v>
      </c>
      <c r="I817" s="26" t="b">
        <f t="shared" si="115"/>
        <v>0</v>
      </c>
      <c r="J817" s="26">
        <v>0</v>
      </c>
      <c r="K817" s="26" t="b">
        <f t="shared" si="110"/>
        <v>0</v>
      </c>
      <c r="L817" s="26" t="b">
        <f t="shared" si="111"/>
        <v>0</v>
      </c>
      <c r="M817" t="b">
        <f t="shared" si="116"/>
        <v>0</v>
      </c>
      <c r="N817" t="b">
        <f t="shared" si="117"/>
        <v>0</v>
      </c>
    </row>
    <row r="818" spans="1:14">
      <c r="A818" s="29">
        <v>45378</v>
      </c>
      <c r="B818" s="30">
        <f t="shared" si="109"/>
        <v>3</v>
      </c>
      <c r="C818" s="30">
        <f t="shared" si="112"/>
        <v>27</v>
      </c>
      <c r="D818" s="26">
        <f>MATCH(WEEKDAY(A818),そのた定義!A:A,0)</f>
        <v>5</v>
      </c>
      <c r="E818" s="26" t="str">
        <f t="shared" ca="1" si="113"/>
        <v>水</v>
      </c>
      <c r="F818" s="26">
        <f t="shared" si="114"/>
        <v>0</v>
      </c>
      <c r="G818" s="26">
        <f>IF(ISNA(MATCH(A818,祝日定義!E:E,0)),0,1)</f>
        <v>0</v>
      </c>
      <c r="H818" s="26">
        <f>IF(ISNA(MATCH(B818&amp;"/"&amp;C818,そのた定義!E:E,0)), 0, 1)</f>
        <v>0</v>
      </c>
      <c r="I818" s="26" t="b">
        <f t="shared" si="115"/>
        <v>0</v>
      </c>
      <c r="J818" s="26">
        <v>0</v>
      </c>
      <c r="K818" s="26" t="b">
        <f t="shared" si="110"/>
        <v>0</v>
      </c>
      <c r="L818" s="26" t="b">
        <f t="shared" si="111"/>
        <v>0</v>
      </c>
      <c r="M818" t="b">
        <f t="shared" si="116"/>
        <v>0</v>
      </c>
      <c r="N818" t="b">
        <f t="shared" si="117"/>
        <v>0</v>
      </c>
    </row>
    <row r="819" spans="1:14">
      <c r="A819" s="29">
        <v>45379</v>
      </c>
      <c r="B819" s="30">
        <f t="shared" si="109"/>
        <v>3</v>
      </c>
      <c r="C819" s="30">
        <f t="shared" si="112"/>
        <v>28</v>
      </c>
      <c r="D819" s="26">
        <f>MATCH(WEEKDAY(A819),そのた定義!A:A,0)</f>
        <v>6</v>
      </c>
      <c r="E819" s="26" t="str">
        <f t="shared" ca="1" si="113"/>
        <v>木</v>
      </c>
      <c r="F819" s="26">
        <f t="shared" si="114"/>
        <v>0</v>
      </c>
      <c r="G819" s="26">
        <f>IF(ISNA(MATCH(A819,祝日定義!E:E,0)),0,1)</f>
        <v>0</v>
      </c>
      <c r="H819" s="26">
        <f>IF(ISNA(MATCH(B819&amp;"/"&amp;C819,そのた定義!E:E,0)), 0, 1)</f>
        <v>0</v>
      </c>
      <c r="I819" s="26" t="b">
        <f t="shared" si="115"/>
        <v>0</v>
      </c>
      <c r="J819" s="26">
        <v>0</v>
      </c>
      <c r="K819" s="26" t="b">
        <f t="shared" si="110"/>
        <v>0</v>
      </c>
      <c r="L819" s="26" t="b">
        <f t="shared" si="111"/>
        <v>0</v>
      </c>
      <c r="M819" t="b">
        <f t="shared" si="116"/>
        <v>0</v>
      </c>
      <c r="N819" t="b">
        <f t="shared" si="117"/>
        <v>0</v>
      </c>
    </row>
    <row r="820" spans="1:14">
      <c r="A820" s="29">
        <v>45380</v>
      </c>
      <c r="B820" s="30">
        <f t="shared" si="109"/>
        <v>3</v>
      </c>
      <c r="C820" s="30">
        <f t="shared" si="112"/>
        <v>29</v>
      </c>
      <c r="D820" s="26">
        <f>MATCH(WEEKDAY(A820),そのた定義!A:A,0)</f>
        <v>7</v>
      </c>
      <c r="E820" s="26" t="str">
        <f t="shared" ca="1" si="113"/>
        <v>金</v>
      </c>
      <c r="F820" s="26">
        <f t="shared" si="114"/>
        <v>0</v>
      </c>
      <c r="G820" s="26">
        <f>IF(ISNA(MATCH(A820,祝日定義!E:E,0)),0,1)</f>
        <v>0</v>
      </c>
      <c r="H820" s="26">
        <f>IF(ISNA(MATCH(B820&amp;"/"&amp;C820,そのた定義!E:E,0)), 0, 1)</f>
        <v>0</v>
      </c>
      <c r="I820" s="26" t="b">
        <f t="shared" si="115"/>
        <v>0</v>
      </c>
      <c r="J820" s="26">
        <v>0</v>
      </c>
      <c r="K820" s="26" t="b">
        <f t="shared" si="110"/>
        <v>0</v>
      </c>
      <c r="L820" s="26" t="b">
        <f t="shared" si="111"/>
        <v>0</v>
      </c>
      <c r="M820" t="b">
        <f t="shared" si="116"/>
        <v>0</v>
      </c>
      <c r="N820" t="b">
        <f t="shared" si="117"/>
        <v>0</v>
      </c>
    </row>
    <row r="821" spans="1:14">
      <c r="A821" s="29">
        <v>45381</v>
      </c>
      <c r="B821" s="30">
        <f t="shared" si="109"/>
        <v>3</v>
      </c>
      <c r="C821" s="30">
        <f t="shared" si="112"/>
        <v>30</v>
      </c>
      <c r="D821" s="26">
        <f>MATCH(WEEKDAY(A821),そのた定義!A:A,0)</f>
        <v>8</v>
      </c>
      <c r="E821" s="33" t="str">
        <f t="shared" ca="1" si="113"/>
        <v>土</v>
      </c>
      <c r="F821" s="26">
        <f t="shared" si="114"/>
        <v>1</v>
      </c>
      <c r="G821" s="26">
        <f>IF(ISNA(MATCH(A821,祝日定義!E:E,0)),0,1)</f>
        <v>0</v>
      </c>
      <c r="H821" s="26">
        <f>IF(ISNA(MATCH(B821&amp;"/"&amp;C821,そのた定義!E:E,0)), 0, 1)</f>
        <v>0</v>
      </c>
      <c r="I821" s="23" t="b">
        <f t="shared" si="115"/>
        <v>1</v>
      </c>
      <c r="J821" s="26">
        <v>0</v>
      </c>
      <c r="K821" s="26" t="b">
        <f t="shared" si="110"/>
        <v>0</v>
      </c>
      <c r="L821" s="26" t="b">
        <f t="shared" si="111"/>
        <v>0</v>
      </c>
      <c r="M821" t="b">
        <f t="shared" si="116"/>
        <v>0</v>
      </c>
      <c r="N821" t="b">
        <f t="shared" si="117"/>
        <v>0</v>
      </c>
    </row>
    <row r="822" spans="1:14">
      <c r="A822" s="29">
        <v>45382</v>
      </c>
      <c r="B822" s="30">
        <f t="shared" si="109"/>
        <v>3</v>
      </c>
      <c r="C822" s="30">
        <f t="shared" si="112"/>
        <v>31</v>
      </c>
      <c r="D822" s="26">
        <f>MATCH(WEEKDAY(A822),そのた定義!A:A,0)</f>
        <v>2</v>
      </c>
      <c r="E822" s="32" t="str">
        <f t="shared" ca="1" si="113"/>
        <v>日</v>
      </c>
      <c r="F822" s="26">
        <f t="shared" si="114"/>
        <v>1</v>
      </c>
      <c r="G822" s="26">
        <f>IF(ISNA(MATCH(A822,祝日定義!E:E,0)),0,1)</f>
        <v>0</v>
      </c>
      <c r="H822" s="26">
        <f>IF(ISNA(MATCH(B822&amp;"/"&amp;C822,そのた定義!E:E,0)), 0, 1)</f>
        <v>0</v>
      </c>
      <c r="I822" s="23" t="b">
        <f t="shared" si="115"/>
        <v>1</v>
      </c>
      <c r="J822" s="26">
        <v>0</v>
      </c>
      <c r="K822" s="26" t="b">
        <f t="shared" si="110"/>
        <v>0</v>
      </c>
      <c r="L822" s="26" t="b">
        <f t="shared" si="111"/>
        <v>0</v>
      </c>
      <c r="M822" t="b">
        <f t="shared" si="116"/>
        <v>0</v>
      </c>
      <c r="N822" t="b">
        <f t="shared" si="117"/>
        <v>1</v>
      </c>
    </row>
    <row r="823" spans="1:14">
      <c r="A823" s="29">
        <v>45383</v>
      </c>
      <c r="B823" s="30">
        <f t="shared" si="109"/>
        <v>4</v>
      </c>
      <c r="C823" s="30">
        <f t="shared" si="112"/>
        <v>1</v>
      </c>
      <c r="D823" s="26">
        <f>MATCH(WEEKDAY(A823),そのた定義!A:A,0)</f>
        <v>3</v>
      </c>
      <c r="E823" s="26" t="str">
        <f t="shared" ca="1" si="113"/>
        <v>月</v>
      </c>
      <c r="F823" s="26">
        <f t="shared" si="114"/>
        <v>0</v>
      </c>
      <c r="G823" s="26">
        <f>IF(ISNA(MATCH(A823,祝日定義!E:E,0)),0,1)</f>
        <v>0</v>
      </c>
      <c r="H823" s="26">
        <f>IF(ISNA(MATCH(B823&amp;"/"&amp;C823,そのた定義!E:E,0)), 0, 1)</f>
        <v>0</v>
      </c>
      <c r="I823" s="26" t="b">
        <f t="shared" si="115"/>
        <v>0</v>
      </c>
      <c r="J823" s="26">
        <v>2</v>
      </c>
      <c r="K823" s="26" t="b">
        <f t="shared" si="110"/>
        <v>0</v>
      </c>
      <c r="L823" s="26" t="b">
        <f t="shared" si="111"/>
        <v>0</v>
      </c>
      <c r="M823" t="b">
        <f t="shared" si="116"/>
        <v>1</v>
      </c>
      <c r="N823" t="b">
        <f t="shared" si="117"/>
        <v>0</v>
      </c>
    </row>
    <row r="824" spans="1:14">
      <c r="A824" s="29">
        <v>45384</v>
      </c>
      <c r="B824" s="30">
        <f t="shared" si="109"/>
        <v>4</v>
      </c>
      <c r="C824" s="30">
        <f t="shared" si="112"/>
        <v>2</v>
      </c>
      <c r="D824" s="26">
        <f>MATCH(WEEKDAY(A824),そのた定義!A:A,0)</f>
        <v>4</v>
      </c>
      <c r="E824" s="26" t="str">
        <f t="shared" ca="1" si="113"/>
        <v>火</v>
      </c>
      <c r="F824" s="26">
        <f t="shared" si="114"/>
        <v>0</v>
      </c>
      <c r="G824" s="26">
        <f>IF(ISNA(MATCH(A824,祝日定義!E:E,0)),0,1)</f>
        <v>0</v>
      </c>
      <c r="H824" s="26">
        <f>IF(ISNA(MATCH(B824&amp;"/"&amp;C824,そのた定義!E:E,0)), 0, 1)</f>
        <v>0</v>
      </c>
      <c r="I824" s="26" t="b">
        <f t="shared" si="115"/>
        <v>0</v>
      </c>
      <c r="J824" s="26">
        <v>0</v>
      </c>
      <c r="K824" s="26" t="b">
        <f t="shared" si="110"/>
        <v>0</v>
      </c>
      <c r="L824" s="26" t="b">
        <f t="shared" si="111"/>
        <v>0</v>
      </c>
      <c r="M824" t="b">
        <f t="shared" si="116"/>
        <v>0</v>
      </c>
      <c r="N824" t="b">
        <f t="shared" si="117"/>
        <v>0</v>
      </c>
    </row>
    <row r="825" spans="1:14">
      <c r="A825" s="29">
        <v>45385</v>
      </c>
      <c r="B825" s="30">
        <f t="shared" si="109"/>
        <v>4</v>
      </c>
      <c r="C825" s="30">
        <f t="shared" si="112"/>
        <v>3</v>
      </c>
      <c r="D825" s="26">
        <f>MATCH(WEEKDAY(A825),そのた定義!A:A,0)</f>
        <v>5</v>
      </c>
      <c r="E825" s="26" t="str">
        <f t="shared" ca="1" si="113"/>
        <v>水</v>
      </c>
      <c r="F825" s="26">
        <f t="shared" si="114"/>
        <v>0</v>
      </c>
      <c r="G825" s="26">
        <f>IF(ISNA(MATCH(A825,祝日定義!E:E,0)),0,1)</f>
        <v>0</v>
      </c>
      <c r="H825" s="26">
        <f>IF(ISNA(MATCH(B825&amp;"/"&amp;C825,そのた定義!E:E,0)), 0, 1)</f>
        <v>0</v>
      </c>
      <c r="I825" s="26" t="b">
        <f t="shared" si="115"/>
        <v>0</v>
      </c>
      <c r="J825" s="26">
        <v>0</v>
      </c>
      <c r="K825" s="26" t="b">
        <f t="shared" si="110"/>
        <v>0</v>
      </c>
      <c r="L825" s="26" t="b">
        <f t="shared" si="111"/>
        <v>0</v>
      </c>
      <c r="M825" t="b">
        <f t="shared" si="116"/>
        <v>0</v>
      </c>
      <c r="N825" t="b">
        <f t="shared" si="117"/>
        <v>0</v>
      </c>
    </row>
    <row r="826" spans="1:14">
      <c r="A826" s="29">
        <v>45386</v>
      </c>
      <c r="B826" s="30">
        <f t="shared" si="109"/>
        <v>4</v>
      </c>
      <c r="C826" s="30">
        <f t="shared" si="112"/>
        <v>4</v>
      </c>
      <c r="D826" s="26">
        <f>MATCH(WEEKDAY(A826),そのた定義!A:A,0)</f>
        <v>6</v>
      </c>
      <c r="E826" s="26" t="str">
        <f t="shared" ca="1" si="113"/>
        <v>木</v>
      </c>
      <c r="F826" s="26">
        <f t="shared" si="114"/>
        <v>0</v>
      </c>
      <c r="G826" s="26">
        <f>IF(ISNA(MATCH(A826,祝日定義!E:E,0)),0,1)</f>
        <v>0</v>
      </c>
      <c r="H826" s="26">
        <f>IF(ISNA(MATCH(B826&amp;"/"&amp;C826,そのた定義!E:E,0)), 0, 1)</f>
        <v>0</v>
      </c>
      <c r="I826" s="26" t="b">
        <f t="shared" si="115"/>
        <v>0</v>
      </c>
      <c r="J826" s="26">
        <v>0</v>
      </c>
      <c r="K826" s="26" t="b">
        <f t="shared" si="110"/>
        <v>0</v>
      </c>
      <c r="L826" s="26" t="b">
        <f t="shared" si="111"/>
        <v>0</v>
      </c>
      <c r="M826" t="b">
        <f t="shared" si="116"/>
        <v>0</v>
      </c>
      <c r="N826" t="b">
        <f t="shared" si="117"/>
        <v>0</v>
      </c>
    </row>
    <row r="827" spans="1:14">
      <c r="A827" s="29">
        <v>45387</v>
      </c>
      <c r="B827" s="30">
        <f t="shared" si="109"/>
        <v>4</v>
      </c>
      <c r="C827" s="30">
        <f t="shared" si="112"/>
        <v>5</v>
      </c>
      <c r="D827" s="26">
        <f>MATCH(WEEKDAY(A827),そのた定義!A:A,0)</f>
        <v>7</v>
      </c>
      <c r="E827" s="26" t="str">
        <f t="shared" ca="1" si="113"/>
        <v>金</v>
      </c>
      <c r="F827" s="26">
        <f t="shared" si="114"/>
        <v>0</v>
      </c>
      <c r="G827" s="26">
        <f>IF(ISNA(MATCH(A827,祝日定義!E:E,0)),0,1)</f>
        <v>0</v>
      </c>
      <c r="H827" s="26">
        <f>IF(ISNA(MATCH(B827&amp;"/"&amp;C827,そのた定義!E:E,0)), 0, 1)</f>
        <v>0</v>
      </c>
      <c r="I827" s="26" t="b">
        <f t="shared" si="115"/>
        <v>0</v>
      </c>
      <c r="J827" s="26">
        <v>0</v>
      </c>
      <c r="K827" s="26" t="b">
        <f t="shared" si="110"/>
        <v>0</v>
      </c>
      <c r="L827" s="26" t="b">
        <f t="shared" si="111"/>
        <v>0</v>
      </c>
      <c r="M827" t="b">
        <f t="shared" si="116"/>
        <v>0</v>
      </c>
      <c r="N827" t="b">
        <f t="shared" si="117"/>
        <v>0</v>
      </c>
    </row>
    <row r="828" spans="1:14">
      <c r="A828" s="29">
        <v>45388</v>
      </c>
      <c r="B828" s="30">
        <f t="shared" si="109"/>
        <v>4</v>
      </c>
      <c r="C828" s="30">
        <f t="shared" si="112"/>
        <v>6</v>
      </c>
      <c r="D828" s="26">
        <f>MATCH(WEEKDAY(A828),そのた定義!A:A,0)</f>
        <v>8</v>
      </c>
      <c r="E828" s="33" t="str">
        <f t="shared" ca="1" si="113"/>
        <v>土</v>
      </c>
      <c r="F828" s="26">
        <f t="shared" si="114"/>
        <v>1</v>
      </c>
      <c r="G828" s="26">
        <f>IF(ISNA(MATCH(A828,祝日定義!E:E,0)),0,1)</f>
        <v>0</v>
      </c>
      <c r="H828" s="26">
        <f>IF(ISNA(MATCH(B828&amp;"/"&amp;C828,そのた定義!E:E,0)), 0, 1)</f>
        <v>0</v>
      </c>
      <c r="I828" s="23" t="b">
        <f t="shared" si="115"/>
        <v>1</v>
      </c>
      <c r="J828" s="26">
        <v>0</v>
      </c>
      <c r="K828" s="26" t="b">
        <f t="shared" si="110"/>
        <v>0</v>
      </c>
      <c r="L828" s="26" t="b">
        <f t="shared" si="111"/>
        <v>0</v>
      </c>
      <c r="M828" t="b">
        <f t="shared" si="116"/>
        <v>0</v>
      </c>
      <c r="N828" t="b">
        <f t="shared" si="117"/>
        <v>0</v>
      </c>
    </row>
    <row r="829" spans="1:14">
      <c r="A829" s="29">
        <v>45389</v>
      </c>
      <c r="B829" s="30">
        <f t="shared" si="109"/>
        <v>4</v>
      </c>
      <c r="C829" s="30">
        <f t="shared" si="112"/>
        <v>7</v>
      </c>
      <c r="D829" s="26">
        <f>MATCH(WEEKDAY(A829),そのた定義!A:A,0)</f>
        <v>2</v>
      </c>
      <c r="E829" s="32" t="str">
        <f t="shared" ca="1" si="113"/>
        <v>日</v>
      </c>
      <c r="F829" s="26">
        <f t="shared" si="114"/>
        <v>1</v>
      </c>
      <c r="G829" s="26">
        <f>IF(ISNA(MATCH(A829,祝日定義!E:E,0)),0,1)</f>
        <v>0</v>
      </c>
      <c r="H829" s="26">
        <f>IF(ISNA(MATCH(B829&amp;"/"&amp;C829,そのた定義!E:E,0)), 0, 1)</f>
        <v>0</v>
      </c>
      <c r="I829" s="23" t="b">
        <f t="shared" si="115"/>
        <v>1</v>
      </c>
      <c r="J829" s="26">
        <v>0</v>
      </c>
      <c r="K829" s="26" t="b">
        <f t="shared" si="110"/>
        <v>0</v>
      </c>
      <c r="L829" s="26" t="b">
        <f t="shared" si="111"/>
        <v>0</v>
      </c>
      <c r="M829" t="b">
        <f t="shared" si="116"/>
        <v>0</v>
      </c>
      <c r="N829" t="b">
        <f t="shared" si="117"/>
        <v>0</v>
      </c>
    </row>
    <row r="830" spans="1:14">
      <c r="A830" s="29">
        <v>45390</v>
      </c>
      <c r="B830" s="30">
        <f t="shared" si="109"/>
        <v>4</v>
      </c>
      <c r="C830" s="30">
        <f t="shared" si="112"/>
        <v>8</v>
      </c>
      <c r="D830" s="26">
        <f>MATCH(WEEKDAY(A830),そのた定義!A:A,0)</f>
        <v>3</v>
      </c>
      <c r="E830" s="26" t="str">
        <f t="shared" ca="1" si="113"/>
        <v>月</v>
      </c>
      <c r="F830" s="26">
        <f t="shared" si="114"/>
        <v>0</v>
      </c>
      <c r="G830" s="26">
        <f>IF(ISNA(MATCH(A830,祝日定義!E:E,0)),0,1)</f>
        <v>0</v>
      </c>
      <c r="H830" s="26">
        <f>IF(ISNA(MATCH(B830&amp;"/"&amp;C830,そのた定義!E:E,0)), 0, 1)</f>
        <v>0</v>
      </c>
      <c r="I830" s="26" t="b">
        <f t="shared" si="115"/>
        <v>0</v>
      </c>
      <c r="J830" s="26">
        <v>2</v>
      </c>
      <c r="K830" s="26" t="b">
        <f t="shared" si="110"/>
        <v>0</v>
      </c>
      <c r="L830" s="26" t="b">
        <f t="shared" si="111"/>
        <v>0</v>
      </c>
      <c r="M830" t="b">
        <f t="shared" si="116"/>
        <v>0</v>
      </c>
      <c r="N830" t="b">
        <f t="shared" si="117"/>
        <v>0</v>
      </c>
    </row>
    <row r="831" spans="1:14">
      <c r="A831" s="29">
        <v>45391</v>
      </c>
      <c r="B831" s="30">
        <f t="shared" si="109"/>
        <v>4</v>
      </c>
      <c r="C831" s="30">
        <f t="shared" si="112"/>
        <v>9</v>
      </c>
      <c r="D831" s="26">
        <f>MATCH(WEEKDAY(A831),そのた定義!A:A,0)</f>
        <v>4</v>
      </c>
      <c r="E831" s="26" t="str">
        <f t="shared" ca="1" si="113"/>
        <v>火</v>
      </c>
      <c r="F831" s="26">
        <f t="shared" si="114"/>
        <v>0</v>
      </c>
      <c r="G831" s="26">
        <f>IF(ISNA(MATCH(A831,祝日定義!E:E,0)),0,1)</f>
        <v>0</v>
      </c>
      <c r="H831" s="26">
        <f>IF(ISNA(MATCH(B831&amp;"/"&amp;C831,そのた定義!E:E,0)), 0, 1)</f>
        <v>0</v>
      </c>
      <c r="I831" s="26" t="b">
        <f t="shared" si="115"/>
        <v>0</v>
      </c>
      <c r="J831" s="26">
        <v>0</v>
      </c>
      <c r="K831" s="26" t="b">
        <f t="shared" si="110"/>
        <v>0</v>
      </c>
      <c r="L831" s="26" t="b">
        <f t="shared" si="111"/>
        <v>0</v>
      </c>
      <c r="M831" t="b">
        <f t="shared" si="116"/>
        <v>0</v>
      </c>
      <c r="N831" t="b">
        <f t="shared" si="117"/>
        <v>0</v>
      </c>
    </row>
    <row r="832" spans="1:14">
      <c r="A832" s="29">
        <v>45392</v>
      </c>
      <c r="B832" s="30">
        <f t="shared" si="109"/>
        <v>4</v>
      </c>
      <c r="C832" s="30">
        <f t="shared" si="112"/>
        <v>10</v>
      </c>
      <c r="D832" s="26">
        <f>MATCH(WEEKDAY(A832),そのた定義!A:A,0)</f>
        <v>5</v>
      </c>
      <c r="E832" s="26" t="str">
        <f t="shared" ca="1" si="113"/>
        <v>水</v>
      </c>
      <c r="F832" s="26">
        <f t="shared" si="114"/>
        <v>0</v>
      </c>
      <c r="G832" s="26">
        <f>IF(ISNA(MATCH(A832,祝日定義!E:E,0)),0,1)</f>
        <v>0</v>
      </c>
      <c r="H832" s="26">
        <f>IF(ISNA(MATCH(B832&amp;"/"&amp;C832,そのた定義!E:E,0)), 0, 1)</f>
        <v>0</v>
      </c>
      <c r="I832" s="26" t="b">
        <f t="shared" si="115"/>
        <v>0</v>
      </c>
      <c r="J832" s="26">
        <v>0</v>
      </c>
      <c r="K832" s="26" t="b">
        <f t="shared" si="110"/>
        <v>0</v>
      </c>
      <c r="L832" s="26" t="b">
        <f t="shared" si="111"/>
        <v>0</v>
      </c>
      <c r="M832" t="b">
        <f t="shared" si="116"/>
        <v>0</v>
      </c>
      <c r="N832" t="b">
        <f t="shared" si="117"/>
        <v>0</v>
      </c>
    </row>
    <row r="833" spans="1:14">
      <c r="A833" s="29">
        <v>45393</v>
      </c>
      <c r="B833" s="30">
        <f t="shared" si="109"/>
        <v>4</v>
      </c>
      <c r="C833" s="30">
        <f t="shared" si="112"/>
        <v>11</v>
      </c>
      <c r="D833" s="26">
        <f>MATCH(WEEKDAY(A833),そのた定義!A:A,0)</f>
        <v>6</v>
      </c>
      <c r="E833" s="26" t="str">
        <f t="shared" ca="1" si="113"/>
        <v>木</v>
      </c>
      <c r="F833" s="26">
        <f t="shared" si="114"/>
        <v>0</v>
      </c>
      <c r="G833" s="26">
        <f>IF(ISNA(MATCH(A833,祝日定義!E:E,0)),0,1)</f>
        <v>0</v>
      </c>
      <c r="H833" s="26">
        <f>IF(ISNA(MATCH(B833&amp;"/"&amp;C833,そのた定義!E:E,0)), 0, 1)</f>
        <v>0</v>
      </c>
      <c r="I833" s="26" t="b">
        <f t="shared" si="115"/>
        <v>0</v>
      </c>
      <c r="J833" s="26">
        <v>0</v>
      </c>
      <c r="K833" s="26" t="b">
        <f t="shared" si="110"/>
        <v>0</v>
      </c>
      <c r="L833" s="26" t="b">
        <f t="shared" si="111"/>
        <v>0</v>
      </c>
      <c r="M833" t="b">
        <f t="shared" si="116"/>
        <v>0</v>
      </c>
      <c r="N833" t="b">
        <f t="shared" si="117"/>
        <v>0</v>
      </c>
    </row>
    <row r="834" spans="1:14">
      <c r="A834" s="29">
        <v>45394</v>
      </c>
      <c r="B834" s="30">
        <f t="shared" ref="B834:B897" si="118">MONTH(A834)</f>
        <v>4</v>
      </c>
      <c r="C834" s="30">
        <f t="shared" si="112"/>
        <v>12</v>
      </c>
      <c r="D834" s="26">
        <f>MATCH(WEEKDAY(A834),そのた定義!A:A,0)</f>
        <v>7</v>
      </c>
      <c r="E834" s="26" t="str">
        <f t="shared" ca="1" si="113"/>
        <v>金</v>
      </c>
      <c r="F834" s="26">
        <f t="shared" si="114"/>
        <v>0</v>
      </c>
      <c r="G834" s="26">
        <f>IF(ISNA(MATCH(A834,祝日定義!E:E,0)),0,1)</f>
        <v>0</v>
      </c>
      <c r="H834" s="26">
        <f>IF(ISNA(MATCH(B834&amp;"/"&amp;C834,そのた定義!E:E,0)), 0, 1)</f>
        <v>0</v>
      </c>
      <c r="I834" s="26" t="b">
        <f t="shared" si="115"/>
        <v>0</v>
      </c>
      <c r="J834" s="26">
        <v>0</v>
      </c>
      <c r="K834" s="26" t="b">
        <f t="shared" ref="K834:K897" si="119">AND(C834&gt;25,DAY(A834-J834)&lt;=25)</f>
        <v>0</v>
      </c>
      <c r="L834" s="26" t="b">
        <f t="shared" ref="L834:L897" si="120">C834=25</f>
        <v>0</v>
      </c>
      <c r="M834" t="b">
        <f t="shared" si="116"/>
        <v>0</v>
      </c>
      <c r="N834" t="b">
        <f t="shared" si="117"/>
        <v>0</v>
      </c>
    </row>
    <row r="835" spans="1:14">
      <c r="A835" s="29">
        <v>45395</v>
      </c>
      <c r="B835" s="30">
        <f t="shared" si="118"/>
        <v>4</v>
      </c>
      <c r="C835" s="30">
        <f t="shared" ref="C835:C898" si="121">DAY(A835)</f>
        <v>13</v>
      </c>
      <c r="D835" s="26">
        <f>MATCH(WEEKDAY(A835),そのた定義!A:A,0)</f>
        <v>8</v>
      </c>
      <c r="E835" s="33" t="str">
        <f t="shared" ref="E835:E898" ca="1" si="122">INDIRECT("そのた定義!"&amp;"B"&amp;D835)</f>
        <v>土</v>
      </c>
      <c r="F835" s="26">
        <f t="shared" ref="F835:F898" si="123">IF(OR(D835=8,D835=2),1,0)</f>
        <v>1</v>
      </c>
      <c r="G835" s="26">
        <f>IF(ISNA(MATCH(A835,祝日定義!E:E,0)),0,1)</f>
        <v>0</v>
      </c>
      <c r="H835" s="26">
        <f>IF(ISNA(MATCH(B835&amp;"/"&amp;C835,そのた定義!E:E,0)), 0, 1)</f>
        <v>0</v>
      </c>
      <c r="I835" s="23" t="b">
        <f t="shared" ref="I835:I898" si="124">SUM(F835:H835)&gt;0</f>
        <v>1</v>
      </c>
      <c r="J835" s="26">
        <v>0</v>
      </c>
      <c r="K835" s="26" t="b">
        <f t="shared" si="119"/>
        <v>0</v>
      </c>
      <c r="L835" s="26" t="b">
        <f t="shared" si="120"/>
        <v>0</v>
      </c>
      <c r="M835" t="b">
        <f t="shared" ref="M835:M898" si="125">B835&lt;&gt;MONTH(A835-J835)</f>
        <v>0</v>
      </c>
      <c r="N835" t="b">
        <f t="shared" ref="N835:N898" si="126">B835&lt;&gt;MONTH(A835+1)</f>
        <v>0</v>
      </c>
    </row>
    <row r="836" spans="1:14">
      <c r="A836" s="29">
        <v>45396</v>
      </c>
      <c r="B836" s="30">
        <f t="shared" si="118"/>
        <v>4</v>
      </c>
      <c r="C836" s="30">
        <f t="shared" si="121"/>
        <v>14</v>
      </c>
      <c r="D836" s="26">
        <f>MATCH(WEEKDAY(A836),そのた定義!A:A,0)</f>
        <v>2</v>
      </c>
      <c r="E836" s="32" t="str">
        <f t="shared" ca="1" si="122"/>
        <v>日</v>
      </c>
      <c r="F836" s="26">
        <f t="shared" si="123"/>
        <v>1</v>
      </c>
      <c r="G836" s="26">
        <f>IF(ISNA(MATCH(A836,祝日定義!E:E,0)),0,1)</f>
        <v>0</v>
      </c>
      <c r="H836" s="26">
        <f>IF(ISNA(MATCH(B836&amp;"/"&amp;C836,そのた定義!E:E,0)), 0, 1)</f>
        <v>0</v>
      </c>
      <c r="I836" s="23" t="b">
        <f t="shared" si="124"/>
        <v>1</v>
      </c>
      <c r="J836" s="26">
        <v>0</v>
      </c>
      <c r="K836" s="26" t="b">
        <f t="shared" si="119"/>
        <v>0</v>
      </c>
      <c r="L836" s="26" t="b">
        <f t="shared" si="120"/>
        <v>0</v>
      </c>
      <c r="M836" t="b">
        <f t="shared" si="125"/>
        <v>0</v>
      </c>
      <c r="N836" t="b">
        <f t="shared" si="126"/>
        <v>0</v>
      </c>
    </row>
    <row r="837" spans="1:14">
      <c r="A837" s="29">
        <v>45397</v>
      </c>
      <c r="B837" s="30">
        <f t="shared" si="118"/>
        <v>4</v>
      </c>
      <c r="C837" s="30">
        <f t="shared" si="121"/>
        <v>15</v>
      </c>
      <c r="D837" s="26">
        <f>MATCH(WEEKDAY(A837),そのた定義!A:A,0)</f>
        <v>3</v>
      </c>
      <c r="E837" s="26" t="str">
        <f t="shared" ca="1" si="122"/>
        <v>月</v>
      </c>
      <c r="F837" s="26">
        <f t="shared" si="123"/>
        <v>0</v>
      </c>
      <c r="G837" s="26">
        <f>IF(ISNA(MATCH(A837,祝日定義!E:E,0)),0,1)</f>
        <v>0</v>
      </c>
      <c r="H837" s="26">
        <f>IF(ISNA(MATCH(B837&amp;"/"&amp;C837,そのた定義!E:E,0)), 0, 1)</f>
        <v>0</v>
      </c>
      <c r="I837" s="26" t="b">
        <f t="shared" si="124"/>
        <v>0</v>
      </c>
      <c r="J837" s="26">
        <v>2</v>
      </c>
      <c r="K837" s="26" t="b">
        <f t="shared" si="119"/>
        <v>0</v>
      </c>
      <c r="L837" s="26" t="b">
        <f t="shared" si="120"/>
        <v>0</v>
      </c>
      <c r="M837" t="b">
        <f t="shared" si="125"/>
        <v>0</v>
      </c>
      <c r="N837" t="b">
        <f t="shared" si="126"/>
        <v>0</v>
      </c>
    </row>
    <row r="838" spans="1:14">
      <c r="A838" s="29">
        <v>45398</v>
      </c>
      <c r="B838" s="30">
        <f t="shared" si="118"/>
        <v>4</v>
      </c>
      <c r="C838" s="30">
        <f t="shared" si="121"/>
        <v>16</v>
      </c>
      <c r="D838" s="26">
        <f>MATCH(WEEKDAY(A838),そのた定義!A:A,0)</f>
        <v>4</v>
      </c>
      <c r="E838" s="26" t="str">
        <f t="shared" ca="1" si="122"/>
        <v>火</v>
      </c>
      <c r="F838" s="26">
        <f t="shared" si="123"/>
        <v>0</v>
      </c>
      <c r="G838" s="26">
        <f>IF(ISNA(MATCH(A838,祝日定義!E:E,0)),0,1)</f>
        <v>0</v>
      </c>
      <c r="H838" s="26">
        <f>IF(ISNA(MATCH(B838&amp;"/"&amp;C838,そのた定義!E:E,0)), 0, 1)</f>
        <v>0</v>
      </c>
      <c r="I838" s="26" t="b">
        <f t="shared" si="124"/>
        <v>0</v>
      </c>
      <c r="J838" s="26">
        <v>0</v>
      </c>
      <c r="K838" s="26" t="b">
        <f t="shared" si="119"/>
        <v>0</v>
      </c>
      <c r="L838" s="26" t="b">
        <f t="shared" si="120"/>
        <v>0</v>
      </c>
      <c r="M838" t="b">
        <f t="shared" si="125"/>
        <v>0</v>
      </c>
      <c r="N838" t="b">
        <f t="shared" si="126"/>
        <v>0</v>
      </c>
    </row>
    <row r="839" spans="1:14">
      <c r="A839" s="29">
        <v>45399</v>
      </c>
      <c r="B839" s="30">
        <f t="shared" si="118"/>
        <v>4</v>
      </c>
      <c r="C839" s="30">
        <f t="shared" si="121"/>
        <v>17</v>
      </c>
      <c r="D839" s="26">
        <f>MATCH(WEEKDAY(A839),そのた定義!A:A,0)</f>
        <v>5</v>
      </c>
      <c r="E839" s="26" t="str">
        <f t="shared" ca="1" si="122"/>
        <v>水</v>
      </c>
      <c r="F839" s="26">
        <f t="shared" si="123"/>
        <v>0</v>
      </c>
      <c r="G839" s="26">
        <f>IF(ISNA(MATCH(A839,祝日定義!E:E,0)),0,1)</f>
        <v>0</v>
      </c>
      <c r="H839" s="26">
        <f>IF(ISNA(MATCH(B839&amp;"/"&amp;C839,そのた定義!E:E,0)), 0, 1)</f>
        <v>0</v>
      </c>
      <c r="I839" s="26" t="b">
        <f t="shared" si="124"/>
        <v>0</v>
      </c>
      <c r="J839" s="26">
        <v>0</v>
      </c>
      <c r="K839" s="26" t="b">
        <f t="shared" si="119"/>
        <v>0</v>
      </c>
      <c r="L839" s="26" t="b">
        <f t="shared" si="120"/>
        <v>0</v>
      </c>
      <c r="M839" t="b">
        <f t="shared" si="125"/>
        <v>0</v>
      </c>
      <c r="N839" t="b">
        <f t="shared" si="126"/>
        <v>0</v>
      </c>
    </row>
    <row r="840" spans="1:14">
      <c r="A840" s="29">
        <v>45400</v>
      </c>
      <c r="B840" s="30">
        <f t="shared" si="118"/>
        <v>4</v>
      </c>
      <c r="C840" s="30">
        <f t="shared" si="121"/>
        <v>18</v>
      </c>
      <c r="D840" s="26">
        <f>MATCH(WEEKDAY(A840),そのた定義!A:A,0)</f>
        <v>6</v>
      </c>
      <c r="E840" s="26" t="str">
        <f t="shared" ca="1" si="122"/>
        <v>木</v>
      </c>
      <c r="F840" s="26">
        <f t="shared" si="123"/>
        <v>0</v>
      </c>
      <c r="G840" s="26">
        <f>IF(ISNA(MATCH(A840,祝日定義!E:E,0)),0,1)</f>
        <v>0</v>
      </c>
      <c r="H840" s="26">
        <f>IF(ISNA(MATCH(B840&amp;"/"&amp;C840,そのた定義!E:E,0)), 0, 1)</f>
        <v>0</v>
      </c>
      <c r="I840" s="26" t="b">
        <f t="shared" si="124"/>
        <v>0</v>
      </c>
      <c r="J840" s="26">
        <v>0</v>
      </c>
      <c r="K840" s="26" t="b">
        <f t="shared" si="119"/>
        <v>0</v>
      </c>
      <c r="L840" s="26" t="b">
        <f t="shared" si="120"/>
        <v>0</v>
      </c>
      <c r="M840" t="b">
        <f t="shared" si="125"/>
        <v>0</v>
      </c>
      <c r="N840" t="b">
        <f t="shared" si="126"/>
        <v>0</v>
      </c>
    </row>
    <row r="841" spans="1:14">
      <c r="A841" s="29">
        <v>45401</v>
      </c>
      <c r="B841" s="30">
        <f t="shared" si="118"/>
        <v>4</v>
      </c>
      <c r="C841" s="30">
        <f t="shared" si="121"/>
        <v>19</v>
      </c>
      <c r="D841" s="26">
        <f>MATCH(WEEKDAY(A841),そのた定義!A:A,0)</f>
        <v>7</v>
      </c>
      <c r="E841" s="26" t="str">
        <f t="shared" ca="1" si="122"/>
        <v>金</v>
      </c>
      <c r="F841" s="26">
        <f t="shared" si="123"/>
        <v>0</v>
      </c>
      <c r="G841" s="26">
        <f>IF(ISNA(MATCH(A841,祝日定義!E:E,0)),0,1)</f>
        <v>0</v>
      </c>
      <c r="H841" s="26">
        <f>IF(ISNA(MATCH(B841&amp;"/"&amp;C841,そのた定義!E:E,0)), 0, 1)</f>
        <v>0</v>
      </c>
      <c r="I841" s="26" t="b">
        <f t="shared" si="124"/>
        <v>0</v>
      </c>
      <c r="J841" s="26">
        <v>0</v>
      </c>
      <c r="K841" s="26" t="b">
        <f t="shared" si="119"/>
        <v>0</v>
      </c>
      <c r="L841" s="26" t="b">
        <f t="shared" si="120"/>
        <v>0</v>
      </c>
      <c r="M841" t="b">
        <f t="shared" si="125"/>
        <v>0</v>
      </c>
      <c r="N841" t="b">
        <f t="shared" si="126"/>
        <v>0</v>
      </c>
    </row>
    <row r="842" spans="1:14">
      <c r="A842" s="29">
        <v>45402</v>
      </c>
      <c r="B842" s="30">
        <f t="shared" si="118"/>
        <v>4</v>
      </c>
      <c r="C842" s="30">
        <f t="shared" si="121"/>
        <v>20</v>
      </c>
      <c r="D842" s="26">
        <f>MATCH(WEEKDAY(A842),そのた定義!A:A,0)</f>
        <v>8</v>
      </c>
      <c r="E842" s="33" t="str">
        <f t="shared" ca="1" si="122"/>
        <v>土</v>
      </c>
      <c r="F842" s="26">
        <f t="shared" si="123"/>
        <v>1</v>
      </c>
      <c r="G842" s="26">
        <f>IF(ISNA(MATCH(A842,祝日定義!E:E,0)),0,1)</f>
        <v>0</v>
      </c>
      <c r="H842" s="26">
        <f>IF(ISNA(MATCH(B842&amp;"/"&amp;C842,そのた定義!E:E,0)), 0, 1)</f>
        <v>0</v>
      </c>
      <c r="I842" s="23" t="b">
        <f t="shared" si="124"/>
        <v>1</v>
      </c>
      <c r="J842" s="26">
        <v>0</v>
      </c>
      <c r="K842" s="26" t="b">
        <f t="shared" si="119"/>
        <v>0</v>
      </c>
      <c r="L842" s="26" t="b">
        <f t="shared" si="120"/>
        <v>0</v>
      </c>
      <c r="M842" t="b">
        <f t="shared" si="125"/>
        <v>0</v>
      </c>
      <c r="N842" t="b">
        <f t="shared" si="126"/>
        <v>0</v>
      </c>
    </row>
    <row r="843" spans="1:14">
      <c r="A843" s="29">
        <v>45403</v>
      </c>
      <c r="B843" s="30">
        <f t="shared" si="118"/>
        <v>4</v>
      </c>
      <c r="C843" s="30">
        <f t="shared" si="121"/>
        <v>21</v>
      </c>
      <c r="D843" s="26">
        <f>MATCH(WEEKDAY(A843),そのた定義!A:A,0)</f>
        <v>2</v>
      </c>
      <c r="E843" s="32" t="str">
        <f t="shared" ca="1" si="122"/>
        <v>日</v>
      </c>
      <c r="F843" s="26">
        <f t="shared" si="123"/>
        <v>1</v>
      </c>
      <c r="G843" s="26">
        <f>IF(ISNA(MATCH(A843,祝日定義!E:E,0)),0,1)</f>
        <v>0</v>
      </c>
      <c r="H843" s="26">
        <f>IF(ISNA(MATCH(B843&amp;"/"&amp;C843,そのた定義!E:E,0)), 0, 1)</f>
        <v>0</v>
      </c>
      <c r="I843" s="23" t="b">
        <f t="shared" si="124"/>
        <v>1</v>
      </c>
      <c r="J843" s="26">
        <v>0</v>
      </c>
      <c r="K843" s="26" t="b">
        <f t="shared" si="119"/>
        <v>0</v>
      </c>
      <c r="L843" s="26" t="b">
        <f t="shared" si="120"/>
        <v>0</v>
      </c>
      <c r="M843" t="b">
        <f t="shared" si="125"/>
        <v>0</v>
      </c>
      <c r="N843" t="b">
        <f t="shared" si="126"/>
        <v>0</v>
      </c>
    </row>
    <row r="844" spans="1:14">
      <c r="A844" s="29">
        <v>45404</v>
      </c>
      <c r="B844" s="30">
        <f t="shared" si="118"/>
        <v>4</v>
      </c>
      <c r="C844" s="30">
        <f t="shared" si="121"/>
        <v>22</v>
      </c>
      <c r="D844" s="26">
        <f>MATCH(WEEKDAY(A844),そのた定義!A:A,0)</f>
        <v>3</v>
      </c>
      <c r="E844" s="26" t="str">
        <f t="shared" ca="1" si="122"/>
        <v>月</v>
      </c>
      <c r="F844" s="26">
        <f t="shared" si="123"/>
        <v>0</v>
      </c>
      <c r="G844" s="26">
        <f>IF(ISNA(MATCH(A844,祝日定義!E:E,0)),0,1)</f>
        <v>0</v>
      </c>
      <c r="H844" s="26">
        <f>IF(ISNA(MATCH(B844&amp;"/"&amp;C844,そのた定義!E:E,0)), 0, 1)</f>
        <v>0</v>
      </c>
      <c r="I844" s="26" t="b">
        <f t="shared" si="124"/>
        <v>0</v>
      </c>
      <c r="J844" s="26">
        <v>2</v>
      </c>
      <c r="K844" s="26" t="b">
        <f t="shared" si="119"/>
        <v>0</v>
      </c>
      <c r="L844" s="26" t="b">
        <f t="shared" si="120"/>
        <v>0</v>
      </c>
      <c r="M844" t="b">
        <f t="shared" si="125"/>
        <v>0</v>
      </c>
      <c r="N844" t="b">
        <f t="shared" si="126"/>
        <v>0</v>
      </c>
    </row>
    <row r="845" spans="1:14">
      <c r="A845" s="29">
        <v>45405</v>
      </c>
      <c r="B845" s="30">
        <f t="shared" si="118"/>
        <v>4</v>
      </c>
      <c r="C845" s="30">
        <f t="shared" si="121"/>
        <v>23</v>
      </c>
      <c r="D845" s="26">
        <f>MATCH(WEEKDAY(A845),そのた定義!A:A,0)</f>
        <v>4</v>
      </c>
      <c r="E845" s="26" t="str">
        <f t="shared" ca="1" si="122"/>
        <v>火</v>
      </c>
      <c r="F845" s="26">
        <f t="shared" si="123"/>
        <v>0</v>
      </c>
      <c r="G845" s="26">
        <f>IF(ISNA(MATCH(A845,祝日定義!E:E,0)),0,1)</f>
        <v>0</v>
      </c>
      <c r="H845" s="26">
        <f>IF(ISNA(MATCH(B845&amp;"/"&amp;C845,そのた定義!E:E,0)), 0, 1)</f>
        <v>0</v>
      </c>
      <c r="I845" s="26" t="b">
        <f t="shared" si="124"/>
        <v>0</v>
      </c>
      <c r="J845" s="26">
        <v>0</v>
      </c>
      <c r="K845" s="26" t="b">
        <f t="shared" si="119"/>
        <v>0</v>
      </c>
      <c r="L845" s="26" t="b">
        <f t="shared" si="120"/>
        <v>0</v>
      </c>
      <c r="M845" t="b">
        <f t="shared" si="125"/>
        <v>0</v>
      </c>
      <c r="N845" t="b">
        <f t="shared" si="126"/>
        <v>0</v>
      </c>
    </row>
    <row r="846" spans="1:14">
      <c r="A846" s="29">
        <v>45406</v>
      </c>
      <c r="B846" s="30">
        <f t="shared" si="118"/>
        <v>4</v>
      </c>
      <c r="C846" s="30">
        <f t="shared" si="121"/>
        <v>24</v>
      </c>
      <c r="D846" s="26">
        <f>MATCH(WEEKDAY(A846),そのた定義!A:A,0)</f>
        <v>5</v>
      </c>
      <c r="E846" s="26" t="str">
        <f t="shared" ca="1" si="122"/>
        <v>水</v>
      </c>
      <c r="F846" s="26">
        <f t="shared" si="123"/>
        <v>0</v>
      </c>
      <c r="G846" s="26">
        <f>IF(ISNA(MATCH(A846,祝日定義!E:E,0)),0,1)</f>
        <v>0</v>
      </c>
      <c r="H846" s="26">
        <f>IF(ISNA(MATCH(B846&amp;"/"&amp;C846,そのた定義!E:E,0)), 0, 1)</f>
        <v>0</v>
      </c>
      <c r="I846" s="26" t="b">
        <f t="shared" si="124"/>
        <v>0</v>
      </c>
      <c r="J846" s="26">
        <v>0</v>
      </c>
      <c r="K846" s="26" t="b">
        <f t="shared" si="119"/>
        <v>0</v>
      </c>
      <c r="L846" s="26" t="b">
        <f t="shared" si="120"/>
        <v>0</v>
      </c>
      <c r="M846" t="b">
        <f t="shared" si="125"/>
        <v>0</v>
      </c>
      <c r="N846" t="b">
        <f t="shared" si="126"/>
        <v>0</v>
      </c>
    </row>
    <row r="847" spans="1:14">
      <c r="A847" s="29">
        <v>45407</v>
      </c>
      <c r="B847" s="30">
        <f t="shared" si="118"/>
        <v>4</v>
      </c>
      <c r="C847" s="30">
        <f t="shared" si="121"/>
        <v>25</v>
      </c>
      <c r="D847" s="26">
        <f>MATCH(WEEKDAY(A847),そのた定義!A:A,0)</f>
        <v>6</v>
      </c>
      <c r="E847" s="26" t="str">
        <f t="shared" ca="1" si="122"/>
        <v>木</v>
      </c>
      <c r="F847" s="26">
        <f t="shared" si="123"/>
        <v>0</v>
      </c>
      <c r="G847" s="26">
        <f>IF(ISNA(MATCH(A847,祝日定義!E:E,0)),0,1)</f>
        <v>0</v>
      </c>
      <c r="H847" s="26">
        <f>IF(ISNA(MATCH(B847&amp;"/"&amp;C847,そのた定義!E:E,0)), 0, 1)</f>
        <v>0</v>
      </c>
      <c r="I847" s="26" t="b">
        <f t="shared" si="124"/>
        <v>0</v>
      </c>
      <c r="J847" s="26">
        <v>0</v>
      </c>
      <c r="K847" s="26" t="b">
        <f t="shared" si="119"/>
        <v>0</v>
      </c>
      <c r="L847" s="23" t="b">
        <f t="shared" si="120"/>
        <v>1</v>
      </c>
      <c r="M847" t="b">
        <f t="shared" si="125"/>
        <v>0</v>
      </c>
      <c r="N847" t="b">
        <f t="shared" si="126"/>
        <v>0</v>
      </c>
    </row>
    <row r="848" spans="1:14">
      <c r="A848" s="29">
        <v>45408</v>
      </c>
      <c r="B848" s="30">
        <f t="shared" si="118"/>
        <v>4</v>
      </c>
      <c r="C848" s="30">
        <f t="shared" si="121"/>
        <v>26</v>
      </c>
      <c r="D848" s="26">
        <f>MATCH(WEEKDAY(A848),そのた定義!A:A,0)</f>
        <v>7</v>
      </c>
      <c r="E848" s="26" t="str">
        <f t="shared" ca="1" si="122"/>
        <v>金</v>
      </c>
      <c r="F848" s="26">
        <f t="shared" si="123"/>
        <v>0</v>
      </c>
      <c r="G848" s="26">
        <f>IF(ISNA(MATCH(A848,祝日定義!E:E,0)),0,1)</f>
        <v>0</v>
      </c>
      <c r="H848" s="26">
        <f>IF(ISNA(MATCH(B848&amp;"/"&amp;C848,そのた定義!E:E,0)), 0, 1)</f>
        <v>0</v>
      </c>
      <c r="I848" s="26" t="b">
        <f t="shared" si="124"/>
        <v>0</v>
      </c>
      <c r="J848" s="26">
        <v>0</v>
      </c>
      <c r="K848" s="26" t="b">
        <f t="shared" si="119"/>
        <v>0</v>
      </c>
      <c r="L848" s="26" t="b">
        <f t="shared" si="120"/>
        <v>0</v>
      </c>
      <c r="M848" t="b">
        <f t="shared" si="125"/>
        <v>0</v>
      </c>
      <c r="N848" t="b">
        <f t="shared" si="126"/>
        <v>0</v>
      </c>
    </row>
    <row r="849" spans="1:14">
      <c r="A849" s="29">
        <v>45409</v>
      </c>
      <c r="B849" s="30">
        <f t="shared" si="118"/>
        <v>4</v>
      </c>
      <c r="C849" s="30">
        <f t="shared" si="121"/>
        <v>27</v>
      </c>
      <c r="D849" s="26">
        <f>MATCH(WEEKDAY(A849),そのた定義!A:A,0)</f>
        <v>8</v>
      </c>
      <c r="E849" s="33" t="str">
        <f t="shared" ca="1" si="122"/>
        <v>土</v>
      </c>
      <c r="F849" s="26">
        <f t="shared" si="123"/>
        <v>1</v>
      </c>
      <c r="G849" s="26">
        <f>IF(ISNA(MATCH(A849,祝日定義!E:E,0)),0,1)</f>
        <v>0</v>
      </c>
      <c r="H849" s="26">
        <f>IF(ISNA(MATCH(B849&amp;"/"&amp;C849,そのた定義!E:E,0)), 0, 1)</f>
        <v>0</v>
      </c>
      <c r="I849" s="23" t="b">
        <f t="shared" si="124"/>
        <v>1</v>
      </c>
      <c r="J849" s="26">
        <v>0</v>
      </c>
      <c r="K849" s="26" t="b">
        <f t="shared" si="119"/>
        <v>0</v>
      </c>
      <c r="L849" s="26" t="b">
        <f t="shared" si="120"/>
        <v>0</v>
      </c>
      <c r="M849" t="b">
        <f t="shared" si="125"/>
        <v>0</v>
      </c>
      <c r="N849" t="b">
        <f t="shared" si="126"/>
        <v>0</v>
      </c>
    </row>
    <row r="850" spans="1:14">
      <c r="A850" s="29">
        <v>45410</v>
      </c>
      <c r="B850" s="30">
        <f t="shared" si="118"/>
        <v>4</v>
      </c>
      <c r="C850" s="30">
        <f t="shared" si="121"/>
        <v>28</v>
      </c>
      <c r="D850" s="26">
        <f>MATCH(WEEKDAY(A850),そのた定義!A:A,0)</f>
        <v>2</v>
      </c>
      <c r="E850" s="32" t="str">
        <f t="shared" ca="1" si="122"/>
        <v>日</v>
      </c>
      <c r="F850" s="26">
        <f t="shared" si="123"/>
        <v>1</v>
      </c>
      <c r="G850" s="26">
        <f>IF(ISNA(MATCH(A850,祝日定義!E:E,0)),0,1)</f>
        <v>0</v>
      </c>
      <c r="H850" s="26">
        <f>IF(ISNA(MATCH(B850&amp;"/"&amp;C850,そのた定義!E:E,0)), 0, 1)</f>
        <v>0</v>
      </c>
      <c r="I850" s="23" t="b">
        <f t="shared" si="124"/>
        <v>1</v>
      </c>
      <c r="J850" s="26">
        <v>0</v>
      </c>
      <c r="K850" s="26" t="b">
        <f t="shared" si="119"/>
        <v>0</v>
      </c>
      <c r="L850" s="26" t="b">
        <f t="shared" si="120"/>
        <v>0</v>
      </c>
      <c r="M850" t="b">
        <f t="shared" si="125"/>
        <v>0</v>
      </c>
      <c r="N850" t="b">
        <f t="shared" si="126"/>
        <v>0</v>
      </c>
    </row>
    <row r="851" spans="1:14">
      <c r="A851" s="29">
        <v>45411</v>
      </c>
      <c r="B851" s="30">
        <f t="shared" si="118"/>
        <v>4</v>
      </c>
      <c r="C851" s="30">
        <f t="shared" si="121"/>
        <v>29</v>
      </c>
      <c r="D851" s="26">
        <f>MATCH(WEEKDAY(A851),そのた定義!A:A,0)</f>
        <v>3</v>
      </c>
      <c r="E851" s="31" t="str">
        <f t="shared" ca="1" si="122"/>
        <v>月</v>
      </c>
      <c r="F851" s="26">
        <f t="shared" si="123"/>
        <v>0</v>
      </c>
      <c r="G851" s="26">
        <f>IF(ISNA(MATCH(A851,祝日定義!E:E,0)),0,1)</f>
        <v>1</v>
      </c>
      <c r="H851" s="26">
        <f>IF(ISNA(MATCH(B851&amp;"/"&amp;C851,そのた定義!E:E,0)), 0, 1)</f>
        <v>0</v>
      </c>
      <c r="I851" s="23" t="b">
        <f t="shared" si="124"/>
        <v>1</v>
      </c>
      <c r="J851" s="26">
        <v>0</v>
      </c>
      <c r="K851" s="26" t="b">
        <f t="shared" si="119"/>
        <v>0</v>
      </c>
      <c r="L851" s="26" t="b">
        <f t="shared" si="120"/>
        <v>0</v>
      </c>
      <c r="M851" t="b">
        <f t="shared" si="125"/>
        <v>0</v>
      </c>
      <c r="N851" t="b">
        <f t="shared" si="126"/>
        <v>0</v>
      </c>
    </row>
    <row r="852" spans="1:14">
      <c r="A852" s="29">
        <v>45412</v>
      </c>
      <c r="B852" s="30">
        <f t="shared" si="118"/>
        <v>4</v>
      </c>
      <c r="C852" s="30">
        <f t="shared" si="121"/>
        <v>30</v>
      </c>
      <c r="D852" s="26">
        <f>MATCH(WEEKDAY(A852),そのた定義!A:A,0)</f>
        <v>4</v>
      </c>
      <c r="E852" s="26" t="str">
        <f t="shared" ca="1" si="122"/>
        <v>火</v>
      </c>
      <c r="F852" s="26">
        <f t="shared" si="123"/>
        <v>0</v>
      </c>
      <c r="G852" s="26">
        <f>IF(ISNA(MATCH(A852,祝日定義!E:E,0)),0,1)</f>
        <v>0</v>
      </c>
      <c r="H852" s="26">
        <f>IF(ISNA(MATCH(B852&amp;"/"&amp;C852,そのた定義!E:E,0)), 0, 1)</f>
        <v>0</v>
      </c>
      <c r="I852" s="26" t="b">
        <f t="shared" si="124"/>
        <v>0</v>
      </c>
      <c r="J852" s="26">
        <v>3</v>
      </c>
      <c r="K852" s="26" t="b">
        <f t="shared" si="119"/>
        <v>0</v>
      </c>
      <c r="L852" s="26" t="b">
        <f t="shared" si="120"/>
        <v>0</v>
      </c>
      <c r="M852" t="b">
        <f t="shared" si="125"/>
        <v>0</v>
      </c>
      <c r="N852" t="b">
        <f t="shared" si="126"/>
        <v>1</v>
      </c>
    </row>
    <row r="853" spans="1:14">
      <c r="A853" s="29">
        <v>45413</v>
      </c>
      <c r="B853" s="30">
        <f t="shared" si="118"/>
        <v>5</v>
      </c>
      <c r="C853" s="30">
        <f t="shared" si="121"/>
        <v>1</v>
      </c>
      <c r="D853" s="26">
        <f>MATCH(WEEKDAY(A853),そのた定義!A:A,0)</f>
        <v>5</v>
      </c>
      <c r="E853" s="26" t="str">
        <f t="shared" ca="1" si="122"/>
        <v>水</v>
      </c>
      <c r="F853" s="26">
        <f t="shared" si="123"/>
        <v>0</v>
      </c>
      <c r="G853" s="26">
        <f>IF(ISNA(MATCH(A853,祝日定義!E:E,0)),0,1)</f>
        <v>0</v>
      </c>
      <c r="H853" s="26">
        <f>IF(ISNA(MATCH(B853&amp;"/"&amp;C853,そのた定義!E:E,0)), 0, 1)</f>
        <v>0</v>
      </c>
      <c r="I853" s="26" t="b">
        <f t="shared" si="124"/>
        <v>0</v>
      </c>
      <c r="J853" s="26">
        <v>0</v>
      </c>
      <c r="K853" s="26" t="b">
        <f t="shared" si="119"/>
        <v>0</v>
      </c>
      <c r="L853" s="26" t="b">
        <f t="shared" si="120"/>
        <v>0</v>
      </c>
      <c r="M853" t="b">
        <f t="shared" si="125"/>
        <v>0</v>
      </c>
      <c r="N853" t="b">
        <f t="shared" si="126"/>
        <v>0</v>
      </c>
    </row>
    <row r="854" spans="1:14">
      <c r="A854" s="29">
        <v>45414</v>
      </c>
      <c r="B854" s="30">
        <f t="shared" si="118"/>
        <v>5</v>
      </c>
      <c r="C854" s="30">
        <f t="shared" si="121"/>
        <v>2</v>
      </c>
      <c r="D854" s="26">
        <f>MATCH(WEEKDAY(A854),そのた定義!A:A,0)</f>
        <v>6</v>
      </c>
      <c r="E854" s="26" t="str">
        <f t="shared" ca="1" si="122"/>
        <v>木</v>
      </c>
      <c r="F854" s="26">
        <f t="shared" si="123"/>
        <v>0</v>
      </c>
      <c r="G854" s="26">
        <f>IF(ISNA(MATCH(A854,祝日定義!E:E,0)),0,1)</f>
        <v>0</v>
      </c>
      <c r="H854" s="26">
        <f>IF(ISNA(MATCH(B854&amp;"/"&amp;C854,そのた定義!E:E,0)), 0, 1)</f>
        <v>0</v>
      </c>
      <c r="I854" s="26" t="b">
        <f t="shared" si="124"/>
        <v>0</v>
      </c>
      <c r="J854" s="26">
        <v>0</v>
      </c>
      <c r="K854" s="26" t="b">
        <f t="shared" si="119"/>
        <v>0</v>
      </c>
      <c r="L854" s="26" t="b">
        <f t="shared" si="120"/>
        <v>0</v>
      </c>
      <c r="M854" t="b">
        <f t="shared" si="125"/>
        <v>0</v>
      </c>
      <c r="N854" t="b">
        <f t="shared" si="126"/>
        <v>0</v>
      </c>
    </row>
    <row r="855" spans="1:14">
      <c r="A855" s="29">
        <v>45415</v>
      </c>
      <c r="B855" s="30">
        <f t="shared" si="118"/>
        <v>5</v>
      </c>
      <c r="C855" s="30">
        <f t="shared" si="121"/>
        <v>3</v>
      </c>
      <c r="D855" s="26">
        <f>MATCH(WEEKDAY(A855),そのた定義!A:A,0)</f>
        <v>7</v>
      </c>
      <c r="E855" s="31" t="str">
        <f t="shared" ca="1" si="122"/>
        <v>金</v>
      </c>
      <c r="F855" s="26">
        <f t="shared" si="123"/>
        <v>0</v>
      </c>
      <c r="G855" s="26">
        <f>IF(ISNA(MATCH(A855,祝日定義!E:E,0)),0,1)</f>
        <v>1</v>
      </c>
      <c r="H855" s="26">
        <f>IF(ISNA(MATCH(B855&amp;"/"&amp;C855,そのた定義!E:E,0)), 0, 1)</f>
        <v>0</v>
      </c>
      <c r="I855" s="23" t="b">
        <f t="shared" si="124"/>
        <v>1</v>
      </c>
      <c r="J855" s="26">
        <v>0</v>
      </c>
      <c r="K855" s="26" t="b">
        <f t="shared" si="119"/>
        <v>0</v>
      </c>
      <c r="L855" s="26" t="b">
        <f t="shared" si="120"/>
        <v>0</v>
      </c>
      <c r="M855" t="b">
        <f t="shared" si="125"/>
        <v>0</v>
      </c>
      <c r="N855" t="b">
        <f t="shared" si="126"/>
        <v>0</v>
      </c>
    </row>
    <row r="856" spans="1:14">
      <c r="A856" s="29">
        <v>45416</v>
      </c>
      <c r="B856" s="30">
        <f t="shared" si="118"/>
        <v>5</v>
      </c>
      <c r="C856" s="30">
        <f t="shared" si="121"/>
        <v>4</v>
      </c>
      <c r="D856" s="26">
        <f>MATCH(WEEKDAY(A856),そのた定義!A:A,0)</f>
        <v>8</v>
      </c>
      <c r="E856" s="33" t="str">
        <f t="shared" ca="1" si="122"/>
        <v>土</v>
      </c>
      <c r="F856" s="26">
        <f t="shared" si="123"/>
        <v>1</v>
      </c>
      <c r="G856" s="26">
        <f>IF(ISNA(MATCH(A856,祝日定義!E:E,0)),0,1)</f>
        <v>1</v>
      </c>
      <c r="H856" s="26">
        <f>IF(ISNA(MATCH(B856&amp;"/"&amp;C856,そのた定義!E:E,0)), 0, 1)</f>
        <v>0</v>
      </c>
      <c r="I856" s="23" t="b">
        <f t="shared" si="124"/>
        <v>1</v>
      </c>
      <c r="J856" s="26">
        <v>0</v>
      </c>
      <c r="K856" s="26" t="b">
        <f t="shared" si="119"/>
        <v>0</v>
      </c>
      <c r="L856" s="26" t="b">
        <f t="shared" si="120"/>
        <v>0</v>
      </c>
      <c r="M856" t="b">
        <f t="shared" si="125"/>
        <v>0</v>
      </c>
      <c r="N856" t="b">
        <f t="shared" si="126"/>
        <v>0</v>
      </c>
    </row>
    <row r="857" spans="1:14">
      <c r="A857" s="29">
        <v>45417</v>
      </c>
      <c r="B857" s="30">
        <f t="shared" si="118"/>
        <v>5</v>
      </c>
      <c r="C857" s="30">
        <f t="shared" si="121"/>
        <v>5</v>
      </c>
      <c r="D857" s="26">
        <f>MATCH(WEEKDAY(A857),そのた定義!A:A,0)</f>
        <v>2</v>
      </c>
      <c r="E857" s="32" t="str">
        <f t="shared" ca="1" si="122"/>
        <v>日</v>
      </c>
      <c r="F857" s="26">
        <f t="shared" si="123"/>
        <v>1</v>
      </c>
      <c r="G857" s="26">
        <f>IF(ISNA(MATCH(A857,祝日定義!E:E,0)),0,1)</f>
        <v>1</v>
      </c>
      <c r="H857" s="26">
        <f>IF(ISNA(MATCH(B857&amp;"/"&amp;C857,そのた定義!E:E,0)), 0, 1)</f>
        <v>0</v>
      </c>
      <c r="I857" s="23" t="b">
        <f t="shared" si="124"/>
        <v>1</v>
      </c>
      <c r="J857" s="26">
        <v>0</v>
      </c>
      <c r="K857" s="26" t="b">
        <f t="shared" si="119"/>
        <v>0</v>
      </c>
      <c r="L857" s="26" t="b">
        <f t="shared" si="120"/>
        <v>0</v>
      </c>
      <c r="M857" t="b">
        <f t="shared" si="125"/>
        <v>0</v>
      </c>
      <c r="N857" t="b">
        <f t="shared" si="126"/>
        <v>0</v>
      </c>
    </row>
    <row r="858" spans="1:14">
      <c r="A858" s="29">
        <v>45418</v>
      </c>
      <c r="B858" s="30">
        <f t="shared" si="118"/>
        <v>5</v>
      </c>
      <c r="C858" s="30">
        <f t="shared" si="121"/>
        <v>6</v>
      </c>
      <c r="D858" s="26">
        <f>MATCH(WEEKDAY(A858),そのた定義!A:A,0)</f>
        <v>3</v>
      </c>
      <c r="E858" s="31" t="str">
        <f t="shared" ca="1" si="122"/>
        <v>月</v>
      </c>
      <c r="F858" s="26">
        <f t="shared" si="123"/>
        <v>0</v>
      </c>
      <c r="G858" s="26">
        <f>IF(ISNA(MATCH(A858,祝日定義!E:E,0)),0,1)</f>
        <v>1</v>
      </c>
      <c r="H858" s="26">
        <f>IF(ISNA(MATCH(B858&amp;"/"&amp;C858,そのた定義!E:E,0)), 0, 1)</f>
        <v>0</v>
      </c>
      <c r="I858" s="23" t="b">
        <f t="shared" si="124"/>
        <v>1</v>
      </c>
      <c r="J858" s="26">
        <v>0</v>
      </c>
      <c r="K858" s="26" t="b">
        <f t="shared" si="119"/>
        <v>0</v>
      </c>
      <c r="L858" s="26" t="b">
        <f t="shared" si="120"/>
        <v>0</v>
      </c>
      <c r="M858" t="b">
        <f t="shared" si="125"/>
        <v>0</v>
      </c>
      <c r="N858" t="b">
        <f t="shared" si="126"/>
        <v>0</v>
      </c>
    </row>
    <row r="859" spans="1:14">
      <c r="A859" s="29">
        <v>45419</v>
      </c>
      <c r="B859" s="30">
        <f t="shared" si="118"/>
        <v>5</v>
      </c>
      <c r="C859" s="30">
        <f t="shared" si="121"/>
        <v>7</v>
      </c>
      <c r="D859" s="26">
        <f>MATCH(WEEKDAY(A859),そのた定義!A:A,0)</f>
        <v>4</v>
      </c>
      <c r="E859" s="26" t="str">
        <f t="shared" ca="1" si="122"/>
        <v>火</v>
      </c>
      <c r="F859" s="26">
        <f t="shared" si="123"/>
        <v>0</v>
      </c>
      <c r="G859" s="26">
        <f>IF(ISNA(MATCH(A859,祝日定義!E:E,0)),0,1)</f>
        <v>0</v>
      </c>
      <c r="H859" s="26">
        <f>IF(ISNA(MATCH(B859&amp;"/"&amp;C859,そのた定義!E:E,0)), 0, 1)</f>
        <v>0</v>
      </c>
      <c r="I859" s="26" t="b">
        <f t="shared" si="124"/>
        <v>0</v>
      </c>
      <c r="J859" s="26">
        <v>4</v>
      </c>
      <c r="K859" s="26" t="b">
        <f t="shared" si="119"/>
        <v>0</v>
      </c>
      <c r="L859" s="26" t="b">
        <f t="shared" si="120"/>
        <v>0</v>
      </c>
      <c r="M859" t="b">
        <f t="shared" si="125"/>
        <v>0</v>
      </c>
      <c r="N859" t="b">
        <f t="shared" si="126"/>
        <v>0</v>
      </c>
    </row>
    <row r="860" spans="1:14">
      <c r="A860" s="29">
        <v>45420</v>
      </c>
      <c r="B860" s="30">
        <f t="shared" si="118"/>
        <v>5</v>
      </c>
      <c r="C860" s="30">
        <f t="shared" si="121"/>
        <v>8</v>
      </c>
      <c r="D860" s="26">
        <f>MATCH(WEEKDAY(A860),そのた定義!A:A,0)</f>
        <v>5</v>
      </c>
      <c r="E860" s="26" t="str">
        <f t="shared" ca="1" si="122"/>
        <v>水</v>
      </c>
      <c r="F860" s="26">
        <f t="shared" si="123"/>
        <v>0</v>
      </c>
      <c r="G860" s="26">
        <f>IF(ISNA(MATCH(A860,祝日定義!E:E,0)),0,1)</f>
        <v>0</v>
      </c>
      <c r="H860" s="26">
        <f>IF(ISNA(MATCH(B860&amp;"/"&amp;C860,そのた定義!E:E,0)), 0, 1)</f>
        <v>0</v>
      </c>
      <c r="I860" s="26" t="b">
        <f t="shared" si="124"/>
        <v>0</v>
      </c>
      <c r="J860" s="26">
        <v>0</v>
      </c>
      <c r="K860" s="26" t="b">
        <f t="shared" si="119"/>
        <v>0</v>
      </c>
      <c r="L860" s="26" t="b">
        <f t="shared" si="120"/>
        <v>0</v>
      </c>
      <c r="M860" t="b">
        <f t="shared" si="125"/>
        <v>0</v>
      </c>
      <c r="N860" t="b">
        <f t="shared" si="126"/>
        <v>0</v>
      </c>
    </row>
    <row r="861" spans="1:14">
      <c r="A861" s="29">
        <v>45421</v>
      </c>
      <c r="B861" s="30">
        <f t="shared" si="118"/>
        <v>5</v>
      </c>
      <c r="C861" s="30">
        <f t="shared" si="121"/>
        <v>9</v>
      </c>
      <c r="D861" s="26">
        <f>MATCH(WEEKDAY(A861),そのた定義!A:A,0)</f>
        <v>6</v>
      </c>
      <c r="E861" s="26" t="str">
        <f t="shared" ca="1" si="122"/>
        <v>木</v>
      </c>
      <c r="F861" s="26">
        <f t="shared" si="123"/>
        <v>0</v>
      </c>
      <c r="G861" s="26">
        <f>IF(ISNA(MATCH(A861,祝日定義!E:E,0)),0,1)</f>
        <v>0</v>
      </c>
      <c r="H861" s="26">
        <f>IF(ISNA(MATCH(B861&amp;"/"&amp;C861,そのた定義!E:E,0)), 0, 1)</f>
        <v>0</v>
      </c>
      <c r="I861" s="26" t="b">
        <f t="shared" si="124"/>
        <v>0</v>
      </c>
      <c r="J861" s="26">
        <v>0</v>
      </c>
      <c r="K861" s="26" t="b">
        <f t="shared" si="119"/>
        <v>0</v>
      </c>
      <c r="L861" s="26" t="b">
        <f t="shared" si="120"/>
        <v>0</v>
      </c>
      <c r="M861" t="b">
        <f t="shared" si="125"/>
        <v>0</v>
      </c>
      <c r="N861" t="b">
        <f t="shared" si="126"/>
        <v>0</v>
      </c>
    </row>
    <row r="862" spans="1:14">
      <c r="A862" s="29">
        <v>45422</v>
      </c>
      <c r="B862" s="30">
        <f t="shared" si="118"/>
        <v>5</v>
      </c>
      <c r="C862" s="30">
        <f t="shared" si="121"/>
        <v>10</v>
      </c>
      <c r="D862" s="26">
        <f>MATCH(WEEKDAY(A862),そのた定義!A:A,0)</f>
        <v>7</v>
      </c>
      <c r="E862" s="26" t="str">
        <f t="shared" ca="1" si="122"/>
        <v>金</v>
      </c>
      <c r="F862" s="26">
        <f t="shared" si="123"/>
        <v>0</v>
      </c>
      <c r="G862" s="26">
        <f>IF(ISNA(MATCH(A862,祝日定義!E:E,0)),0,1)</f>
        <v>0</v>
      </c>
      <c r="H862" s="26">
        <f>IF(ISNA(MATCH(B862&amp;"/"&amp;C862,そのた定義!E:E,0)), 0, 1)</f>
        <v>0</v>
      </c>
      <c r="I862" s="26" t="b">
        <f t="shared" si="124"/>
        <v>0</v>
      </c>
      <c r="J862" s="26">
        <v>0</v>
      </c>
      <c r="K862" s="26" t="b">
        <f t="shared" si="119"/>
        <v>0</v>
      </c>
      <c r="L862" s="26" t="b">
        <f t="shared" si="120"/>
        <v>0</v>
      </c>
      <c r="M862" t="b">
        <f t="shared" si="125"/>
        <v>0</v>
      </c>
      <c r="N862" t="b">
        <f t="shared" si="126"/>
        <v>0</v>
      </c>
    </row>
    <row r="863" spans="1:14">
      <c r="A863" s="29">
        <v>45423</v>
      </c>
      <c r="B863" s="30">
        <f t="shared" si="118"/>
        <v>5</v>
      </c>
      <c r="C863" s="30">
        <f t="shared" si="121"/>
        <v>11</v>
      </c>
      <c r="D863" s="26">
        <f>MATCH(WEEKDAY(A863),そのた定義!A:A,0)</f>
        <v>8</v>
      </c>
      <c r="E863" s="33" t="str">
        <f t="shared" ca="1" si="122"/>
        <v>土</v>
      </c>
      <c r="F863" s="26">
        <f t="shared" si="123"/>
        <v>1</v>
      </c>
      <c r="G863" s="26">
        <f>IF(ISNA(MATCH(A863,祝日定義!E:E,0)),0,1)</f>
        <v>0</v>
      </c>
      <c r="H863" s="26">
        <f>IF(ISNA(MATCH(B863&amp;"/"&amp;C863,そのた定義!E:E,0)), 0, 1)</f>
        <v>0</v>
      </c>
      <c r="I863" s="23" t="b">
        <f t="shared" si="124"/>
        <v>1</v>
      </c>
      <c r="J863" s="26">
        <v>0</v>
      </c>
      <c r="K863" s="26" t="b">
        <f t="shared" si="119"/>
        <v>0</v>
      </c>
      <c r="L863" s="26" t="b">
        <f t="shared" si="120"/>
        <v>0</v>
      </c>
      <c r="M863" t="b">
        <f t="shared" si="125"/>
        <v>0</v>
      </c>
      <c r="N863" t="b">
        <f t="shared" si="126"/>
        <v>0</v>
      </c>
    </row>
    <row r="864" spans="1:14">
      <c r="A864" s="29">
        <v>45424</v>
      </c>
      <c r="B864" s="30">
        <f t="shared" si="118"/>
        <v>5</v>
      </c>
      <c r="C864" s="30">
        <f t="shared" si="121"/>
        <v>12</v>
      </c>
      <c r="D864" s="26">
        <f>MATCH(WEEKDAY(A864),そのた定義!A:A,0)</f>
        <v>2</v>
      </c>
      <c r="E864" s="32" t="str">
        <f t="shared" ca="1" si="122"/>
        <v>日</v>
      </c>
      <c r="F864" s="26">
        <f t="shared" si="123"/>
        <v>1</v>
      </c>
      <c r="G864" s="26">
        <f>IF(ISNA(MATCH(A864,祝日定義!E:E,0)),0,1)</f>
        <v>0</v>
      </c>
      <c r="H864" s="26">
        <f>IF(ISNA(MATCH(B864&amp;"/"&amp;C864,そのた定義!E:E,0)), 0, 1)</f>
        <v>0</v>
      </c>
      <c r="I864" s="23" t="b">
        <f t="shared" si="124"/>
        <v>1</v>
      </c>
      <c r="J864" s="26">
        <v>0</v>
      </c>
      <c r="K864" s="26" t="b">
        <f t="shared" si="119"/>
        <v>0</v>
      </c>
      <c r="L864" s="26" t="b">
        <f t="shared" si="120"/>
        <v>0</v>
      </c>
      <c r="M864" t="b">
        <f t="shared" si="125"/>
        <v>0</v>
      </c>
      <c r="N864" t="b">
        <f t="shared" si="126"/>
        <v>0</v>
      </c>
    </row>
    <row r="865" spans="1:14">
      <c r="A865" s="29">
        <v>45425</v>
      </c>
      <c r="B865" s="30">
        <f t="shared" si="118"/>
        <v>5</v>
      </c>
      <c r="C865" s="30">
        <f t="shared" si="121"/>
        <v>13</v>
      </c>
      <c r="D865" s="26">
        <f>MATCH(WEEKDAY(A865),そのた定義!A:A,0)</f>
        <v>3</v>
      </c>
      <c r="E865" s="26" t="str">
        <f t="shared" ca="1" si="122"/>
        <v>月</v>
      </c>
      <c r="F865" s="26">
        <f t="shared" si="123"/>
        <v>0</v>
      </c>
      <c r="G865" s="26">
        <f>IF(ISNA(MATCH(A865,祝日定義!E:E,0)),0,1)</f>
        <v>0</v>
      </c>
      <c r="H865" s="26">
        <f>IF(ISNA(MATCH(B865&amp;"/"&amp;C865,そのた定義!E:E,0)), 0, 1)</f>
        <v>0</v>
      </c>
      <c r="I865" s="26" t="b">
        <f t="shared" si="124"/>
        <v>0</v>
      </c>
      <c r="J865" s="26">
        <v>2</v>
      </c>
      <c r="K865" s="26" t="b">
        <f t="shared" si="119"/>
        <v>0</v>
      </c>
      <c r="L865" s="26" t="b">
        <f t="shared" si="120"/>
        <v>0</v>
      </c>
      <c r="M865" t="b">
        <f t="shared" si="125"/>
        <v>0</v>
      </c>
      <c r="N865" t="b">
        <f t="shared" si="126"/>
        <v>0</v>
      </c>
    </row>
    <row r="866" spans="1:14">
      <c r="A866" s="29">
        <v>45426</v>
      </c>
      <c r="B866" s="30">
        <f t="shared" si="118"/>
        <v>5</v>
      </c>
      <c r="C866" s="30">
        <f t="shared" si="121"/>
        <v>14</v>
      </c>
      <c r="D866" s="26">
        <f>MATCH(WEEKDAY(A866),そのた定義!A:A,0)</f>
        <v>4</v>
      </c>
      <c r="E866" s="26" t="str">
        <f t="shared" ca="1" si="122"/>
        <v>火</v>
      </c>
      <c r="F866" s="26">
        <f t="shared" si="123"/>
        <v>0</v>
      </c>
      <c r="G866" s="26">
        <f>IF(ISNA(MATCH(A866,祝日定義!E:E,0)),0,1)</f>
        <v>0</v>
      </c>
      <c r="H866" s="26">
        <f>IF(ISNA(MATCH(B866&amp;"/"&amp;C866,そのた定義!E:E,0)), 0, 1)</f>
        <v>0</v>
      </c>
      <c r="I866" s="26" t="b">
        <f t="shared" si="124"/>
        <v>0</v>
      </c>
      <c r="J866" s="26">
        <v>0</v>
      </c>
      <c r="K866" s="26" t="b">
        <f t="shared" si="119"/>
        <v>0</v>
      </c>
      <c r="L866" s="26" t="b">
        <f t="shared" si="120"/>
        <v>0</v>
      </c>
      <c r="M866" t="b">
        <f t="shared" si="125"/>
        <v>0</v>
      </c>
      <c r="N866" t="b">
        <f t="shared" si="126"/>
        <v>0</v>
      </c>
    </row>
    <row r="867" spans="1:14">
      <c r="A867" s="29">
        <v>45427</v>
      </c>
      <c r="B867" s="30">
        <f t="shared" si="118"/>
        <v>5</v>
      </c>
      <c r="C867" s="30">
        <f t="shared" si="121"/>
        <v>15</v>
      </c>
      <c r="D867" s="26">
        <f>MATCH(WEEKDAY(A867),そのた定義!A:A,0)</f>
        <v>5</v>
      </c>
      <c r="E867" s="26" t="str">
        <f t="shared" ca="1" si="122"/>
        <v>水</v>
      </c>
      <c r="F867" s="26">
        <f t="shared" si="123"/>
        <v>0</v>
      </c>
      <c r="G867" s="26">
        <f>IF(ISNA(MATCH(A867,祝日定義!E:E,0)),0,1)</f>
        <v>0</v>
      </c>
      <c r="H867" s="26">
        <f>IF(ISNA(MATCH(B867&amp;"/"&amp;C867,そのた定義!E:E,0)), 0, 1)</f>
        <v>0</v>
      </c>
      <c r="I867" s="26" t="b">
        <f t="shared" si="124"/>
        <v>0</v>
      </c>
      <c r="J867" s="26">
        <v>0</v>
      </c>
      <c r="K867" s="26" t="b">
        <f t="shared" si="119"/>
        <v>0</v>
      </c>
      <c r="L867" s="26" t="b">
        <f t="shared" si="120"/>
        <v>0</v>
      </c>
      <c r="M867" t="b">
        <f t="shared" si="125"/>
        <v>0</v>
      </c>
      <c r="N867" t="b">
        <f t="shared" si="126"/>
        <v>0</v>
      </c>
    </row>
    <row r="868" spans="1:14">
      <c r="A868" s="29">
        <v>45428</v>
      </c>
      <c r="B868" s="30">
        <f t="shared" si="118"/>
        <v>5</v>
      </c>
      <c r="C868" s="30">
        <f t="shared" si="121"/>
        <v>16</v>
      </c>
      <c r="D868" s="26">
        <f>MATCH(WEEKDAY(A868),そのた定義!A:A,0)</f>
        <v>6</v>
      </c>
      <c r="E868" s="26" t="str">
        <f t="shared" ca="1" si="122"/>
        <v>木</v>
      </c>
      <c r="F868" s="26">
        <f t="shared" si="123"/>
        <v>0</v>
      </c>
      <c r="G868" s="26">
        <f>IF(ISNA(MATCH(A868,祝日定義!E:E,0)),0,1)</f>
        <v>0</v>
      </c>
      <c r="H868" s="26">
        <f>IF(ISNA(MATCH(B868&amp;"/"&amp;C868,そのた定義!E:E,0)), 0, 1)</f>
        <v>0</v>
      </c>
      <c r="I868" s="26" t="b">
        <f t="shared" si="124"/>
        <v>0</v>
      </c>
      <c r="J868" s="26">
        <v>0</v>
      </c>
      <c r="K868" s="26" t="b">
        <f t="shared" si="119"/>
        <v>0</v>
      </c>
      <c r="L868" s="26" t="b">
        <f t="shared" si="120"/>
        <v>0</v>
      </c>
      <c r="M868" t="b">
        <f t="shared" si="125"/>
        <v>0</v>
      </c>
      <c r="N868" t="b">
        <f t="shared" si="126"/>
        <v>0</v>
      </c>
    </row>
    <row r="869" spans="1:14">
      <c r="A869" s="29">
        <v>45429</v>
      </c>
      <c r="B869" s="30">
        <f t="shared" si="118"/>
        <v>5</v>
      </c>
      <c r="C869" s="30">
        <f t="shared" si="121"/>
        <v>17</v>
      </c>
      <c r="D869" s="26">
        <f>MATCH(WEEKDAY(A869),そのた定義!A:A,0)</f>
        <v>7</v>
      </c>
      <c r="E869" s="26" t="str">
        <f t="shared" ca="1" si="122"/>
        <v>金</v>
      </c>
      <c r="F869" s="26">
        <f t="shared" si="123"/>
        <v>0</v>
      </c>
      <c r="G869" s="26">
        <f>IF(ISNA(MATCH(A869,祝日定義!E:E,0)),0,1)</f>
        <v>0</v>
      </c>
      <c r="H869" s="26">
        <f>IF(ISNA(MATCH(B869&amp;"/"&amp;C869,そのた定義!E:E,0)), 0, 1)</f>
        <v>0</v>
      </c>
      <c r="I869" s="26" t="b">
        <f t="shared" si="124"/>
        <v>0</v>
      </c>
      <c r="J869" s="26">
        <v>0</v>
      </c>
      <c r="K869" s="26" t="b">
        <f t="shared" si="119"/>
        <v>0</v>
      </c>
      <c r="L869" s="26" t="b">
        <f t="shared" si="120"/>
        <v>0</v>
      </c>
      <c r="M869" t="b">
        <f t="shared" si="125"/>
        <v>0</v>
      </c>
      <c r="N869" t="b">
        <f t="shared" si="126"/>
        <v>0</v>
      </c>
    </row>
    <row r="870" spans="1:14">
      <c r="A870" s="29">
        <v>45430</v>
      </c>
      <c r="B870" s="30">
        <f t="shared" si="118"/>
        <v>5</v>
      </c>
      <c r="C870" s="30">
        <f t="shared" si="121"/>
        <v>18</v>
      </c>
      <c r="D870" s="26">
        <f>MATCH(WEEKDAY(A870),そのた定義!A:A,0)</f>
        <v>8</v>
      </c>
      <c r="E870" s="33" t="str">
        <f t="shared" ca="1" si="122"/>
        <v>土</v>
      </c>
      <c r="F870" s="26">
        <f t="shared" si="123"/>
        <v>1</v>
      </c>
      <c r="G870" s="26">
        <f>IF(ISNA(MATCH(A870,祝日定義!E:E,0)),0,1)</f>
        <v>0</v>
      </c>
      <c r="H870" s="26">
        <f>IF(ISNA(MATCH(B870&amp;"/"&amp;C870,そのた定義!E:E,0)), 0, 1)</f>
        <v>0</v>
      </c>
      <c r="I870" s="23" t="b">
        <f t="shared" si="124"/>
        <v>1</v>
      </c>
      <c r="J870" s="26">
        <v>0</v>
      </c>
      <c r="K870" s="26" t="b">
        <f t="shared" si="119"/>
        <v>0</v>
      </c>
      <c r="L870" s="26" t="b">
        <f t="shared" si="120"/>
        <v>0</v>
      </c>
      <c r="M870" t="b">
        <f t="shared" si="125"/>
        <v>0</v>
      </c>
      <c r="N870" t="b">
        <f t="shared" si="126"/>
        <v>0</v>
      </c>
    </row>
    <row r="871" spans="1:14">
      <c r="A871" s="29">
        <v>45431</v>
      </c>
      <c r="B871" s="30">
        <f t="shared" si="118"/>
        <v>5</v>
      </c>
      <c r="C871" s="30">
        <f t="shared" si="121"/>
        <v>19</v>
      </c>
      <c r="D871" s="26">
        <f>MATCH(WEEKDAY(A871),そのた定義!A:A,0)</f>
        <v>2</v>
      </c>
      <c r="E871" s="32" t="str">
        <f t="shared" ca="1" si="122"/>
        <v>日</v>
      </c>
      <c r="F871" s="26">
        <f t="shared" si="123"/>
        <v>1</v>
      </c>
      <c r="G871" s="26">
        <f>IF(ISNA(MATCH(A871,祝日定義!E:E,0)),0,1)</f>
        <v>0</v>
      </c>
      <c r="H871" s="26">
        <f>IF(ISNA(MATCH(B871&amp;"/"&amp;C871,そのた定義!E:E,0)), 0, 1)</f>
        <v>0</v>
      </c>
      <c r="I871" s="23" t="b">
        <f t="shared" si="124"/>
        <v>1</v>
      </c>
      <c r="J871" s="26">
        <v>0</v>
      </c>
      <c r="K871" s="26" t="b">
        <f t="shared" si="119"/>
        <v>0</v>
      </c>
      <c r="L871" s="26" t="b">
        <f t="shared" si="120"/>
        <v>0</v>
      </c>
      <c r="M871" t="b">
        <f t="shared" si="125"/>
        <v>0</v>
      </c>
      <c r="N871" t="b">
        <f t="shared" si="126"/>
        <v>0</v>
      </c>
    </row>
    <row r="872" spans="1:14">
      <c r="A872" s="29">
        <v>45432</v>
      </c>
      <c r="B872" s="30">
        <f t="shared" si="118"/>
        <v>5</v>
      </c>
      <c r="C872" s="30">
        <f t="shared" si="121"/>
        <v>20</v>
      </c>
      <c r="D872" s="26">
        <f>MATCH(WEEKDAY(A872),そのた定義!A:A,0)</f>
        <v>3</v>
      </c>
      <c r="E872" s="26" t="str">
        <f t="shared" ca="1" si="122"/>
        <v>月</v>
      </c>
      <c r="F872" s="26">
        <f t="shared" si="123"/>
        <v>0</v>
      </c>
      <c r="G872" s="26">
        <f>IF(ISNA(MATCH(A872,祝日定義!E:E,0)),0,1)</f>
        <v>0</v>
      </c>
      <c r="H872" s="26">
        <f>IF(ISNA(MATCH(B872&amp;"/"&amp;C872,そのた定義!E:E,0)), 0, 1)</f>
        <v>0</v>
      </c>
      <c r="I872" s="26" t="b">
        <f t="shared" si="124"/>
        <v>0</v>
      </c>
      <c r="J872" s="26">
        <v>2</v>
      </c>
      <c r="K872" s="26" t="b">
        <f t="shared" si="119"/>
        <v>0</v>
      </c>
      <c r="L872" s="26" t="b">
        <f t="shared" si="120"/>
        <v>0</v>
      </c>
      <c r="M872" t="b">
        <f t="shared" si="125"/>
        <v>0</v>
      </c>
      <c r="N872" t="b">
        <f t="shared" si="126"/>
        <v>0</v>
      </c>
    </row>
    <row r="873" spans="1:14">
      <c r="A873" s="29">
        <v>45433</v>
      </c>
      <c r="B873" s="30">
        <f t="shared" si="118"/>
        <v>5</v>
      </c>
      <c r="C873" s="30">
        <f t="shared" si="121"/>
        <v>21</v>
      </c>
      <c r="D873" s="26">
        <f>MATCH(WEEKDAY(A873),そのた定義!A:A,0)</f>
        <v>4</v>
      </c>
      <c r="E873" s="26" t="str">
        <f t="shared" ca="1" si="122"/>
        <v>火</v>
      </c>
      <c r="F873" s="26">
        <f t="shared" si="123"/>
        <v>0</v>
      </c>
      <c r="G873" s="26">
        <f>IF(ISNA(MATCH(A873,祝日定義!E:E,0)),0,1)</f>
        <v>0</v>
      </c>
      <c r="H873" s="26">
        <f>IF(ISNA(MATCH(B873&amp;"/"&amp;C873,そのた定義!E:E,0)), 0, 1)</f>
        <v>0</v>
      </c>
      <c r="I873" s="26" t="b">
        <f t="shared" si="124"/>
        <v>0</v>
      </c>
      <c r="J873" s="26">
        <v>0</v>
      </c>
      <c r="K873" s="26" t="b">
        <f t="shared" si="119"/>
        <v>0</v>
      </c>
      <c r="L873" s="26" t="b">
        <f t="shared" si="120"/>
        <v>0</v>
      </c>
      <c r="M873" t="b">
        <f t="shared" si="125"/>
        <v>0</v>
      </c>
      <c r="N873" t="b">
        <f t="shared" si="126"/>
        <v>0</v>
      </c>
    </row>
    <row r="874" spans="1:14">
      <c r="A874" s="29">
        <v>45434</v>
      </c>
      <c r="B874" s="30">
        <f t="shared" si="118"/>
        <v>5</v>
      </c>
      <c r="C874" s="30">
        <f t="shared" si="121"/>
        <v>22</v>
      </c>
      <c r="D874" s="26">
        <f>MATCH(WEEKDAY(A874),そのた定義!A:A,0)</f>
        <v>5</v>
      </c>
      <c r="E874" s="26" t="str">
        <f t="shared" ca="1" si="122"/>
        <v>水</v>
      </c>
      <c r="F874" s="26">
        <f t="shared" si="123"/>
        <v>0</v>
      </c>
      <c r="G874" s="26">
        <f>IF(ISNA(MATCH(A874,祝日定義!E:E,0)),0,1)</f>
        <v>0</v>
      </c>
      <c r="H874" s="26">
        <f>IF(ISNA(MATCH(B874&amp;"/"&amp;C874,そのた定義!E:E,0)), 0, 1)</f>
        <v>0</v>
      </c>
      <c r="I874" s="26" t="b">
        <f t="shared" si="124"/>
        <v>0</v>
      </c>
      <c r="J874" s="26">
        <v>0</v>
      </c>
      <c r="K874" s="26" t="b">
        <f t="shared" si="119"/>
        <v>0</v>
      </c>
      <c r="L874" s="26" t="b">
        <f t="shared" si="120"/>
        <v>0</v>
      </c>
      <c r="M874" t="b">
        <f t="shared" si="125"/>
        <v>0</v>
      </c>
      <c r="N874" t="b">
        <f t="shared" si="126"/>
        <v>0</v>
      </c>
    </row>
    <row r="875" spans="1:14">
      <c r="A875" s="29">
        <v>45435</v>
      </c>
      <c r="B875" s="30">
        <f t="shared" si="118"/>
        <v>5</v>
      </c>
      <c r="C875" s="30">
        <f t="shared" si="121"/>
        <v>23</v>
      </c>
      <c r="D875" s="26">
        <f>MATCH(WEEKDAY(A875),そのた定義!A:A,0)</f>
        <v>6</v>
      </c>
      <c r="E875" s="26" t="str">
        <f t="shared" ca="1" si="122"/>
        <v>木</v>
      </c>
      <c r="F875" s="26">
        <f t="shared" si="123"/>
        <v>0</v>
      </c>
      <c r="G875" s="26">
        <f>IF(ISNA(MATCH(A875,祝日定義!E:E,0)),0,1)</f>
        <v>0</v>
      </c>
      <c r="H875" s="26">
        <f>IF(ISNA(MATCH(B875&amp;"/"&amp;C875,そのた定義!E:E,0)), 0, 1)</f>
        <v>0</v>
      </c>
      <c r="I875" s="26" t="b">
        <f t="shared" si="124"/>
        <v>0</v>
      </c>
      <c r="J875" s="26">
        <v>0</v>
      </c>
      <c r="K875" s="26" t="b">
        <f t="shared" si="119"/>
        <v>0</v>
      </c>
      <c r="L875" s="26" t="b">
        <f t="shared" si="120"/>
        <v>0</v>
      </c>
      <c r="M875" t="b">
        <f t="shared" si="125"/>
        <v>0</v>
      </c>
      <c r="N875" t="b">
        <f t="shared" si="126"/>
        <v>0</v>
      </c>
    </row>
    <row r="876" spans="1:14">
      <c r="A876" s="29">
        <v>45436</v>
      </c>
      <c r="B876" s="30">
        <f t="shared" si="118"/>
        <v>5</v>
      </c>
      <c r="C876" s="30">
        <f t="shared" si="121"/>
        <v>24</v>
      </c>
      <c r="D876" s="26">
        <f>MATCH(WEEKDAY(A876),そのた定義!A:A,0)</f>
        <v>7</v>
      </c>
      <c r="E876" s="26" t="str">
        <f t="shared" ca="1" si="122"/>
        <v>金</v>
      </c>
      <c r="F876" s="26">
        <f t="shared" si="123"/>
        <v>0</v>
      </c>
      <c r="G876" s="26">
        <f>IF(ISNA(MATCH(A876,祝日定義!E:E,0)),0,1)</f>
        <v>0</v>
      </c>
      <c r="H876" s="26">
        <f>IF(ISNA(MATCH(B876&amp;"/"&amp;C876,そのた定義!E:E,0)), 0, 1)</f>
        <v>0</v>
      </c>
      <c r="I876" s="26" t="b">
        <f t="shared" si="124"/>
        <v>0</v>
      </c>
      <c r="J876" s="26">
        <v>0</v>
      </c>
      <c r="K876" s="26" t="b">
        <f t="shared" si="119"/>
        <v>0</v>
      </c>
      <c r="L876" s="26" t="b">
        <f t="shared" si="120"/>
        <v>0</v>
      </c>
      <c r="M876" t="b">
        <f t="shared" si="125"/>
        <v>0</v>
      </c>
      <c r="N876" t="b">
        <f t="shared" si="126"/>
        <v>0</v>
      </c>
    </row>
    <row r="877" spans="1:14">
      <c r="A877" s="29">
        <v>45437</v>
      </c>
      <c r="B877" s="30">
        <f t="shared" si="118"/>
        <v>5</v>
      </c>
      <c r="C877" s="30">
        <f t="shared" si="121"/>
        <v>25</v>
      </c>
      <c r="D877" s="26">
        <f>MATCH(WEEKDAY(A877),そのた定義!A:A,0)</f>
        <v>8</v>
      </c>
      <c r="E877" s="33" t="str">
        <f t="shared" ca="1" si="122"/>
        <v>土</v>
      </c>
      <c r="F877" s="26">
        <f t="shared" si="123"/>
        <v>1</v>
      </c>
      <c r="G877" s="26">
        <f>IF(ISNA(MATCH(A877,祝日定義!E:E,0)),0,1)</f>
        <v>0</v>
      </c>
      <c r="H877" s="26">
        <f>IF(ISNA(MATCH(B877&amp;"/"&amp;C877,そのた定義!E:E,0)), 0, 1)</f>
        <v>0</v>
      </c>
      <c r="I877" s="23" t="b">
        <f t="shared" si="124"/>
        <v>1</v>
      </c>
      <c r="J877" s="26">
        <v>0</v>
      </c>
      <c r="K877" s="26" t="b">
        <f t="shared" si="119"/>
        <v>0</v>
      </c>
      <c r="L877" s="23" t="b">
        <f t="shared" si="120"/>
        <v>1</v>
      </c>
      <c r="M877" t="b">
        <f t="shared" si="125"/>
        <v>0</v>
      </c>
      <c r="N877" t="b">
        <f t="shared" si="126"/>
        <v>0</v>
      </c>
    </row>
    <row r="878" spans="1:14">
      <c r="A878" s="29">
        <v>45438</v>
      </c>
      <c r="B878" s="30">
        <f t="shared" si="118"/>
        <v>5</v>
      </c>
      <c r="C878" s="30">
        <f t="shared" si="121"/>
        <v>26</v>
      </c>
      <c r="D878" s="26">
        <f>MATCH(WEEKDAY(A878),そのた定義!A:A,0)</f>
        <v>2</v>
      </c>
      <c r="E878" s="32" t="str">
        <f t="shared" ca="1" si="122"/>
        <v>日</v>
      </c>
      <c r="F878" s="26">
        <f t="shared" si="123"/>
        <v>1</v>
      </c>
      <c r="G878" s="26">
        <f>IF(ISNA(MATCH(A878,祝日定義!E:E,0)),0,1)</f>
        <v>0</v>
      </c>
      <c r="H878" s="26">
        <f>IF(ISNA(MATCH(B878&amp;"/"&amp;C878,そのた定義!E:E,0)), 0, 1)</f>
        <v>0</v>
      </c>
      <c r="I878" s="23" t="b">
        <f t="shared" si="124"/>
        <v>1</v>
      </c>
      <c r="J878" s="26">
        <v>0</v>
      </c>
      <c r="K878" s="26" t="b">
        <f t="shared" si="119"/>
        <v>0</v>
      </c>
      <c r="L878" s="26" t="b">
        <f t="shared" si="120"/>
        <v>0</v>
      </c>
      <c r="M878" t="b">
        <f t="shared" si="125"/>
        <v>0</v>
      </c>
      <c r="N878" t="b">
        <f t="shared" si="126"/>
        <v>0</v>
      </c>
    </row>
    <row r="879" spans="1:14">
      <c r="A879" s="29">
        <v>45439</v>
      </c>
      <c r="B879" s="30">
        <f t="shared" si="118"/>
        <v>5</v>
      </c>
      <c r="C879" s="30">
        <f t="shared" si="121"/>
        <v>27</v>
      </c>
      <c r="D879" s="26">
        <f>MATCH(WEEKDAY(A879),そのた定義!A:A,0)</f>
        <v>3</v>
      </c>
      <c r="E879" s="26" t="str">
        <f t="shared" ca="1" si="122"/>
        <v>月</v>
      </c>
      <c r="F879" s="26">
        <f t="shared" si="123"/>
        <v>0</v>
      </c>
      <c r="G879" s="26">
        <f>IF(ISNA(MATCH(A879,祝日定義!E:E,0)),0,1)</f>
        <v>0</v>
      </c>
      <c r="H879" s="26">
        <f>IF(ISNA(MATCH(B879&amp;"/"&amp;C879,そのた定義!E:E,0)), 0, 1)</f>
        <v>0</v>
      </c>
      <c r="I879" s="26" t="b">
        <f t="shared" si="124"/>
        <v>0</v>
      </c>
      <c r="J879" s="26">
        <v>2</v>
      </c>
      <c r="K879" s="23" t="b">
        <f t="shared" si="119"/>
        <v>1</v>
      </c>
      <c r="L879" s="26" t="b">
        <f t="shared" si="120"/>
        <v>0</v>
      </c>
      <c r="M879" t="b">
        <f t="shared" si="125"/>
        <v>0</v>
      </c>
      <c r="N879" t="b">
        <f t="shared" si="126"/>
        <v>0</v>
      </c>
    </row>
    <row r="880" spans="1:14">
      <c r="A880" s="29">
        <v>45440</v>
      </c>
      <c r="B880" s="30">
        <f t="shared" si="118"/>
        <v>5</v>
      </c>
      <c r="C880" s="30">
        <f t="shared" si="121"/>
        <v>28</v>
      </c>
      <c r="D880" s="26">
        <f>MATCH(WEEKDAY(A880),そのた定義!A:A,0)</f>
        <v>4</v>
      </c>
      <c r="E880" s="26" t="str">
        <f t="shared" ca="1" si="122"/>
        <v>火</v>
      </c>
      <c r="F880" s="26">
        <f t="shared" si="123"/>
        <v>0</v>
      </c>
      <c r="G880" s="26">
        <f>IF(ISNA(MATCH(A880,祝日定義!E:E,0)),0,1)</f>
        <v>0</v>
      </c>
      <c r="H880" s="26">
        <f>IF(ISNA(MATCH(B880&amp;"/"&amp;C880,そのた定義!E:E,0)), 0, 1)</f>
        <v>0</v>
      </c>
      <c r="I880" s="26" t="b">
        <f t="shared" si="124"/>
        <v>0</v>
      </c>
      <c r="J880" s="26">
        <v>0</v>
      </c>
      <c r="K880" s="26" t="b">
        <f t="shared" si="119"/>
        <v>0</v>
      </c>
      <c r="L880" s="26" t="b">
        <f t="shared" si="120"/>
        <v>0</v>
      </c>
      <c r="M880" t="b">
        <f t="shared" si="125"/>
        <v>0</v>
      </c>
      <c r="N880" t="b">
        <f t="shared" si="126"/>
        <v>0</v>
      </c>
    </row>
    <row r="881" spans="1:14">
      <c r="A881" s="29">
        <v>45441</v>
      </c>
      <c r="B881" s="30">
        <f t="shared" si="118"/>
        <v>5</v>
      </c>
      <c r="C881" s="30">
        <f t="shared" si="121"/>
        <v>29</v>
      </c>
      <c r="D881" s="26">
        <f>MATCH(WEEKDAY(A881),そのた定義!A:A,0)</f>
        <v>5</v>
      </c>
      <c r="E881" s="26" t="str">
        <f t="shared" ca="1" si="122"/>
        <v>水</v>
      </c>
      <c r="F881" s="26">
        <f t="shared" si="123"/>
        <v>0</v>
      </c>
      <c r="G881" s="26">
        <f>IF(ISNA(MATCH(A881,祝日定義!E:E,0)),0,1)</f>
        <v>0</v>
      </c>
      <c r="H881" s="26">
        <f>IF(ISNA(MATCH(B881&amp;"/"&amp;C881,そのた定義!E:E,0)), 0, 1)</f>
        <v>0</v>
      </c>
      <c r="I881" s="26" t="b">
        <f t="shared" si="124"/>
        <v>0</v>
      </c>
      <c r="J881" s="26">
        <v>0</v>
      </c>
      <c r="K881" s="26" t="b">
        <f t="shared" si="119"/>
        <v>0</v>
      </c>
      <c r="L881" s="26" t="b">
        <f t="shared" si="120"/>
        <v>0</v>
      </c>
      <c r="M881" t="b">
        <f t="shared" si="125"/>
        <v>0</v>
      </c>
      <c r="N881" t="b">
        <f t="shared" si="126"/>
        <v>0</v>
      </c>
    </row>
    <row r="882" spans="1:14">
      <c r="A882" s="29">
        <v>45442</v>
      </c>
      <c r="B882" s="30">
        <f t="shared" si="118"/>
        <v>5</v>
      </c>
      <c r="C882" s="30">
        <f t="shared" si="121"/>
        <v>30</v>
      </c>
      <c r="D882" s="26">
        <f>MATCH(WEEKDAY(A882),そのた定義!A:A,0)</f>
        <v>6</v>
      </c>
      <c r="E882" s="26" t="str">
        <f t="shared" ca="1" si="122"/>
        <v>木</v>
      </c>
      <c r="F882" s="26">
        <f t="shared" si="123"/>
        <v>0</v>
      </c>
      <c r="G882" s="26">
        <f>IF(ISNA(MATCH(A882,祝日定義!E:E,0)),0,1)</f>
        <v>0</v>
      </c>
      <c r="H882" s="26">
        <f>IF(ISNA(MATCH(B882&amp;"/"&amp;C882,そのた定義!E:E,0)), 0, 1)</f>
        <v>0</v>
      </c>
      <c r="I882" s="26" t="b">
        <f t="shared" si="124"/>
        <v>0</v>
      </c>
      <c r="J882" s="26">
        <v>0</v>
      </c>
      <c r="K882" s="26" t="b">
        <f t="shared" si="119"/>
        <v>0</v>
      </c>
      <c r="L882" s="26" t="b">
        <f t="shared" si="120"/>
        <v>0</v>
      </c>
      <c r="M882" t="b">
        <f t="shared" si="125"/>
        <v>0</v>
      </c>
      <c r="N882" t="b">
        <f t="shared" si="126"/>
        <v>0</v>
      </c>
    </row>
    <row r="883" spans="1:14">
      <c r="A883" s="29">
        <v>45443</v>
      </c>
      <c r="B883" s="30">
        <f t="shared" si="118"/>
        <v>5</v>
      </c>
      <c r="C883" s="30">
        <f t="shared" si="121"/>
        <v>31</v>
      </c>
      <c r="D883" s="26">
        <f>MATCH(WEEKDAY(A883),そのた定義!A:A,0)</f>
        <v>7</v>
      </c>
      <c r="E883" s="26" t="str">
        <f t="shared" ca="1" si="122"/>
        <v>金</v>
      </c>
      <c r="F883" s="26">
        <f t="shared" si="123"/>
        <v>0</v>
      </c>
      <c r="G883" s="26">
        <f>IF(ISNA(MATCH(A883,祝日定義!E:E,0)),0,1)</f>
        <v>0</v>
      </c>
      <c r="H883" s="26">
        <f>IF(ISNA(MATCH(B883&amp;"/"&amp;C883,そのた定義!E:E,0)), 0, 1)</f>
        <v>0</v>
      </c>
      <c r="I883" s="26" t="b">
        <f t="shared" si="124"/>
        <v>0</v>
      </c>
      <c r="J883" s="26">
        <v>0</v>
      </c>
      <c r="K883" s="26" t="b">
        <f t="shared" si="119"/>
        <v>0</v>
      </c>
      <c r="L883" s="26" t="b">
        <f t="shared" si="120"/>
        <v>0</v>
      </c>
      <c r="M883" t="b">
        <f t="shared" si="125"/>
        <v>0</v>
      </c>
      <c r="N883" t="b">
        <f t="shared" si="126"/>
        <v>1</v>
      </c>
    </row>
    <row r="884" spans="1:14">
      <c r="A884" s="29">
        <v>45444</v>
      </c>
      <c r="B884" s="30">
        <f t="shared" si="118"/>
        <v>6</v>
      </c>
      <c r="C884" s="30">
        <f t="shared" si="121"/>
        <v>1</v>
      </c>
      <c r="D884" s="26">
        <f>MATCH(WEEKDAY(A884),そのた定義!A:A,0)</f>
        <v>8</v>
      </c>
      <c r="E884" s="33" t="str">
        <f t="shared" ca="1" si="122"/>
        <v>土</v>
      </c>
      <c r="F884" s="26">
        <f t="shared" si="123"/>
        <v>1</v>
      </c>
      <c r="G884" s="26">
        <f>IF(ISNA(MATCH(A884,祝日定義!E:E,0)),0,1)</f>
        <v>0</v>
      </c>
      <c r="H884" s="26">
        <f>IF(ISNA(MATCH(B884&amp;"/"&amp;C884,そのた定義!E:E,0)), 0, 1)</f>
        <v>0</v>
      </c>
      <c r="I884" s="23" t="b">
        <f t="shared" si="124"/>
        <v>1</v>
      </c>
      <c r="J884" s="26">
        <v>0</v>
      </c>
      <c r="K884" s="26" t="b">
        <f t="shared" si="119"/>
        <v>0</v>
      </c>
      <c r="L884" s="26" t="b">
        <f t="shared" si="120"/>
        <v>0</v>
      </c>
      <c r="M884" t="b">
        <f t="shared" si="125"/>
        <v>0</v>
      </c>
      <c r="N884" t="b">
        <f t="shared" si="126"/>
        <v>0</v>
      </c>
    </row>
    <row r="885" spans="1:14">
      <c r="A885" s="29">
        <v>45445</v>
      </c>
      <c r="B885" s="30">
        <f t="shared" si="118"/>
        <v>6</v>
      </c>
      <c r="C885" s="30">
        <f t="shared" si="121"/>
        <v>2</v>
      </c>
      <c r="D885" s="26">
        <f>MATCH(WEEKDAY(A885),そのた定義!A:A,0)</f>
        <v>2</v>
      </c>
      <c r="E885" s="32" t="str">
        <f t="shared" ca="1" si="122"/>
        <v>日</v>
      </c>
      <c r="F885" s="26">
        <f t="shared" si="123"/>
        <v>1</v>
      </c>
      <c r="G885" s="26">
        <f>IF(ISNA(MATCH(A885,祝日定義!E:E,0)),0,1)</f>
        <v>0</v>
      </c>
      <c r="H885" s="26">
        <f>IF(ISNA(MATCH(B885&amp;"/"&amp;C885,そのた定義!E:E,0)), 0, 1)</f>
        <v>0</v>
      </c>
      <c r="I885" s="23" t="b">
        <f t="shared" si="124"/>
        <v>1</v>
      </c>
      <c r="J885" s="26">
        <v>0</v>
      </c>
      <c r="K885" s="26" t="b">
        <f t="shared" si="119"/>
        <v>0</v>
      </c>
      <c r="L885" s="26" t="b">
        <f t="shared" si="120"/>
        <v>0</v>
      </c>
      <c r="M885" t="b">
        <f t="shared" si="125"/>
        <v>0</v>
      </c>
      <c r="N885" t="b">
        <f t="shared" si="126"/>
        <v>0</v>
      </c>
    </row>
    <row r="886" spans="1:14">
      <c r="A886" s="29">
        <v>45446</v>
      </c>
      <c r="B886" s="30">
        <f t="shared" si="118"/>
        <v>6</v>
      </c>
      <c r="C886" s="30">
        <f t="shared" si="121"/>
        <v>3</v>
      </c>
      <c r="D886" s="26">
        <f>MATCH(WEEKDAY(A886),そのた定義!A:A,0)</f>
        <v>3</v>
      </c>
      <c r="E886" s="26" t="str">
        <f t="shared" ca="1" si="122"/>
        <v>月</v>
      </c>
      <c r="F886" s="26">
        <f t="shared" si="123"/>
        <v>0</v>
      </c>
      <c r="G886" s="26">
        <f>IF(ISNA(MATCH(A886,祝日定義!E:E,0)),0,1)</f>
        <v>0</v>
      </c>
      <c r="H886" s="26">
        <f>IF(ISNA(MATCH(B886&amp;"/"&amp;C886,そのた定義!E:E,0)), 0, 1)</f>
        <v>0</v>
      </c>
      <c r="I886" s="26" t="b">
        <f t="shared" si="124"/>
        <v>0</v>
      </c>
      <c r="J886" s="26">
        <v>2</v>
      </c>
      <c r="K886" s="26" t="b">
        <f t="shared" si="119"/>
        <v>0</v>
      </c>
      <c r="L886" s="26" t="b">
        <f t="shared" si="120"/>
        <v>0</v>
      </c>
      <c r="M886" t="b">
        <f t="shared" si="125"/>
        <v>0</v>
      </c>
      <c r="N886" t="b">
        <f t="shared" si="126"/>
        <v>0</v>
      </c>
    </row>
    <row r="887" spans="1:14">
      <c r="A887" s="29">
        <v>45447</v>
      </c>
      <c r="B887" s="30">
        <f t="shared" si="118"/>
        <v>6</v>
      </c>
      <c r="C887" s="30">
        <f t="shared" si="121"/>
        <v>4</v>
      </c>
      <c r="D887" s="26">
        <f>MATCH(WEEKDAY(A887),そのた定義!A:A,0)</f>
        <v>4</v>
      </c>
      <c r="E887" s="26" t="str">
        <f t="shared" ca="1" si="122"/>
        <v>火</v>
      </c>
      <c r="F887" s="26">
        <f t="shared" si="123"/>
        <v>0</v>
      </c>
      <c r="G887" s="26">
        <f>IF(ISNA(MATCH(A887,祝日定義!E:E,0)),0,1)</f>
        <v>0</v>
      </c>
      <c r="H887" s="26">
        <f>IF(ISNA(MATCH(B887&amp;"/"&amp;C887,そのた定義!E:E,0)), 0, 1)</f>
        <v>0</v>
      </c>
      <c r="I887" s="26" t="b">
        <f t="shared" si="124"/>
        <v>0</v>
      </c>
      <c r="J887" s="26">
        <v>0</v>
      </c>
      <c r="K887" s="26" t="b">
        <f t="shared" si="119"/>
        <v>0</v>
      </c>
      <c r="L887" s="26" t="b">
        <f t="shared" si="120"/>
        <v>0</v>
      </c>
      <c r="M887" t="b">
        <f t="shared" si="125"/>
        <v>0</v>
      </c>
      <c r="N887" t="b">
        <f t="shared" si="126"/>
        <v>0</v>
      </c>
    </row>
    <row r="888" spans="1:14">
      <c r="A888" s="29">
        <v>45448</v>
      </c>
      <c r="B888" s="30">
        <f t="shared" si="118"/>
        <v>6</v>
      </c>
      <c r="C888" s="30">
        <f t="shared" si="121"/>
        <v>5</v>
      </c>
      <c r="D888" s="26">
        <f>MATCH(WEEKDAY(A888),そのた定義!A:A,0)</f>
        <v>5</v>
      </c>
      <c r="E888" s="26" t="str">
        <f t="shared" ca="1" si="122"/>
        <v>水</v>
      </c>
      <c r="F888" s="26">
        <f t="shared" si="123"/>
        <v>0</v>
      </c>
      <c r="G888" s="26">
        <f>IF(ISNA(MATCH(A888,祝日定義!E:E,0)),0,1)</f>
        <v>0</v>
      </c>
      <c r="H888" s="26">
        <f>IF(ISNA(MATCH(B888&amp;"/"&amp;C888,そのた定義!E:E,0)), 0, 1)</f>
        <v>0</v>
      </c>
      <c r="I888" s="26" t="b">
        <f t="shared" si="124"/>
        <v>0</v>
      </c>
      <c r="J888" s="26">
        <v>0</v>
      </c>
      <c r="K888" s="26" t="b">
        <f t="shared" si="119"/>
        <v>0</v>
      </c>
      <c r="L888" s="26" t="b">
        <f t="shared" si="120"/>
        <v>0</v>
      </c>
      <c r="M888" t="b">
        <f t="shared" si="125"/>
        <v>0</v>
      </c>
      <c r="N888" t="b">
        <f t="shared" si="126"/>
        <v>0</v>
      </c>
    </row>
    <row r="889" spans="1:14">
      <c r="A889" s="29">
        <v>45449</v>
      </c>
      <c r="B889" s="30">
        <f t="shared" si="118"/>
        <v>6</v>
      </c>
      <c r="C889" s="30">
        <f t="shared" si="121"/>
        <v>6</v>
      </c>
      <c r="D889" s="26">
        <f>MATCH(WEEKDAY(A889),そのた定義!A:A,0)</f>
        <v>6</v>
      </c>
      <c r="E889" s="26" t="str">
        <f t="shared" ca="1" si="122"/>
        <v>木</v>
      </c>
      <c r="F889" s="26">
        <f t="shared" si="123"/>
        <v>0</v>
      </c>
      <c r="G889" s="26">
        <f>IF(ISNA(MATCH(A889,祝日定義!E:E,0)),0,1)</f>
        <v>0</v>
      </c>
      <c r="H889" s="26">
        <f>IF(ISNA(MATCH(B889&amp;"/"&amp;C889,そのた定義!E:E,0)), 0, 1)</f>
        <v>0</v>
      </c>
      <c r="I889" s="26" t="b">
        <f t="shared" si="124"/>
        <v>0</v>
      </c>
      <c r="J889" s="26">
        <v>0</v>
      </c>
      <c r="K889" s="26" t="b">
        <f t="shared" si="119"/>
        <v>0</v>
      </c>
      <c r="L889" s="26" t="b">
        <f t="shared" si="120"/>
        <v>0</v>
      </c>
      <c r="M889" t="b">
        <f t="shared" si="125"/>
        <v>0</v>
      </c>
      <c r="N889" t="b">
        <f t="shared" si="126"/>
        <v>0</v>
      </c>
    </row>
    <row r="890" spans="1:14">
      <c r="A890" s="29">
        <v>45450</v>
      </c>
      <c r="B890" s="30">
        <f t="shared" si="118"/>
        <v>6</v>
      </c>
      <c r="C890" s="30">
        <f t="shared" si="121"/>
        <v>7</v>
      </c>
      <c r="D890" s="26">
        <f>MATCH(WEEKDAY(A890),そのた定義!A:A,0)</f>
        <v>7</v>
      </c>
      <c r="E890" s="26" t="str">
        <f t="shared" ca="1" si="122"/>
        <v>金</v>
      </c>
      <c r="F890" s="26">
        <f t="shared" si="123"/>
        <v>0</v>
      </c>
      <c r="G890" s="26">
        <f>IF(ISNA(MATCH(A890,祝日定義!E:E,0)),0,1)</f>
        <v>0</v>
      </c>
      <c r="H890" s="26">
        <f>IF(ISNA(MATCH(B890&amp;"/"&amp;C890,そのた定義!E:E,0)), 0, 1)</f>
        <v>0</v>
      </c>
      <c r="I890" s="26" t="b">
        <f t="shared" si="124"/>
        <v>0</v>
      </c>
      <c r="J890" s="26">
        <v>0</v>
      </c>
      <c r="K890" s="26" t="b">
        <f t="shared" si="119"/>
        <v>0</v>
      </c>
      <c r="L890" s="26" t="b">
        <f t="shared" si="120"/>
        <v>0</v>
      </c>
      <c r="M890" t="b">
        <f t="shared" si="125"/>
        <v>0</v>
      </c>
      <c r="N890" t="b">
        <f t="shared" si="126"/>
        <v>0</v>
      </c>
    </row>
    <row r="891" spans="1:14">
      <c r="A891" s="29">
        <v>45451</v>
      </c>
      <c r="B891" s="30">
        <f t="shared" si="118"/>
        <v>6</v>
      </c>
      <c r="C891" s="30">
        <f t="shared" si="121"/>
        <v>8</v>
      </c>
      <c r="D891" s="26">
        <f>MATCH(WEEKDAY(A891),そのた定義!A:A,0)</f>
        <v>8</v>
      </c>
      <c r="E891" s="33" t="str">
        <f t="shared" ca="1" si="122"/>
        <v>土</v>
      </c>
      <c r="F891" s="26">
        <f t="shared" si="123"/>
        <v>1</v>
      </c>
      <c r="G891" s="26">
        <f>IF(ISNA(MATCH(A891,祝日定義!E:E,0)),0,1)</f>
        <v>0</v>
      </c>
      <c r="H891" s="26">
        <f>IF(ISNA(MATCH(B891&amp;"/"&amp;C891,そのた定義!E:E,0)), 0, 1)</f>
        <v>0</v>
      </c>
      <c r="I891" s="23" t="b">
        <f t="shared" si="124"/>
        <v>1</v>
      </c>
      <c r="J891" s="26">
        <v>0</v>
      </c>
      <c r="K891" s="26" t="b">
        <f t="shared" si="119"/>
        <v>0</v>
      </c>
      <c r="L891" s="26" t="b">
        <f t="shared" si="120"/>
        <v>0</v>
      </c>
      <c r="M891" t="b">
        <f t="shared" si="125"/>
        <v>0</v>
      </c>
      <c r="N891" t="b">
        <f t="shared" si="126"/>
        <v>0</v>
      </c>
    </row>
    <row r="892" spans="1:14">
      <c r="A892" s="29">
        <v>45452</v>
      </c>
      <c r="B892" s="30">
        <f t="shared" si="118"/>
        <v>6</v>
      </c>
      <c r="C892" s="30">
        <f t="shared" si="121"/>
        <v>9</v>
      </c>
      <c r="D892" s="26">
        <f>MATCH(WEEKDAY(A892),そのた定義!A:A,0)</f>
        <v>2</v>
      </c>
      <c r="E892" s="32" t="str">
        <f t="shared" ca="1" si="122"/>
        <v>日</v>
      </c>
      <c r="F892" s="26">
        <f t="shared" si="123"/>
        <v>1</v>
      </c>
      <c r="G892" s="26">
        <f>IF(ISNA(MATCH(A892,祝日定義!E:E,0)),0,1)</f>
        <v>0</v>
      </c>
      <c r="H892" s="26">
        <f>IF(ISNA(MATCH(B892&amp;"/"&amp;C892,そのた定義!E:E,0)), 0, 1)</f>
        <v>0</v>
      </c>
      <c r="I892" s="23" t="b">
        <f t="shared" si="124"/>
        <v>1</v>
      </c>
      <c r="J892" s="26">
        <v>0</v>
      </c>
      <c r="K892" s="26" t="b">
        <f t="shared" si="119"/>
        <v>0</v>
      </c>
      <c r="L892" s="26" t="b">
        <f t="shared" si="120"/>
        <v>0</v>
      </c>
      <c r="M892" t="b">
        <f t="shared" si="125"/>
        <v>0</v>
      </c>
      <c r="N892" t="b">
        <f t="shared" si="126"/>
        <v>0</v>
      </c>
    </row>
    <row r="893" spans="1:14">
      <c r="A893" s="29">
        <v>45453</v>
      </c>
      <c r="B893" s="30">
        <f t="shared" si="118"/>
        <v>6</v>
      </c>
      <c r="C893" s="30">
        <f t="shared" si="121"/>
        <v>10</v>
      </c>
      <c r="D893" s="26">
        <f>MATCH(WEEKDAY(A893),そのた定義!A:A,0)</f>
        <v>3</v>
      </c>
      <c r="E893" s="26" t="str">
        <f t="shared" ca="1" si="122"/>
        <v>月</v>
      </c>
      <c r="F893" s="26">
        <f t="shared" si="123"/>
        <v>0</v>
      </c>
      <c r="G893" s="26">
        <f>IF(ISNA(MATCH(A893,祝日定義!E:E,0)),0,1)</f>
        <v>0</v>
      </c>
      <c r="H893" s="26">
        <f>IF(ISNA(MATCH(B893&amp;"/"&amp;C893,そのた定義!E:E,0)), 0, 1)</f>
        <v>0</v>
      </c>
      <c r="I893" s="26" t="b">
        <f t="shared" si="124"/>
        <v>0</v>
      </c>
      <c r="J893" s="26">
        <v>2</v>
      </c>
      <c r="K893" s="26" t="b">
        <f t="shared" si="119"/>
        <v>0</v>
      </c>
      <c r="L893" s="26" t="b">
        <f t="shared" si="120"/>
        <v>0</v>
      </c>
      <c r="M893" t="b">
        <f t="shared" si="125"/>
        <v>0</v>
      </c>
      <c r="N893" t="b">
        <f t="shared" si="126"/>
        <v>0</v>
      </c>
    </row>
    <row r="894" spans="1:14">
      <c r="A894" s="29">
        <v>45454</v>
      </c>
      <c r="B894" s="30">
        <f t="shared" si="118"/>
        <v>6</v>
      </c>
      <c r="C894" s="30">
        <f t="shared" si="121"/>
        <v>11</v>
      </c>
      <c r="D894" s="26">
        <f>MATCH(WEEKDAY(A894),そのた定義!A:A,0)</f>
        <v>4</v>
      </c>
      <c r="E894" s="26" t="str">
        <f t="shared" ca="1" si="122"/>
        <v>火</v>
      </c>
      <c r="F894" s="26">
        <f t="shared" si="123"/>
        <v>0</v>
      </c>
      <c r="G894" s="26">
        <f>IF(ISNA(MATCH(A894,祝日定義!E:E,0)),0,1)</f>
        <v>0</v>
      </c>
      <c r="H894" s="26">
        <f>IF(ISNA(MATCH(B894&amp;"/"&amp;C894,そのた定義!E:E,0)), 0, 1)</f>
        <v>0</v>
      </c>
      <c r="I894" s="26" t="b">
        <f t="shared" si="124"/>
        <v>0</v>
      </c>
      <c r="J894" s="26">
        <v>0</v>
      </c>
      <c r="K894" s="26" t="b">
        <f t="shared" si="119"/>
        <v>0</v>
      </c>
      <c r="L894" s="26" t="b">
        <f t="shared" si="120"/>
        <v>0</v>
      </c>
      <c r="M894" t="b">
        <f t="shared" si="125"/>
        <v>0</v>
      </c>
      <c r="N894" t="b">
        <f t="shared" si="126"/>
        <v>0</v>
      </c>
    </row>
    <row r="895" spans="1:14">
      <c r="A895" s="29">
        <v>45455</v>
      </c>
      <c r="B895" s="30">
        <f t="shared" si="118"/>
        <v>6</v>
      </c>
      <c r="C895" s="30">
        <f t="shared" si="121"/>
        <v>12</v>
      </c>
      <c r="D895" s="26">
        <f>MATCH(WEEKDAY(A895),そのた定義!A:A,0)</f>
        <v>5</v>
      </c>
      <c r="E895" s="26" t="str">
        <f t="shared" ca="1" si="122"/>
        <v>水</v>
      </c>
      <c r="F895" s="26">
        <f t="shared" si="123"/>
        <v>0</v>
      </c>
      <c r="G895" s="26">
        <f>IF(ISNA(MATCH(A895,祝日定義!E:E,0)),0,1)</f>
        <v>0</v>
      </c>
      <c r="H895" s="26">
        <f>IF(ISNA(MATCH(B895&amp;"/"&amp;C895,そのた定義!E:E,0)), 0, 1)</f>
        <v>0</v>
      </c>
      <c r="I895" s="26" t="b">
        <f t="shared" si="124"/>
        <v>0</v>
      </c>
      <c r="J895" s="26">
        <v>0</v>
      </c>
      <c r="K895" s="26" t="b">
        <f t="shared" si="119"/>
        <v>0</v>
      </c>
      <c r="L895" s="26" t="b">
        <f t="shared" si="120"/>
        <v>0</v>
      </c>
      <c r="M895" t="b">
        <f t="shared" si="125"/>
        <v>0</v>
      </c>
      <c r="N895" t="b">
        <f t="shared" si="126"/>
        <v>0</v>
      </c>
    </row>
    <row r="896" spans="1:14">
      <c r="A896" s="29">
        <v>45456</v>
      </c>
      <c r="B896" s="30">
        <f t="shared" si="118"/>
        <v>6</v>
      </c>
      <c r="C896" s="30">
        <f t="shared" si="121"/>
        <v>13</v>
      </c>
      <c r="D896" s="26">
        <f>MATCH(WEEKDAY(A896),そのた定義!A:A,0)</f>
        <v>6</v>
      </c>
      <c r="E896" s="26" t="str">
        <f t="shared" ca="1" si="122"/>
        <v>木</v>
      </c>
      <c r="F896" s="26">
        <f t="shared" si="123"/>
        <v>0</v>
      </c>
      <c r="G896" s="26">
        <f>IF(ISNA(MATCH(A896,祝日定義!E:E,0)),0,1)</f>
        <v>0</v>
      </c>
      <c r="H896" s="26">
        <f>IF(ISNA(MATCH(B896&amp;"/"&amp;C896,そのた定義!E:E,0)), 0, 1)</f>
        <v>0</v>
      </c>
      <c r="I896" s="26" t="b">
        <f t="shared" si="124"/>
        <v>0</v>
      </c>
      <c r="J896" s="26">
        <v>0</v>
      </c>
      <c r="K896" s="26" t="b">
        <f t="shared" si="119"/>
        <v>0</v>
      </c>
      <c r="L896" s="26" t="b">
        <f t="shared" si="120"/>
        <v>0</v>
      </c>
      <c r="M896" t="b">
        <f t="shared" si="125"/>
        <v>0</v>
      </c>
      <c r="N896" t="b">
        <f t="shared" si="126"/>
        <v>0</v>
      </c>
    </row>
    <row r="897" spans="1:14">
      <c r="A897" s="29">
        <v>45457</v>
      </c>
      <c r="B897" s="30">
        <f t="shared" si="118"/>
        <v>6</v>
      </c>
      <c r="C897" s="30">
        <f t="shared" si="121"/>
        <v>14</v>
      </c>
      <c r="D897" s="26">
        <f>MATCH(WEEKDAY(A897),そのた定義!A:A,0)</f>
        <v>7</v>
      </c>
      <c r="E897" s="26" t="str">
        <f t="shared" ca="1" si="122"/>
        <v>金</v>
      </c>
      <c r="F897" s="26">
        <f t="shared" si="123"/>
        <v>0</v>
      </c>
      <c r="G897" s="26">
        <f>IF(ISNA(MATCH(A897,祝日定義!E:E,0)),0,1)</f>
        <v>0</v>
      </c>
      <c r="H897" s="26">
        <f>IF(ISNA(MATCH(B897&amp;"/"&amp;C897,そのた定義!E:E,0)), 0, 1)</f>
        <v>0</v>
      </c>
      <c r="I897" s="26" t="b">
        <f t="shared" si="124"/>
        <v>0</v>
      </c>
      <c r="J897" s="26">
        <v>0</v>
      </c>
      <c r="K897" s="26" t="b">
        <f t="shared" si="119"/>
        <v>0</v>
      </c>
      <c r="L897" s="26" t="b">
        <f t="shared" si="120"/>
        <v>0</v>
      </c>
      <c r="M897" t="b">
        <f t="shared" si="125"/>
        <v>0</v>
      </c>
      <c r="N897" t="b">
        <f t="shared" si="126"/>
        <v>0</v>
      </c>
    </row>
    <row r="898" spans="1:14">
      <c r="A898" s="29">
        <v>45458</v>
      </c>
      <c r="B898" s="30">
        <f t="shared" ref="B898:B961" si="127">MONTH(A898)</f>
        <v>6</v>
      </c>
      <c r="C898" s="30">
        <f t="shared" si="121"/>
        <v>15</v>
      </c>
      <c r="D898" s="26">
        <f>MATCH(WEEKDAY(A898),そのた定義!A:A,0)</f>
        <v>8</v>
      </c>
      <c r="E898" s="33" t="str">
        <f t="shared" ca="1" si="122"/>
        <v>土</v>
      </c>
      <c r="F898" s="26">
        <f t="shared" si="123"/>
        <v>1</v>
      </c>
      <c r="G898" s="26">
        <f>IF(ISNA(MATCH(A898,祝日定義!E:E,0)),0,1)</f>
        <v>0</v>
      </c>
      <c r="H898" s="26">
        <f>IF(ISNA(MATCH(B898&amp;"/"&amp;C898,そのた定義!E:E,0)), 0, 1)</f>
        <v>0</v>
      </c>
      <c r="I898" s="23" t="b">
        <f t="shared" si="124"/>
        <v>1</v>
      </c>
      <c r="J898" s="26">
        <v>0</v>
      </c>
      <c r="K898" s="26" t="b">
        <f t="shared" ref="K898:K961" si="128">AND(C898&gt;25,DAY(A898-J898)&lt;=25)</f>
        <v>0</v>
      </c>
      <c r="L898" s="26" t="b">
        <f t="shared" ref="L898:L961" si="129">C898=25</f>
        <v>0</v>
      </c>
      <c r="M898" t="b">
        <f t="shared" si="125"/>
        <v>0</v>
      </c>
      <c r="N898" t="b">
        <f t="shared" si="126"/>
        <v>0</v>
      </c>
    </row>
    <row r="899" spans="1:14">
      <c r="A899" s="29">
        <v>45459</v>
      </c>
      <c r="B899" s="30">
        <f t="shared" si="127"/>
        <v>6</v>
      </c>
      <c r="C899" s="30">
        <f t="shared" ref="C899:C962" si="130">DAY(A899)</f>
        <v>16</v>
      </c>
      <c r="D899" s="26">
        <f>MATCH(WEEKDAY(A899),そのた定義!A:A,0)</f>
        <v>2</v>
      </c>
      <c r="E899" s="32" t="str">
        <f t="shared" ref="E899:E962" ca="1" si="131">INDIRECT("そのた定義!"&amp;"B"&amp;D899)</f>
        <v>日</v>
      </c>
      <c r="F899" s="26">
        <f t="shared" ref="F899:F962" si="132">IF(OR(D899=8,D899=2),1,0)</f>
        <v>1</v>
      </c>
      <c r="G899" s="26">
        <f>IF(ISNA(MATCH(A899,祝日定義!E:E,0)),0,1)</f>
        <v>0</v>
      </c>
      <c r="H899" s="26">
        <f>IF(ISNA(MATCH(B899&amp;"/"&amp;C899,そのた定義!E:E,0)), 0, 1)</f>
        <v>0</v>
      </c>
      <c r="I899" s="23" t="b">
        <f t="shared" ref="I899:I962" si="133">SUM(F899:H899)&gt;0</f>
        <v>1</v>
      </c>
      <c r="J899" s="26">
        <v>0</v>
      </c>
      <c r="K899" s="26" t="b">
        <f t="shared" si="128"/>
        <v>0</v>
      </c>
      <c r="L899" s="26" t="b">
        <f t="shared" si="129"/>
        <v>0</v>
      </c>
      <c r="M899" t="b">
        <f t="shared" ref="M899:M962" si="134">B899&lt;&gt;MONTH(A899-J899)</f>
        <v>0</v>
      </c>
      <c r="N899" t="b">
        <f t="shared" ref="N899:N962" si="135">B899&lt;&gt;MONTH(A899+1)</f>
        <v>0</v>
      </c>
    </row>
    <row r="900" spans="1:14">
      <c r="A900" s="29">
        <v>45460</v>
      </c>
      <c r="B900" s="30">
        <f t="shared" si="127"/>
        <v>6</v>
      </c>
      <c r="C900" s="30">
        <f t="shared" si="130"/>
        <v>17</v>
      </c>
      <c r="D900" s="26">
        <f>MATCH(WEEKDAY(A900),そのた定義!A:A,0)</f>
        <v>3</v>
      </c>
      <c r="E900" s="26" t="str">
        <f t="shared" ca="1" si="131"/>
        <v>月</v>
      </c>
      <c r="F900" s="26">
        <f t="shared" si="132"/>
        <v>0</v>
      </c>
      <c r="G900" s="26">
        <f>IF(ISNA(MATCH(A900,祝日定義!E:E,0)),0,1)</f>
        <v>0</v>
      </c>
      <c r="H900" s="26">
        <f>IF(ISNA(MATCH(B900&amp;"/"&amp;C900,そのた定義!E:E,0)), 0, 1)</f>
        <v>0</v>
      </c>
      <c r="I900" s="26" t="b">
        <f t="shared" si="133"/>
        <v>0</v>
      </c>
      <c r="J900" s="26">
        <v>2</v>
      </c>
      <c r="K900" s="26" t="b">
        <f t="shared" si="128"/>
        <v>0</v>
      </c>
      <c r="L900" s="26" t="b">
        <f t="shared" si="129"/>
        <v>0</v>
      </c>
      <c r="M900" t="b">
        <f t="shared" si="134"/>
        <v>0</v>
      </c>
      <c r="N900" t="b">
        <f t="shared" si="135"/>
        <v>0</v>
      </c>
    </row>
    <row r="901" spans="1:14">
      <c r="A901" s="29">
        <v>45461</v>
      </c>
      <c r="B901" s="30">
        <f t="shared" si="127"/>
        <v>6</v>
      </c>
      <c r="C901" s="30">
        <f t="shared" si="130"/>
        <v>18</v>
      </c>
      <c r="D901" s="26">
        <f>MATCH(WEEKDAY(A901),そのた定義!A:A,0)</f>
        <v>4</v>
      </c>
      <c r="E901" s="26" t="str">
        <f t="shared" ca="1" si="131"/>
        <v>火</v>
      </c>
      <c r="F901" s="26">
        <f t="shared" si="132"/>
        <v>0</v>
      </c>
      <c r="G901" s="26">
        <f>IF(ISNA(MATCH(A901,祝日定義!E:E,0)),0,1)</f>
        <v>0</v>
      </c>
      <c r="H901" s="26">
        <f>IF(ISNA(MATCH(B901&amp;"/"&amp;C901,そのた定義!E:E,0)), 0, 1)</f>
        <v>0</v>
      </c>
      <c r="I901" s="26" t="b">
        <f t="shared" si="133"/>
        <v>0</v>
      </c>
      <c r="J901" s="26">
        <v>0</v>
      </c>
      <c r="K901" s="26" t="b">
        <f t="shared" si="128"/>
        <v>0</v>
      </c>
      <c r="L901" s="26" t="b">
        <f t="shared" si="129"/>
        <v>0</v>
      </c>
      <c r="M901" t="b">
        <f t="shared" si="134"/>
        <v>0</v>
      </c>
      <c r="N901" t="b">
        <f t="shared" si="135"/>
        <v>0</v>
      </c>
    </row>
    <row r="902" spans="1:14">
      <c r="A902" s="29">
        <v>45462</v>
      </c>
      <c r="B902" s="30">
        <f t="shared" si="127"/>
        <v>6</v>
      </c>
      <c r="C902" s="30">
        <f t="shared" si="130"/>
        <v>19</v>
      </c>
      <c r="D902" s="26">
        <f>MATCH(WEEKDAY(A902),そのた定義!A:A,0)</f>
        <v>5</v>
      </c>
      <c r="E902" s="26" t="str">
        <f t="shared" ca="1" si="131"/>
        <v>水</v>
      </c>
      <c r="F902" s="26">
        <f t="shared" si="132"/>
        <v>0</v>
      </c>
      <c r="G902" s="26">
        <f>IF(ISNA(MATCH(A902,祝日定義!E:E,0)),0,1)</f>
        <v>0</v>
      </c>
      <c r="H902" s="26">
        <f>IF(ISNA(MATCH(B902&amp;"/"&amp;C902,そのた定義!E:E,0)), 0, 1)</f>
        <v>0</v>
      </c>
      <c r="I902" s="26" t="b">
        <f t="shared" si="133"/>
        <v>0</v>
      </c>
      <c r="J902" s="26">
        <v>0</v>
      </c>
      <c r="K902" s="26" t="b">
        <f t="shared" si="128"/>
        <v>0</v>
      </c>
      <c r="L902" s="26" t="b">
        <f t="shared" si="129"/>
        <v>0</v>
      </c>
      <c r="M902" t="b">
        <f t="shared" si="134"/>
        <v>0</v>
      </c>
      <c r="N902" t="b">
        <f t="shared" si="135"/>
        <v>0</v>
      </c>
    </row>
    <row r="903" spans="1:14">
      <c r="A903" s="29">
        <v>45463</v>
      </c>
      <c r="B903" s="30">
        <f t="shared" si="127"/>
        <v>6</v>
      </c>
      <c r="C903" s="30">
        <f t="shared" si="130"/>
        <v>20</v>
      </c>
      <c r="D903" s="26">
        <f>MATCH(WEEKDAY(A903),そのた定義!A:A,0)</f>
        <v>6</v>
      </c>
      <c r="E903" s="26" t="str">
        <f t="shared" ca="1" si="131"/>
        <v>木</v>
      </c>
      <c r="F903" s="26">
        <f t="shared" si="132"/>
        <v>0</v>
      </c>
      <c r="G903" s="26">
        <f>IF(ISNA(MATCH(A903,祝日定義!E:E,0)),0,1)</f>
        <v>0</v>
      </c>
      <c r="H903" s="26">
        <f>IF(ISNA(MATCH(B903&amp;"/"&amp;C903,そのた定義!E:E,0)), 0, 1)</f>
        <v>0</v>
      </c>
      <c r="I903" s="26" t="b">
        <f t="shared" si="133"/>
        <v>0</v>
      </c>
      <c r="J903" s="26">
        <v>0</v>
      </c>
      <c r="K903" s="26" t="b">
        <f t="shared" si="128"/>
        <v>0</v>
      </c>
      <c r="L903" s="26" t="b">
        <f t="shared" si="129"/>
        <v>0</v>
      </c>
      <c r="M903" t="b">
        <f t="shared" si="134"/>
        <v>0</v>
      </c>
      <c r="N903" t="b">
        <f t="shared" si="135"/>
        <v>0</v>
      </c>
    </row>
    <row r="904" spans="1:14">
      <c r="A904" s="29">
        <v>45464</v>
      </c>
      <c r="B904" s="30">
        <f t="shared" si="127"/>
        <v>6</v>
      </c>
      <c r="C904" s="30">
        <f t="shared" si="130"/>
        <v>21</v>
      </c>
      <c r="D904" s="26">
        <f>MATCH(WEEKDAY(A904),そのた定義!A:A,0)</f>
        <v>7</v>
      </c>
      <c r="E904" s="26" t="str">
        <f t="shared" ca="1" si="131"/>
        <v>金</v>
      </c>
      <c r="F904" s="26">
        <f t="shared" si="132"/>
        <v>0</v>
      </c>
      <c r="G904" s="26">
        <f>IF(ISNA(MATCH(A904,祝日定義!E:E,0)),0,1)</f>
        <v>0</v>
      </c>
      <c r="H904" s="26">
        <f>IF(ISNA(MATCH(B904&amp;"/"&amp;C904,そのた定義!E:E,0)), 0, 1)</f>
        <v>0</v>
      </c>
      <c r="I904" s="26" t="b">
        <f t="shared" si="133"/>
        <v>0</v>
      </c>
      <c r="J904" s="26">
        <v>0</v>
      </c>
      <c r="K904" s="26" t="b">
        <f t="shared" si="128"/>
        <v>0</v>
      </c>
      <c r="L904" s="26" t="b">
        <f t="shared" si="129"/>
        <v>0</v>
      </c>
      <c r="M904" t="b">
        <f t="shared" si="134"/>
        <v>0</v>
      </c>
      <c r="N904" t="b">
        <f t="shared" si="135"/>
        <v>0</v>
      </c>
    </row>
    <row r="905" spans="1:14">
      <c r="A905" s="29">
        <v>45465</v>
      </c>
      <c r="B905" s="30">
        <f t="shared" si="127"/>
        <v>6</v>
      </c>
      <c r="C905" s="30">
        <f t="shared" si="130"/>
        <v>22</v>
      </c>
      <c r="D905" s="26">
        <f>MATCH(WEEKDAY(A905),そのた定義!A:A,0)</f>
        <v>8</v>
      </c>
      <c r="E905" s="33" t="str">
        <f t="shared" ca="1" si="131"/>
        <v>土</v>
      </c>
      <c r="F905" s="26">
        <f t="shared" si="132"/>
        <v>1</v>
      </c>
      <c r="G905" s="26">
        <f>IF(ISNA(MATCH(A905,祝日定義!E:E,0)),0,1)</f>
        <v>0</v>
      </c>
      <c r="H905" s="26">
        <f>IF(ISNA(MATCH(B905&amp;"/"&amp;C905,そのた定義!E:E,0)), 0, 1)</f>
        <v>0</v>
      </c>
      <c r="I905" s="23" t="b">
        <f t="shared" si="133"/>
        <v>1</v>
      </c>
      <c r="J905" s="26">
        <v>0</v>
      </c>
      <c r="K905" s="26" t="b">
        <f t="shared" si="128"/>
        <v>0</v>
      </c>
      <c r="L905" s="26" t="b">
        <f t="shared" si="129"/>
        <v>0</v>
      </c>
      <c r="M905" t="b">
        <f t="shared" si="134"/>
        <v>0</v>
      </c>
      <c r="N905" t="b">
        <f t="shared" si="135"/>
        <v>0</v>
      </c>
    </row>
    <row r="906" spans="1:14">
      <c r="A906" s="29">
        <v>45466</v>
      </c>
      <c r="B906" s="30">
        <f t="shared" si="127"/>
        <v>6</v>
      </c>
      <c r="C906" s="30">
        <f t="shared" si="130"/>
        <v>23</v>
      </c>
      <c r="D906" s="26">
        <f>MATCH(WEEKDAY(A906),そのた定義!A:A,0)</f>
        <v>2</v>
      </c>
      <c r="E906" s="32" t="str">
        <f t="shared" ca="1" si="131"/>
        <v>日</v>
      </c>
      <c r="F906" s="26">
        <f t="shared" si="132"/>
        <v>1</v>
      </c>
      <c r="G906" s="26">
        <f>IF(ISNA(MATCH(A906,祝日定義!E:E,0)),0,1)</f>
        <v>0</v>
      </c>
      <c r="H906" s="26">
        <f>IF(ISNA(MATCH(B906&amp;"/"&amp;C906,そのた定義!E:E,0)), 0, 1)</f>
        <v>0</v>
      </c>
      <c r="I906" s="23" t="b">
        <f t="shared" si="133"/>
        <v>1</v>
      </c>
      <c r="J906" s="26">
        <v>0</v>
      </c>
      <c r="K906" s="26" t="b">
        <f t="shared" si="128"/>
        <v>0</v>
      </c>
      <c r="L906" s="26" t="b">
        <f t="shared" si="129"/>
        <v>0</v>
      </c>
      <c r="M906" t="b">
        <f t="shared" si="134"/>
        <v>0</v>
      </c>
      <c r="N906" t="b">
        <f t="shared" si="135"/>
        <v>0</v>
      </c>
    </row>
    <row r="907" spans="1:14">
      <c r="A907" s="29">
        <v>45467</v>
      </c>
      <c r="B907" s="30">
        <f t="shared" si="127"/>
        <v>6</v>
      </c>
      <c r="C907" s="30">
        <f t="shared" si="130"/>
        <v>24</v>
      </c>
      <c r="D907" s="26">
        <f>MATCH(WEEKDAY(A907),そのた定義!A:A,0)</f>
        <v>3</v>
      </c>
      <c r="E907" s="26" t="str">
        <f t="shared" ca="1" si="131"/>
        <v>月</v>
      </c>
      <c r="F907" s="26">
        <f t="shared" si="132"/>
        <v>0</v>
      </c>
      <c r="G907" s="26">
        <f>IF(ISNA(MATCH(A907,祝日定義!E:E,0)),0,1)</f>
        <v>0</v>
      </c>
      <c r="H907" s="26">
        <f>IF(ISNA(MATCH(B907&amp;"/"&amp;C907,そのた定義!E:E,0)), 0, 1)</f>
        <v>0</v>
      </c>
      <c r="I907" s="26" t="b">
        <f t="shared" si="133"/>
        <v>0</v>
      </c>
      <c r="J907" s="26">
        <v>2</v>
      </c>
      <c r="K907" s="26" t="b">
        <f t="shared" si="128"/>
        <v>0</v>
      </c>
      <c r="L907" s="26" t="b">
        <f t="shared" si="129"/>
        <v>0</v>
      </c>
      <c r="M907" t="b">
        <f t="shared" si="134"/>
        <v>0</v>
      </c>
      <c r="N907" t="b">
        <f t="shared" si="135"/>
        <v>0</v>
      </c>
    </row>
    <row r="908" spans="1:14">
      <c r="A908" s="29">
        <v>45468</v>
      </c>
      <c r="B908" s="30">
        <f t="shared" si="127"/>
        <v>6</v>
      </c>
      <c r="C908" s="30">
        <f t="shared" si="130"/>
        <v>25</v>
      </c>
      <c r="D908" s="26">
        <f>MATCH(WEEKDAY(A908),そのた定義!A:A,0)</f>
        <v>4</v>
      </c>
      <c r="E908" s="26" t="str">
        <f t="shared" ca="1" si="131"/>
        <v>火</v>
      </c>
      <c r="F908" s="26">
        <f t="shared" si="132"/>
        <v>0</v>
      </c>
      <c r="G908" s="26">
        <f>IF(ISNA(MATCH(A908,祝日定義!E:E,0)),0,1)</f>
        <v>0</v>
      </c>
      <c r="H908" s="26">
        <f>IF(ISNA(MATCH(B908&amp;"/"&amp;C908,そのた定義!E:E,0)), 0, 1)</f>
        <v>0</v>
      </c>
      <c r="I908" s="26" t="b">
        <f t="shared" si="133"/>
        <v>0</v>
      </c>
      <c r="J908" s="26">
        <v>0</v>
      </c>
      <c r="K908" s="26" t="b">
        <f t="shared" si="128"/>
        <v>0</v>
      </c>
      <c r="L908" s="23" t="b">
        <f t="shared" si="129"/>
        <v>1</v>
      </c>
      <c r="M908" t="b">
        <f t="shared" si="134"/>
        <v>0</v>
      </c>
      <c r="N908" t="b">
        <f t="shared" si="135"/>
        <v>0</v>
      </c>
    </row>
    <row r="909" spans="1:14">
      <c r="A909" s="29">
        <v>45469</v>
      </c>
      <c r="B909" s="30">
        <f t="shared" si="127"/>
        <v>6</v>
      </c>
      <c r="C909" s="30">
        <f t="shared" si="130"/>
        <v>26</v>
      </c>
      <c r="D909" s="26">
        <f>MATCH(WEEKDAY(A909),そのた定義!A:A,0)</f>
        <v>5</v>
      </c>
      <c r="E909" s="26" t="str">
        <f t="shared" ca="1" si="131"/>
        <v>水</v>
      </c>
      <c r="F909" s="26">
        <f t="shared" si="132"/>
        <v>0</v>
      </c>
      <c r="G909" s="26">
        <f>IF(ISNA(MATCH(A909,祝日定義!E:E,0)),0,1)</f>
        <v>0</v>
      </c>
      <c r="H909" s="26">
        <f>IF(ISNA(MATCH(B909&amp;"/"&amp;C909,そのた定義!E:E,0)), 0, 1)</f>
        <v>0</v>
      </c>
      <c r="I909" s="26" t="b">
        <f t="shared" si="133"/>
        <v>0</v>
      </c>
      <c r="J909" s="26">
        <v>0</v>
      </c>
      <c r="K909" s="26" t="b">
        <f t="shared" si="128"/>
        <v>0</v>
      </c>
      <c r="L909" s="26" t="b">
        <f t="shared" si="129"/>
        <v>0</v>
      </c>
      <c r="M909" t="b">
        <f t="shared" si="134"/>
        <v>0</v>
      </c>
      <c r="N909" t="b">
        <f t="shared" si="135"/>
        <v>0</v>
      </c>
    </row>
    <row r="910" spans="1:14">
      <c r="A910" s="29">
        <v>45470</v>
      </c>
      <c r="B910" s="30">
        <f t="shared" si="127"/>
        <v>6</v>
      </c>
      <c r="C910" s="30">
        <f t="shared" si="130"/>
        <v>27</v>
      </c>
      <c r="D910" s="26">
        <f>MATCH(WEEKDAY(A910),そのた定義!A:A,0)</f>
        <v>6</v>
      </c>
      <c r="E910" s="26" t="str">
        <f t="shared" ca="1" si="131"/>
        <v>木</v>
      </c>
      <c r="F910" s="26">
        <f t="shared" si="132"/>
        <v>0</v>
      </c>
      <c r="G910" s="26">
        <f>IF(ISNA(MATCH(A910,祝日定義!E:E,0)),0,1)</f>
        <v>0</v>
      </c>
      <c r="H910" s="26">
        <f>IF(ISNA(MATCH(B910&amp;"/"&amp;C910,そのた定義!E:E,0)), 0, 1)</f>
        <v>0</v>
      </c>
      <c r="I910" s="26" t="b">
        <f t="shared" si="133"/>
        <v>0</v>
      </c>
      <c r="J910" s="26">
        <v>0</v>
      </c>
      <c r="K910" s="26" t="b">
        <f t="shared" si="128"/>
        <v>0</v>
      </c>
      <c r="L910" s="26" t="b">
        <f t="shared" si="129"/>
        <v>0</v>
      </c>
      <c r="M910" t="b">
        <f t="shared" si="134"/>
        <v>0</v>
      </c>
      <c r="N910" t="b">
        <f t="shared" si="135"/>
        <v>0</v>
      </c>
    </row>
    <row r="911" spans="1:14">
      <c r="A911" s="29">
        <v>45471</v>
      </c>
      <c r="B911" s="30">
        <f t="shared" si="127"/>
        <v>6</v>
      </c>
      <c r="C911" s="30">
        <f t="shared" si="130"/>
        <v>28</v>
      </c>
      <c r="D911" s="26">
        <f>MATCH(WEEKDAY(A911),そのた定義!A:A,0)</f>
        <v>7</v>
      </c>
      <c r="E911" s="26" t="str">
        <f t="shared" ca="1" si="131"/>
        <v>金</v>
      </c>
      <c r="F911" s="26">
        <f t="shared" si="132"/>
        <v>0</v>
      </c>
      <c r="G911" s="26">
        <f>IF(ISNA(MATCH(A911,祝日定義!E:E,0)),0,1)</f>
        <v>0</v>
      </c>
      <c r="H911" s="26">
        <f>IF(ISNA(MATCH(B911&amp;"/"&amp;C911,そのた定義!E:E,0)), 0, 1)</f>
        <v>0</v>
      </c>
      <c r="I911" s="26" t="b">
        <f t="shared" si="133"/>
        <v>0</v>
      </c>
      <c r="J911" s="26">
        <v>0</v>
      </c>
      <c r="K911" s="26" t="b">
        <f t="shared" si="128"/>
        <v>0</v>
      </c>
      <c r="L911" s="26" t="b">
        <f t="shared" si="129"/>
        <v>0</v>
      </c>
      <c r="M911" t="b">
        <f t="shared" si="134"/>
        <v>0</v>
      </c>
      <c r="N911" t="b">
        <f t="shared" si="135"/>
        <v>0</v>
      </c>
    </row>
    <row r="912" spans="1:14">
      <c r="A912" s="29">
        <v>45472</v>
      </c>
      <c r="B912" s="30">
        <f t="shared" si="127"/>
        <v>6</v>
      </c>
      <c r="C912" s="30">
        <f t="shared" si="130"/>
        <v>29</v>
      </c>
      <c r="D912" s="26">
        <f>MATCH(WEEKDAY(A912),そのた定義!A:A,0)</f>
        <v>8</v>
      </c>
      <c r="E912" s="33" t="str">
        <f t="shared" ca="1" si="131"/>
        <v>土</v>
      </c>
      <c r="F912" s="26">
        <f t="shared" si="132"/>
        <v>1</v>
      </c>
      <c r="G912" s="26">
        <f>IF(ISNA(MATCH(A912,祝日定義!E:E,0)),0,1)</f>
        <v>0</v>
      </c>
      <c r="H912" s="26">
        <f>IF(ISNA(MATCH(B912&amp;"/"&amp;C912,そのた定義!E:E,0)), 0, 1)</f>
        <v>0</v>
      </c>
      <c r="I912" s="23" t="b">
        <f t="shared" si="133"/>
        <v>1</v>
      </c>
      <c r="J912" s="26">
        <v>0</v>
      </c>
      <c r="K912" s="26" t="b">
        <f t="shared" si="128"/>
        <v>0</v>
      </c>
      <c r="L912" s="26" t="b">
        <f t="shared" si="129"/>
        <v>0</v>
      </c>
      <c r="M912" t="b">
        <f t="shared" si="134"/>
        <v>0</v>
      </c>
      <c r="N912" t="b">
        <f t="shared" si="135"/>
        <v>0</v>
      </c>
    </row>
    <row r="913" spans="1:14">
      <c r="A913" s="29">
        <v>45473</v>
      </c>
      <c r="B913" s="30">
        <f t="shared" si="127"/>
        <v>6</v>
      </c>
      <c r="C913" s="30">
        <f t="shared" si="130"/>
        <v>30</v>
      </c>
      <c r="D913" s="26">
        <f>MATCH(WEEKDAY(A913),そのた定義!A:A,0)</f>
        <v>2</v>
      </c>
      <c r="E913" s="32" t="str">
        <f t="shared" ca="1" si="131"/>
        <v>日</v>
      </c>
      <c r="F913" s="26">
        <f t="shared" si="132"/>
        <v>1</v>
      </c>
      <c r="G913" s="26">
        <f>IF(ISNA(MATCH(A913,祝日定義!E:E,0)),0,1)</f>
        <v>0</v>
      </c>
      <c r="H913" s="26">
        <f>IF(ISNA(MATCH(B913&amp;"/"&amp;C913,そのた定義!E:E,0)), 0, 1)</f>
        <v>0</v>
      </c>
      <c r="I913" s="23" t="b">
        <f t="shared" si="133"/>
        <v>1</v>
      </c>
      <c r="J913" s="26">
        <v>0</v>
      </c>
      <c r="K913" s="26" t="b">
        <f t="shared" si="128"/>
        <v>0</v>
      </c>
      <c r="L913" s="26" t="b">
        <f t="shared" si="129"/>
        <v>0</v>
      </c>
      <c r="M913" t="b">
        <f t="shared" si="134"/>
        <v>0</v>
      </c>
      <c r="N913" t="b">
        <f t="shared" si="135"/>
        <v>1</v>
      </c>
    </row>
    <row r="914" spans="1:14">
      <c r="A914" s="29">
        <v>45474</v>
      </c>
      <c r="B914" s="30">
        <f t="shared" si="127"/>
        <v>7</v>
      </c>
      <c r="C914" s="30">
        <f t="shared" si="130"/>
        <v>1</v>
      </c>
      <c r="D914" s="26">
        <f>MATCH(WEEKDAY(A914),そのた定義!A:A,0)</f>
        <v>3</v>
      </c>
      <c r="E914" s="26" t="str">
        <f t="shared" ca="1" si="131"/>
        <v>月</v>
      </c>
      <c r="F914" s="26">
        <f t="shared" si="132"/>
        <v>0</v>
      </c>
      <c r="G914" s="26">
        <f>IF(ISNA(MATCH(A914,祝日定義!E:E,0)),0,1)</f>
        <v>0</v>
      </c>
      <c r="H914" s="26">
        <f>IF(ISNA(MATCH(B914&amp;"/"&amp;C914,そのた定義!E:E,0)), 0, 1)</f>
        <v>0</v>
      </c>
      <c r="I914" s="26" t="b">
        <f t="shared" si="133"/>
        <v>0</v>
      </c>
      <c r="J914" s="26">
        <v>2</v>
      </c>
      <c r="K914" s="26" t="b">
        <f t="shared" si="128"/>
        <v>0</v>
      </c>
      <c r="L914" s="26" t="b">
        <f t="shared" si="129"/>
        <v>0</v>
      </c>
      <c r="M914" t="b">
        <f t="shared" si="134"/>
        <v>1</v>
      </c>
      <c r="N914" t="b">
        <f t="shared" si="135"/>
        <v>0</v>
      </c>
    </row>
    <row r="915" spans="1:14">
      <c r="A915" s="29">
        <v>45475</v>
      </c>
      <c r="B915" s="30">
        <f t="shared" si="127"/>
        <v>7</v>
      </c>
      <c r="C915" s="30">
        <f t="shared" si="130"/>
        <v>2</v>
      </c>
      <c r="D915" s="26">
        <f>MATCH(WEEKDAY(A915),そのた定義!A:A,0)</f>
        <v>4</v>
      </c>
      <c r="E915" s="26" t="str">
        <f t="shared" ca="1" si="131"/>
        <v>火</v>
      </c>
      <c r="F915" s="26">
        <f t="shared" si="132"/>
        <v>0</v>
      </c>
      <c r="G915" s="26">
        <f>IF(ISNA(MATCH(A915,祝日定義!E:E,0)),0,1)</f>
        <v>0</v>
      </c>
      <c r="H915" s="26">
        <f>IF(ISNA(MATCH(B915&amp;"/"&amp;C915,そのた定義!E:E,0)), 0, 1)</f>
        <v>0</v>
      </c>
      <c r="I915" s="26" t="b">
        <f t="shared" si="133"/>
        <v>0</v>
      </c>
      <c r="J915" s="26">
        <v>0</v>
      </c>
      <c r="K915" s="26" t="b">
        <f t="shared" si="128"/>
        <v>0</v>
      </c>
      <c r="L915" s="26" t="b">
        <f t="shared" si="129"/>
        <v>0</v>
      </c>
      <c r="M915" t="b">
        <f t="shared" si="134"/>
        <v>0</v>
      </c>
      <c r="N915" t="b">
        <f t="shared" si="135"/>
        <v>0</v>
      </c>
    </row>
    <row r="916" spans="1:14">
      <c r="A916" s="29">
        <v>45476</v>
      </c>
      <c r="B916" s="30">
        <f t="shared" si="127"/>
        <v>7</v>
      </c>
      <c r="C916" s="30">
        <f t="shared" si="130"/>
        <v>3</v>
      </c>
      <c r="D916" s="26">
        <f>MATCH(WEEKDAY(A916),そのた定義!A:A,0)</f>
        <v>5</v>
      </c>
      <c r="E916" s="26" t="str">
        <f t="shared" ca="1" si="131"/>
        <v>水</v>
      </c>
      <c r="F916" s="26">
        <f t="shared" si="132"/>
        <v>0</v>
      </c>
      <c r="G916" s="26">
        <f>IF(ISNA(MATCH(A916,祝日定義!E:E,0)),0,1)</f>
        <v>0</v>
      </c>
      <c r="H916" s="26">
        <f>IF(ISNA(MATCH(B916&amp;"/"&amp;C916,そのた定義!E:E,0)), 0, 1)</f>
        <v>0</v>
      </c>
      <c r="I916" s="26" t="b">
        <f t="shared" si="133"/>
        <v>0</v>
      </c>
      <c r="J916" s="26">
        <v>0</v>
      </c>
      <c r="K916" s="26" t="b">
        <f t="shared" si="128"/>
        <v>0</v>
      </c>
      <c r="L916" s="26" t="b">
        <f t="shared" si="129"/>
        <v>0</v>
      </c>
      <c r="M916" t="b">
        <f t="shared" si="134"/>
        <v>0</v>
      </c>
      <c r="N916" t="b">
        <f t="shared" si="135"/>
        <v>0</v>
      </c>
    </row>
    <row r="917" spans="1:14">
      <c r="A917" s="29">
        <v>45477</v>
      </c>
      <c r="B917" s="30">
        <f t="shared" si="127"/>
        <v>7</v>
      </c>
      <c r="C917" s="30">
        <f t="shared" si="130"/>
        <v>4</v>
      </c>
      <c r="D917" s="26">
        <f>MATCH(WEEKDAY(A917),そのた定義!A:A,0)</f>
        <v>6</v>
      </c>
      <c r="E917" s="26" t="str">
        <f t="shared" ca="1" si="131"/>
        <v>木</v>
      </c>
      <c r="F917" s="26">
        <f t="shared" si="132"/>
        <v>0</v>
      </c>
      <c r="G917" s="26">
        <f>IF(ISNA(MATCH(A917,祝日定義!E:E,0)),0,1)</f>
        <v>0</v>
      </c>
      <c r="H917" s="26">
        <f>IF(ISNA(MATCH(B917&amp;"/"&amp;C917,そのた定義!E:E,0)), 0, 1)</f>
        <v>0</v>
      </c>
      <c r="I917" s="26" t="b">
        <f t="shared" si="133"/>
        <v>0</v>
      </c>
      <c r="J917" s="26">
        <v>0</v>
      </c>
      <c r="K917" s="26" t="b">
        <f t="shared" si="128"/>
        <v>0</v>
      </c>
      <c r="L917" s="26" t="b">
        <f t="shared" si="129"/>
        <v>0</v>
      </c>
      <c r="M917" t="b">
        <f t="shared" si="134"/>
        <v>0</v>
      </c>
      <c r="N917" t="b">
        <f t="shared" si="135"/>
        <v>0</v>
      </c>
    </row>
    <row r="918" spans="1:14">
      <c r="A918" s="29">
        <v>45478</v>
      </c>
      <c r="B918" s="30">
        <f t="shared" si="127"/>
        <v>7</v>
      </c>
      <c r="C918" s="30">
        <f t="shared" si="130"/>
        <v>5</v>
      </c>
      <c r="D918" s="26">
        <f>MATCH(WEEKDAY(A918),そのた定義!A:A,0)</f>
        <v>7</v>
      </c>
      <c r="E918" s="26" t="str">
        <f t="shared" ca="1" si="131"/>
        <v>金</v>
      </c>
      <c r="F918" s="26">
        <f t="shared" si="132"/>
        <v>0</v>
      </c>
      <c r="G918" s="26">
        <f>IF(ISNA(MATCH(A918,祝日定義!E:E,0)),0,1)</f>
        <v>0</v>
      </c>
      <c r="H918" s="26">
        <f>IF(ISNA(MATCH(B918&amp;"/"&amp;C918,そのた定義!E:E,0)), 0, 1)</f>
        <v>0</v>
      </c>
      <c r="I918" s="26" t="b">
        <f t="shared" si="133"/>
        <v>0</v>
      </c>
      <c r="J918" s="26">
        <v>0</v>
      </c>
      <c r="K918" s="26" t="b">
        <f t="shared" si="128"/>
        <v>0</v>
      </c>
      <c r="L918" s="26" t="b">
        <f t="shared" si="129"/>
        <v>0</v>
      </c>
      <c r="M918" t="b">
        <f t="shared" si="134"/>
        <v>0</v>
      </c>
      <c r="N918" t="b">
        <f t="shared" si="135"/>
        <v>0</v>
      </c>
    </row>
    <row r="919" spans="1:14">
      <c r="A919" s="29">
        <v>45479</v>
      </c>
      <c r="B919" s="30">
        <f t="shared" si="127"/>
        <v>7</v>
      </c>
      <c r="C919" s="30">
        <f t="shared" si="130"/>
        <v>6</v>
      </c>
      <c r="D919" s="26">
        <f>MATCH(WEEKDAY(A919),そのた定義!A:A,0)</f>
        <v>8</v>
      </c>
      <c r="E919" s="33" t="str">
        <f t="shared" ca="1" si="131"/>
        <v>土</v>
      </c>
      <c r="F919" s="26">
        <f t="shared" si="132"/>
        <v>1</v>
      </c>
      <c r="G919" s="26">
        <f>IF(ISNA(MATCH(A919,祝日定義!E:E,0)),0,1)</f>
        <v>0</v>
      </c>
      <c r="H919" s="26">
        <f>IF(ISNA(MATCH(B919&amp;"/"&amp;C919,そのた定義!E:E,0)), 0, 1)</f>
        <v>0</v>
      </c>
      <c r="I919" s="23" t="b">
        <f t="shared" si="133"/>
        <v>1</v>
      </c>
      <c r="J919" s="26">
        <v>0</v>
      </c>
      <c r="K919" s="26" t="b">
        <f t="shared" si="128"/>
        <v>0</v>
      </c>
      <c r="L919" s="26" t="b">
        <f t="shared" si="129"/>
        <v>0</v>
      </c>
      <c r="M919" t="b">
        <f t="shared" si="134"/>
        <v>0</v>
      </c>
      <c r="N919" t="b">
        <f t="shared" si="135"/>
        <v>0</v>
      </c>
    </row>
    <row r="920" spans="1:14">
      <c r="A920" s="29">
        <v>45480</v>
      </c>
      <c r="B920" s="30">
        <f t="shared" si="127"/>
        <v>7</v>
      </c>
      <c r="C920" s="30">
        <f t="shared" si="130"/>
        <v>7</v>
      </c>
      <c r="D920" s="26">
        <f>MATCH(WEEKDAY(A920),そのた定義!A:A,0)</f>
        <v>2</v>
      </c>
      <c r="E920" s="32" t="str">
        <f t="shared" ca="1" si="131"/>
        <v>日</v>
      </c>
      <c r="F920" s="26">
        <f t="shared" si="132"/>
        <v>1</v>
      </c>
      <c r="G920" s="26">
        <f>IF(ISNA(MATCH(A920,祝日定義!E:E,0)),0,1)</f>
        <v>0</v>
      </c>
      <c r="H920" s="26">
        <f>IF(ISNA(MATCH(B920&amp;"/"&amp;C920,そのた定義!E:E,0)), 0, 1)</f>
        <v>0</v>
      </c>
      <c r="I920" s="23" t="b">
        <f t="shared" si="133"/>
        <v>1</v>
      </c>
      <c r="J920" s="26">
        <v>0</v>
      </c>
      <c r="K920" s="26" t="b">
        <f t="shared" si="128"/>
        <v>0</v>
      </c>
      <c r="L920" s="26" t="b">
        <f t="shared" si="129"/>
        <v>0</v>
      </c>
      <c r="M920" t="b">
        <f t="shared" si="134"/>
        <v>0</v>
      </c>
      <c r="N920" t="b">
        <f t="shared" si="135"/>
        <v>0</v>
      </c>
    </row>
    <row r="921" spans="1:14">
      <c r="A921" s="29">
        <v>45481</v>
      </c>
      <c r="B921" s="30">
        <f t="shared" si="127"/>
        <v>7</v>
      </c>
      <c r="C921" s="30">
        <f t="shared" si="130"/>
        <v>8</v>
      </c>
      <c r="D921" s="26">
        <f>MATCH(WEEKDAY(A921),そのた定義!A:A,0)</f>
        <v>3</v>
      </c>
      <c r="E921" s="26" t="str">
        <f t="shared" ca="1" si="131"/>
        <v>月</v>
      </c>
      <c r="F921" s="26">
        <f t="shared" si="132"/>
        <v>0</v>
      </c>
      <c r="G921" s="26">
        <f>IF(ISNA(MATCH(A921,祝日定義!E:E,0)),0,1)</f>
        <v>0</v>
      </c>
      <c r="H921" s="26">
        <f>IF(ISNA(MATCH(B921&amp;"/"&amp;C921,そのた定義!E:E,0)), 0, 1)</f>
        <v>0</v>
      </c>
      <c r="I921" s="26" t="b">
        <f t="shared" si="133"/>
        <v>0</v>
      </c>
      <c r="J921" s="26">
        <v>2</v>
      </c>
      <c r="K921" s="26" t="b">
        <f t="shared" si="128"/>
        <v>0</v>
      </c>
      <c r="L921" s="26" t="b">
        <f t="shared" si="129"/>
        <v>0</v>
      </c>
      <c r="M921" t="b">
        <f t="shared" si="134"/>
        <v>0</v>
      </c>
      <c r="N921" t="b">
        <f t="shared" si="135"/>
        <v>0</v>
      </c>
    </row>
    <row r="922" spans="1:14">
      <c r="A922" s="29">
        <v>45482</v>
      </c>
      <c r="B922" s="30">
        <f t="shared" si="127"/>
        <v>7</v>
      </c>
      <c r="C922" s="30">
        <f t="shared" si="130"/>
        <v>9</v>
      </c>
      <c r="D922" s="26">
        <f>MATCH(WEEKDAY(A922),そのた定義!A:A,0)</f>
        <v>4</v>
      </c>
      <c r="E922" s="26" t="str">
        <f t="shared" ca="1" si="131"/>
        <v>火</v>
      </c>
      <c r="F922" s="26">
        <f t="shared" si="132"/>
        <v>0</v>
      </c>
      <c r="G922" s="26">
        <f>IF(ISNA(MATCH(A922,祝日定義!E:E,0)),0,1)</f>
        <v>0</v>
      </c>
      <c r="H922" s="26">
        <f>IF(ISNA(MATCH(B922&amp;"/"&amp;C922,そのた定義!E:E,0)), 0, 1)</f>
        <v>0</v>
      </c>
      <c r="I922" s="26" t="b">
        <f t="shared" si="133"/>
        <v>0</v>
      </c>
      <c r="J922" s="26">
        <v>0</v>
      </c>
      <c r="K922" s="26" t="b">
        <f t="shared" si="128"/>
        <v>0</v>
      </c>
      <c r="L922" s="26" t="b">
        <f t="shared" si="129"/>
        <v>0</v>
      </c>
      <c r="M922" t="b">
        <f t="shared" si="134"/>
        <v>0</v>
      </c>
      <c r="N922" t="b">
        <f t="shared" si="135"/>
        <v>0</v>
      </c>
    </row>
    <row r="923" spans="1:14">
      <c r="A923" s="29">
        <v>45483</v>
      </c>
      <c r="B923" s="30">
        <f t="shared" si="127"/>
        <v>7</v>
      </c>
      <c r="C923" s="30">
        <f t="shared" si="130"/>
        <v>10</v>
      </c>
      <c r="D923" s="26">
        <f>MATCH(WEEKDAY(A923),そのた定義!A:A,0)</f>
        <v>5</v>
      </c>
      <c r="E923" s="26" t="str">
        <f t="shared" ca="1" si="131"/>
        <v>水</v>
      </c>
      <c r="F923" s="26">
        <f t="shared" si="132"/>
        <v>0</v>
      </c>
      <c r="G923" s="26">
        <f>IF(ISNA(MATCH(A923,祝日定義!E:E,0)),0,1)</f>
        <v>0</v>
      </c>
      <c r="H923" s="26">
        <f>IF(ISNA(MATCH(B923&amp;"/"&amp;C923,そのた定義!E:E,0)), 0, 1)</f>
        <v>0</v>
      </c>
      <c r="I923" s="26" t="b">
        <f t="shared" si="133"/>
        <v>0</v>
      </c>
      <c r="J923" s="26">
        <v>0</v>
      </c>
      <c r="K923" s="26" t="b">
        <f t="shared" si="128"/>
        <v>0</v>
      </c>
      <c r="L923" s="26" t="b">
        <f t="shared" si="129"/>
        <v>0</v>
      </c>
      <c r="M923" t="b">
        <f t="shared" si="134"/>
        <v>0</v>
      </c>
      <c r="N923" t="b">
        <f t="shared" si="135"/>
        <v>0</v>
      </c>
    </row>
    <row r="924" spans="1:14">
      <c r="A924" s="29">
        <v>45484</v>
      </c>
      <c r="B924" s="30">
        <f t="shared" si="127"/>
        <v>7</v>
      </c>
      <c r="C924" s="30">
        <f t="shared" si="130"/>
        <v>11</v>
      </c>
      <c r="D924" s="26">
        <f>MATCH(WEEKDAY(A924),そのた定義!A:A,0)</f>
        <v>6</v>
      </c>
      <c r="E924" s="26" t="str">
        <f t="shared" ca="1" si="131"/>
        <v>木</v>
      </c>
      <c r="F924" s="26">
        <f t="shared" si="132"/>
        <v>0</v>
      </c>
      <c r="G924" s="26">
        <f>IF(ISNA(MATCH(A924,祝日定義!E:E,0)),0,1)</f>
        <v>0</v>
      </c>
      <c r="H924" s="26">
        <f>IF(ISNA(MATCH(B924&amp;"/"&amp;C924,そのた定義!E:E,0)), 0, 1)</f>
        <v>0</v>
      </c>
      <c r="I924" s="26" t="b">
        <f t="shared" si="133"/>
        <v>0</v>
      </c>
      <c r="J924" s="26">
        <v>0</v>
      </c>
      <c r="K924" s="26" t="b">
        <f t="shared" si="128"/>
        <v>0</v>
      </c>
      <c r="L924" s="26" t="b">
        <f t="shared" si="129"/>
        <v>0</v>
      </c>
      <c r="M924" t="b">
        <f t="shared" si="134"/>
        <v>0</v>
      </c>
      <c r="N924" t="b">
        <f t="shared" si="135"/>
        <v>0</v>
      </c>
    </row>
    <row r="925" spans="1:14">
      <c r="A925" s="29">
        <v>45485</v>
      </c>
      <c r="B925" s="30">
        <f t="shared" si="127"/>
        <v>7</v>
      </c>
      <c r="C925" s="30">
        <f t="shared" si="130"/>
        <v>12</v>
      </c>
      <c r="D925" s="26">
        <f>MATCH(WEEKDAY(A925),そのた定義!A:A,0)</f>
        <v>7</v>
      </c>
      <c r="E925" s="26" t="str">
        <f t="shared" ca="1" si="131"/>
        <v>金</v>
      </c>
      <c r="F925" s="26">
        <f t="shared" si="132"/>
        <v>0</v>
      </c>
      <c r="G925" s="26">
        <f>IF(ISNA(MATCH(A925,祝日定義!E:E,0)),0,1)</f>
        <v>0</v>
      </c>
      <c r="H925" s="26">
        <f>IF(ISNA(MATCH(B925&amp;"/"&amp;C925,そのた定義!E:E,0)), 0, 1)</f>
        <v>0</v>
      </c>
      <c r="I925" s="26" t="b">
        <f t="shared" si="133"/>
        <v>0</v>
      </c>
      <c r="J925" s="26">
        <v>0</v>
      </c>
      <c r="K925" s="26" t="b">
        <f t="shared" si="128"/>
        <v>0</v>
      </c>
      <c r="L925" s="26" t="b">
        <f t="shared" si="129"/>
        <v>0</v>
      </c>
      <c r="M925" t="b">
        <f t="shared" si="134"/>
        <v>0</v>
      </c>
      <c r="N925" t="b">
        <f t="shared" si="135"/>
        <v>0</v>
      </c>
    </row>
    <row r="926" spans="1:14">
      <c r="A926" s="29">
        <v>45486</v>
      </c>
      <c r="B926" s="30">
        <f t="shared" si="127"/>
        <v>7</v>
      </c>
      <c r="C926" s="30">
        <f t="shared" si="130"/>
        <v>13</v>
      </c>
      <c r="D926" s="26">
        <f>MATCH(WEEKDAY(A926),そのた定義!A:A,0)</f>
        <v>8</v>
      </c>
      <c r="E926" s="33" t="str">
        <f t="shared" ca="1" si="131"/>
        <v>土</v>
      </c>
      <c r="F926" s="26">
        <f t="shared" si="132"/>
        <v>1</v>
      </c>
      <c r="G926" s="26">
        <f>IF(ISNA(MATCH(A926,祝日定義!E:E,0)),0,1)</f>
        <v>0</v>
      </c>
      <c r="H926" s="26">
        <f>IF(ISNA(MATCH(B926&amp;"/"&amp;C926,そのた定義!E:E,0)), 0, 1)</f>
        <v>0</v>
      </c>
      <c r="I926" s="23" t="b">
        <f t="shared" si="133"/>
        <v>1</v>
      </c>
      <c r="J926" s="26">
        <v>0</v>
      </c>
      <c r="K926" s="26" t="b">
        <f t="shared" si="128"/>
        <v>0</v>
      </c>
      <c r="L926" s="26" t="b">
        <f t="shared" si="129"/>
        <v>0</v>
      </c>
      <c r="M926" t="b">
        <f t="shared" si="134"/>
        <v>0</v>
      </c>
      <c r="N926" t="b">
        <f t="shared" si="135"/>
        <v>0</v>
      </c>
    </row>
    <row r="927" spans="1:14">
      <c r="A927" s="29">
        <v>45487</v>
      </c>
      <c r="B927" s="30">
        <f t="shared" si="127"/>
        <v>7</v>
      </c>
      <c r="C927" s="30">
        <f t="shared" si="130"/>
        <v>14</v>
      </c>
      <c r="D927" s="26">
        <f>MATCH(WEEKDAY(A927),そのた定義!A:A,0)</f>
        <v>2</v>
      </c>
      <c r="E927" s="32" t="str">
        <f t="shared" ca="1" si="131"/>
        <v>日</v>
      </c>
      <c r="F927" s="26">
        <f t="shared" si="132"/>
        <v>1</v>
      </c>
      <c r="G927" s="26">
        <f>IF(ISNA(MATCH(A927,祝日定義!E:E,0)),0,1)</f>
        <v>0</v>
      </c>
      <c r="H927" s="26">
        <f>IF(ISNA(MATCH(B927&amp;"/"&amp;C927,そのた定義!E:E,0)), 0, 1)</f>
        <v>0</v>
      </c>
      <c r="I927" s="23" t="b">
        <f t="shared" si="133"/>
        <v>1</v>
      </c>
      <c r="J927" s="26">
        <v>0</v>
      </c>
      <c r="K927" s="26" t="b">
        <f t="shared" si="128"/>
        <v>0</v>
      </c>
      <c r="L927" s="26" t="b">
        <f t="shared" si="129"/>
        <v>0</v>
      </c>
      <c r="M927" t="b">
        <f t="shared" si="134"/>
        <v>0</v>
      </c>
      <c r="N927" t="b">
        <f t="shared" si="135"/>
        <v>0</v>
      </c>
    </row>
    <row r="928" spans="1:14">
      <c r="A928" s="29">
        <v>45488</v>
      </c>
      <c r="B928" s="30">
        <f t="shared" si="127"/>
        <v>7</v>
      </c>
      <c r="C928" s="30">
        <f t="shared" si="130"/>
        <v>15</v>
      </c>
      <c r="D928" s="26">
        <f>MATCH(WEEKDAY(A928),そのた定義!A:A,0)</f>
        <v>3</v>
      </c>
      <c r="E928" s="31" t="str">
        <f t="shared" ca="1" si="131"/>
        <v>月</v>
      </c>
      <c r="F928" s="26">
        <f t="shared" si="132"/>
        <v>0</v>
      </c>
      <c r="G928" s="26">
        <f>IF(ISNA(MATCH(A928,祝日定義!E:E,0)),0,1)</f>
        <v>1</v>
      </c>
      <c r="H928" s="26">
        <f>IF(ISNA(MATCH(B928&amp;"/"&amp;C928,そのた定義!E:E,0)), 0, 1)</f>
        <v>0</v>
      </c>
      <c r="I928" s="23" t="b">
        <f t="shared" si="133"/>
        <v>1</v>
      </c>
      <c r="J928" s="26">
        <v>0</v>
      </c>
      <c r="K928" s="26" t="b">
        <f t="shared" si="128"/>
        <v>0</v>
      </c>
      <c r="L928" s="26" t="b">
        <f t="shared" si="129"/>
        <v>0</v>
      </c>
      <c r="M928" t="b">
        <f t="shared" si="134"/>
        <v>0</v>
      </c>
      <c r="N928" t="b">
        <f t="shared" si="135"/>
        <v>0</v>
      </c>
    </row>
    <row r="929" spans="1:14">
      <c r="A929" s="29">
        <v>45489</v>
      </c>
      <c r="B929" s="30">
        <f t="shared" si="127"/>
        <v>7</v>
      </c>
      <c r="C929" s="30">
        <f t="shared" si="130"/>
        <v>16</v>
      </c>
      <c r="D929" s="26">
        <f>MATCH(WEEKDAY(A929),そのた定義!A:A,0)</f>
        <v>4</v>
      </c>
      <c r="E929" s="26" t="str">
        <f t="shared" ca="1" si="131"/>
        <v>火</v>
      </c>
      <c r="F929" s="26">
        <f t="shared" si="132"/>
        <v>0</v>
      </c>
      <c r="G929" s="26">
        <f>IF(ISNA(MATCH(A929,祝日定義!E:E,0)),0,1)</f>
        <v>0</v>
      </c>
      <c r="H929" s="26">
        <f>IF(ISNA(MATCH(B929&amp;"/"&amp;C929,そのた定義!E:E,0)), 0, 1)</f>
        <v>0</v>
      </c>
      <c r="I929" s="26" t="b">
        <f t="shared" si="133"/>
        <v>0</v>
      </c>
      <c r="J929" s="26">
        <v>3</v>
      </c>
      <c r="K929" s="26" t="b">
        <f t="shared" si="128"/>
        <v>0</v>
      </c>
      <c r="L929" s="26" t="b">
        <f t="shared" si="129"/>
        <v>0</v>
      </c>
      <c r="M929" t="b">
        <f t="shared" si="134"/>
        <v>0</v>
      </c>
      <c r="N929" t="b">
        <f t="shared" si="135"/>
        <v>0</v>
      </c>
    </row>
    <row r="930" spans="1:14">
      <c r="A930" s="29">
        <v>45490</v>
      </c>
      <c r="B930" s="30">
        <f t="shared" si="127"/>
        <v>7</v>
      </c>
      <c r="C930" s="30">
        <f t="shared" si="130"/>
        <v>17</v>
      </c>
      <c r="D930" s="26">
        <f>MATCH(WEEKDAY(A930),そのた定義!A:A,0)</f>
        <v>5</v>
      </c>
      <c r="E930" s="26" t="str">
        <f t="shared" ca="1" si="131"/>
        <v>水</v>
      </c>
      <c r="F930" s="26">
        <f t="shared" si="132"/>
        <v>0</v>
      </c>
      <c r="G930" s="26">
        <f>IF(ISNA(MATCH(A930,祝日定義!E:E,0)),0,1)</f>
        <v>0</v>
      </c>
      <c r="H930" s="26">
        <f>IF(ISNA(MATCH(B930&amp;"/"&amp;C930,そのた定義!E:E,0)), 0, 1)</f>
        <v>0</v>
      </c>
      <c r="I930" s="26" t="b">
        <f t="shared" si="133"/>
        <v>0</v>
      </c>
      <c r="J930" s="26">
        <v>0</v>
      </c>
      <c r="K930" s="26" t="b">
        <f t="shared" si="128"/>
        <v>0</v>
      </c>
      <c r="L930" s="26" t="b">
        <f t="shared" si="129"/>
        <v>0</v>
      </c>
      <c r="M930" t="b">
        <f t="shared" si="134"/>
        <v>0</v>
      </c>
      <c r="N930" t="b">
        <f t="shared" si="135"/>
        <v>0</v>
      </c>
    </row>
    <row r="931" spans="1:14">
      <c r="A931" s="29">
        <v>45491</v>
      </c>
      <c r="B931" s="30">
        <f t="shared" si="127"/>
        <v>7</v>
      </c>
      <c r="C931" s="30">
        <f t="shared" si="130"/>
        <v>18</v>
      </c>
      <c r="D931" s="26">
        <f>MATCH(WEEKDAY(A931),そのた定義!A:A,0)</f>
        <v>6</v>
      </c>
      <c r="E931" s="26" t="str">
        <f t="shared" ca="1" si="131"/>
        <v>木</v>
      </c>
      <c r="F931" s="26">
        <f t="shared" si="132"/>
        <v>0</v>
      </c>
      <c r="G931" s="26">
        <f>IF(ISNA(MATCH(A931,祝日定義!E:E,0)),0,1)</f>
        <v>0</v>
      </c>
      <c r="H931" s="26">
        <f>IF(ISNA(MATCH(B931&amp;"/"&amp;C931,そのた定義!E:E,0)), 0, 1)</f>
        <v>0</v>
      </c>
      <c r="I931" s="26" t="b">
        <f t="shared" si="133"/>
        <v>0</v>
      </c>
      <c r="J931" s="26">
        <v>0</v>
      </c>
      <c r="K931" s="26" t="b">
        <f t="shared" si="128"/>
        <v>0</v>
      </c>
      <c r="L931" s="26" t="b">
        <f t="shared" si="129"/>
        <v>0</v>
      </c>
      <c r="M931" t="b">
        <f t="shared" si="134"/>
        <v>0</v>
      </c>
      <c r="N931" t="b">
        <f t="shared" si="135"/>
        <v>0</v>
      </c>
    </row>
    <row r="932" spans="1:14">
      <c r="A932" s="29">
        <v>45492</v>
      </c>
      <c r="B932" s="30">
        <f t="shared" si="127"/>
        <v>7</v>
      </c>
      <c r="C932" s="30">
        <f t="shared" si="130"/>
        <v>19</v>
      </c>
      <c r="D932" s="26">
        <f>MATCH(WEEKDAY(A932),そのた定義!A:A,0)</f>
        <v>7</v>
      </c>
      <c r="E932" s="26" t="str">
        <f t="shared" ca="1" si="131"/>
        <v>金</v>
      </c>
      <c r="F932" s="26">
        <f t="shared" si="132"/>
        <v>0</v>
      </c>
      <c r="G932" s="26">
        <f>IF(ISNA(MATCH(A932,祝日定義!E:E,0)),0,1)</f>
        <v>0</v>
      </c>
      <c r="H932" s="26">
        <f>IF(ISNA(MATCH(B932&amp;"/"&amp;C932,そのた定義!E:E,0)), 0, 1)</f>
        <v>0</v>
      </c>
      <c r="I932" s="26" t="b">
        <f t="shared" si="133"/>
        <v>0</v>
      </c>
      <c r="J932" s="26">
        <v>0</v>
      </c>
      <c r="K932" s="26" t="b">
        <f t="shared" si="128"/>
        <v>0</v>
      </c>
      <c r="L932" s="26" t="b">
        <f t="shared" si="129"/>
        <v>0</v>
      </c>
      <c r="M932" t="b">
        <f t="shared" si="134"/>
        <v>0</v>
      </c>
      <c r="N932" t="b">
        <f t="shared" si="135"/>
        <v>0</v>
      </c>
    </row>
    <row r="933" spans="1:14">
      <c r="A933" s="29">
        <v>45493</v>
      </c>
      <c r="B933" s="30">
        <f t="shared" si="127"/>
        <v>7</v>
      </c>
      <c r="C933" s="30">
        <f t="shared" si="130"/>
        <v>20</v>
      </c>
      <c r="D933" s="26">
        <f>MATCH(WEEKDAY(A933),そのた定義!A:A,0)</f>
        <v>8</v>
      </c>
      <c r="E933" s="33" t="str">
        <f t="shared" ca="1" si="131"/>
        <v>土</v>
      </c>
      <c r="F933" s="26">
        <f t="shared" si="132"/>
        <v>1</v>
      </c>
      <c r="G933" s="26">
        <f>IF(ISNA(MATCH(A933,祝日定義!E:E,0)),0,1)</f>
        <v>0</v>
      </c>
      <c r="H933" s="26">
        <f>IF(ISNA(MATCH(B933&amp;"/"&amp;C933,そのた定義!E:E,0)), 0, 1)</f>
        <v>0</v>
      </c>
      <c r="I933" s="23" t="b">
        <f t="shared" si="133"/>
        <v>1</v>
      </c>
      <c r="J933" s="26">
        <v>0</v>
      </c>
      <c r="K933" s="26" t="b">
        <f t="shared" si="128"/>
        <v>0</v>
      </c>
      <c r="L933" s="26" t="b">
        <f t="shared" si="129"/>
        <v>0</v>
      </c>
      <c r="M933" t="b">
        <f t="shared" si="134"/>
        <v>0</v>
      </c>
      <c r="N933" t="b">
        <f t="shared" si="135"/>
        <v>0</v>
      </c>
    </row>
    <row r="934" spans="1:14">
      <c r="A934" s="29">
        <v>45494</v>
      </c>
      <c r="B934" s="30">
        <f t="shared" si="127"/>
        <v>7</v>
      </c>
      <c r="C934" s="30">
        <f t="shared" si="130"/>
        <v>21</v>
      </c>
      <c r="D934" s="26">
        <f>MATCH(WEEKDAY(A934),そのた定義!A:A,0)</f>
        <v>2</v>
      </c>
      <c r="E934" s="32" t="str">
        <f t="shared" ca="1" si="131"/>
        <v>日</v>
      </c>
      <c r="F934" s="26">
        <f t="shared" si="132"/>
        <v>1</v>
      </c>
      <c r="G934" s="26">
        <f>IF(ISNA(MATCH(A934,祝日定義!E:E,0)),0,1)</f>
        <v>0</v>
      </c>
      <c r="H934" s="26">
        <f>IF(ISNA(MATCH(B934&amp;"/"&amp;C934,そのた定義!E:E,0)), 0, 1)</f>
        <v>0</v>
      </c>
      <c r="I934" s="23" t="b">
        <f t="shared" si="133"/>
        <v>1</v>
      </c>
      <c r="J934" s="26">
        <v>0</v>
      </c>
      <c r="K934" s="26" t="b">
        <f t="shared" si="128"/>
        <v>0</v>
      </c>
      <c r="L934" s="26" t="b">
        <f t="shared" si="129"/>
        <v>0</v>
      </c>
      <c r="M934" t="b">
        <f t="shared" si="134"/>
        <v>0</v>
      </c>
      <c r="N934" t="b">
        <f t="shared" si="135"/>
        <v>0</v>
      </c>
    </row>
    <row r="935" spans="1:14">
      <c r="A935" s="29">
        <v>45495</v>
      </c>
      <c r="B935" s="30">
        <f t="shared" si="127"/>
        <v>7</v>
      </c>
      <c r="C935" s="30">
        <f t="shared" si="130"/>
        <v>22</v>
      </c>
      <c r="D935" s="26">
        <f>MATCH(WEEKDAY(A935),そのた定義!A:A,0)</f>
        <v>3</v>
      </c>
      <c r="E935" s="26" t="str">
        <f t="shared" ca="1" si="131"/>
        <v>月</v>
      </c>
      <c r="F935" s="26">
        <f t="shared" si="132"/>
        <v>0</v>
      </c>
      <c r="G935" s="26">
        <f>IF(ISNA(MATCH(A935,祝日定義!E:E,0)),0,1)</f>
        <v>0</v>
      </c>
      <c r="H935" s="26">
        <f>IF(ISNA(MATCH(B935&amp;"/"&amp;C935,そのた定義!E:E,0)), 0, 1)</f>
        <v>0</v>
      </c>
      <c r="I935" s="26" t="b">
        <f t="shared" si="133"/>
        <v>0</v>
      </c>
      <c r="J935" s="26">
        <v>2</v>
      </c>
      <c r="K935" s="26" t="b">
        <f t="shared" si="128"/>
        <v>0</v>
      </c>
      <c r="L935" s="26" t="b">
        <f t="shared" si="129"/>
        <v>0</v>
      </c>
      <c r="M935" t="b">
        <f t="shared" si="134"/>
        <v>0</v>
      </c>
      <c r="N935" t="b">
        <f t="shared" si="135"/>
        <v>0</v>
      </c>
    </row>
    <row r="936" spans="1:14">
      <c r="A936" s="29">
        <v>45496</v>
      </c>
      <c r="B936" s="30">
        <f t="shared" si="127"/>
        <v>7</v>
      </c>
      <c r="C936" s="30">
        <f t="shared" si="130"/>
        <v>23</v>
      </c>
      <c r="D936" s="26">
        <f>MATCH(WEEKDAY(A936),そのた定義!A:A,0)</f>
        <v>4</v>
      </c>
      <c r="E936" s="26" t="str">
        <f t="shared" ca="1" si="131"/>
        <v>火</v>
      </c>
      <c r="F936" s="26">
        <f t="shared" si="132"/>
        <v>0</v>
      </c>
      <c r="G936" s="26">
        <f>IF(ISNA(MATCH(A936,祝日定義!E:E,0)),0,1)</f>
        <v>0</v>
      </c>
      <c r="H936" s="26">
        <f>IF(ISNA(MATCH(B936&amp;"/"&amp;C936,そのた定義!E:E,0)), 0, 1)</f>
        <v>0</v>
      </c>
      <c r="I936" s="26" t="b">
        <f t="shared" si="133"/>
        <v>0</v>
      </c>
      <c r="J936" s="26">
        <v>0</v>
      </c>
      <c r="K936" s="26" t="b">
        <f t="shared" si="128"/>
        <v>0</v>
      </c>
      <c r="L936" s="26" t="b">
        <f t="shared" si="129"/>
        <v>0</v>
      </c>
      <c r="M936" t="b">
        <f t="shared" si="134"/>
        <v>0</v>
      </c>
      <c r="N936" t="b">
        <f t="shared" si="135"/>
        <v>0</v>
      </c>
    </row>
    <row r="937" spans="1:14">
      <c r="A937" s="29">
        <v>45497</v>
      </c>
      <c r="B937" s="30">
        <f t="shared" si="127"/>
        <v>7</v>
      </c>
      <c r="C937" s="30">
        <f t="shared" si="130"/>
        <v>24</v>
      </c>
      <c r="D937" s="26">
        <f>MATCH(WEEKDAY(A937),そのた定義!A:A,0)</f>
        <v>5</v>
      </c>
      <c r="E937" s="26" t="str">
        <f t="shared" ca="1" si="131"/>
        <v>水</v>
      </c>
      <c r="F937" s="26">
        <f t="shared" si="132"/>
        <v>0</v>
      </c>
      <c r="G937" s="26">
        <f>IF(ISNA(MATCH(A937,祝日定義!E:E,0)),0,1)</f>
        <v>0</v>
      </c>
      <c r="H937" s="26">
        <f>IF(ISNA(MATCH(B937&amp;"/"&amp;C937,そのた定義!E:E,0)), 0, 1)</f>
        <v>0</v>
      </c>
      <c r="I937" s="26" t="b">
        <f t="shared" si="133"/>
        <v>0</v>
      </c>
      <c r="J937" s="26">
        <v>0</v>
      </c>
      <c r="K937" s="26" t="b">
        <f t="shared" si="128"/>
        <v>0</v>
      </c>
      <c r="L937" s="26" t="b">
        <f t="shared" si="129"/>
        <v>0</v>
      </c>
      <c r="M937" t="b">
        <f t="shared" si="134"/>
        <v>0</v>
      </c>
      <c r="N937" t="b">
        <f t="shared" si="135"/>
        <v>0</v>
      </c>
    </row>
    <row r="938" spans="1:14">
      <c r="A938" s="29">
        <v>45498</v>
      </c>
      <c r="B938" s="30">
        <f t="shared" si="127"/>
        <v>7</v>
      </c>
      <c r="C938" s="30">
        <f t="shared" si="130"/>
        <v>25</v>
      </c>
      <c r="D938" s="26">
        <f>MATCH(WEEKDAY(A938),そのた定義!A:A,0)</f>
        <v>6</v>
      </c>
      <c r="E938" s="26" t="str">
        <f t="shared" ca="1" si="131"/>
        <v>木</v>
      </c>
      <c r="F938" s="26">
        <f t="shared" si="132"/>
        <v>0</v>
      </c>
      <c r="G938" s="26">
        <f>IF(ISNA(MATCH(A938,祝日定義!E:E,0)),0,1)</f>
        <v>0</v>
      </c>
      <c r="H938" s="26">
        <f>IF(ISNA(MATCH(B938&amp;"/"&amp;C938,そのた定義!E:E,0)), 0, 1)</f>
        <v>0</v>
      </c>
      <c r="I938" s="26" t="b">
        <f t="shared" si="133"/>
        <v>0</v>
      </c>
      <c r="J938" s="26">
        <v>0</v>
      </c>
      <c r="K938" s="26" t="b">
        <f t="shared" si="128"/>
        <v>0</v>
      </c>
      <c r="L938" s="23" t="b">
        <f t="shared" si="129"/>
        <v>1</v>
      </c>
      <c r="M938" t="b">
        <f t="shared" si="134"/>
        <v>0</v>
      </c>
      <c r="N938" t="b">
        <f t="shared" si="135"/>
        <v>0</v>
      </c>
    </row>
    <row r="939" spans="1:14">
      <c r="A939" s="29">
        <v>45499</v>
      </c>
      <c r="B939" s="30">
        <f t="shared" si="127"/>
        <v>7</v>
      </c>
      <c r="C939" s="30">
        <f t="shared" si="130"/>
        <v>26</v>
      </c>
      <c r="D939" s="26">
        <f>MATCH(WEEKDAY(A939),そのた定義!A:A,0)</f>
        <v>7</v>
      </c>
      <c r="E939" s="26" t="str">
        <f t="shared" ca="1" si="131"/>
        <v>金</v>
      </c>
      <c r="F939" s="26">
        <f t="shared" si="132"/>
        <v>0</v>
      </c>
      <c r="G939" s="26">
        <f>IF(ISNA(MATCH(A939,祝日定義!E:E,0)),0,1)</f>
        <v>0</v>
      </c>
      <c r="H939" s="26">
        <f>IF(ISNA(MATCH(B939&amp;"/"&amp;C939,そのた定義!E:E,0)), 0, 1)</f>
        <v>0</v>
      </c>
      <c r="I939" s="26" t="b">
        <f t="shared" si="133"/>
        <v>0</v>
      </c>
      <c r="J939" s="26">
        <v>0</v>
      </c>
      <c r="K939" s="26" t="b">
        <f t="shared" si="128"/>
        <v>0</v>
      </c>
      <c r="L939" s="26" t="b">
        <f t="shared" si="129"/>
        <v>0</v>
      </c>
      <c r="M939" t="b">
        <f t="shared" si="134"/>
        <v>0</v>
      </c>
      <c r="N939" t="b">
        <f t="shared" si="135"/>
        <v>0</v>
      </c>
    </row>
    <row r="940" spans="1:14">
      <c r="A940" s="29">
        <v>45500</v>
      </c>
      <c r="B940" s="30">
        <f t="shared" si="127"/>
        <v>7</v>
      </c>
      <c r="C940" s="30">
        <f t="shared" si="130"/>
        <v>27</v>
      </c>
      <c r="D940" s="26">
        <f>MATCH(WEEKDAY(A940),そのた定義!A:A,0)</f>
        <v>8</v>
      </c>
      <c r="E940" s="33" t="str">
        <f t="shared" ca="1" si="131"/>
        <v>土</v>
      </c>
      <c r="F940" s="26">
        <f t="shared" si="132"/>
        <v>1</v>
      </c>
      <c r="G940" s="26">
        <f>IF(ISNA(MATCH(A940,祝日定義!E:E,0)),0,1)</f>
        <v>0</v>
      </c>
      <c r="H940" s="26">
        <f>IF(ISNA(MATCH(B940&amp;"/"&amp;C940,そのた定義!E:E,0)), 0, 1)</f>
        <v>0</v>
      </c>
      <c r="I940" s="23" t="b">
        <f t="shared" si="133"/>
        <v>1</v>
      </c>
      <c r="J940" s="26">
        <v>0</v>
      </c>
      <c r="K940" s="26" t="b">
        <f t="shared" si="128"/>
        <v>0</v>
      </c>
      <c r="L940" s="26" t="b">
        <f t="shared" si="129"/>
        <v>0</v>
      </c>
      <c r="M940" t="b">
        <f t="shared" si="134"/>
        <v>0</v>
      </c>
      <c r="N940" t="b">
        <f t="shared" si="135"/>
        <v>0</v>
      </c>
    </row>
    <row r="941" spans="1:14">
      <c r="A941" s="29">
        <v>45501</v>
      </c>
      <c r="B941" s="30">
        <f t="shared" si="127"/>
        <v>7</v>
      </c>
      <c r="C941" s="30">
        <f t="shared" si="130"/>
        <v>28</v>
      </c>
      <c r="D941" s="26">
        <f>MATCH(WEEKDAY(A941),そのた定義!A:A,0)</f>
        <v>2</v>
      </c>
      <c r="E941" s="32" t="str">
        <f t="shared" ca="1" si="131"/>
        <v>日</v>
      </c>
      <c r="F941" s="26">
        <f t="shared" si="132"/>
        <v>1</v>
      </c>
      <c r="G941" s="26">
        <f>IF(ISNA(MATCH(A941,祝日定義!E:E,0)),0,1)</f>
        <v>0</v>
      </c>
      <c r="H941" s="26">
        <f>IF(ISNA(MATCH(B941&amp;"/"&amp;C941,そのた定義!E:E,0)), 0, 1)</f>
        <v>0</v>
      </c>
      <c r="I941" s="23" t="b">
        <f t="shared" si="133"/>
        <v>1</v>
      </c>
      <c r="J941" s="26">
        <v>0</v>
      </c>
      <c r="K941" s="26" t="b">
        <f t="shared" si="128"/>
        <v>0</v>
      </c>
      <c r="L941" s="26" t="b">
        <f t="shared" si="129"/>
        <v>0</v>
      </c>
      <c r="M941" t="b">
        <f t="shared" si="134"/>
        <v>0</v>
      </c>
      <c r="N941" t="b">
        <f t="shared" si="135"/>
        <v>0</v>
      </c>
    </row>
    <row r="942" spans="1:14">
      <c r="A942" s="29">
        <v>45502</v>
      </c>
      <c r="B942" s="30">
        <f t="shared" si="127"/>
        <v>7</v>
      </c>
      <c r="C942" s="30">
        <f t="shared" si="130"/>
        <v>29</v>
      </c>
      <c r="D942" s="26">
        <f>MATCH(WEEKDAY(A942),そのた定義!A:A,0)</f>
        <v>3</v>
      </c>
      <c r="E942" s="26" t="str">
        <f t="shared" ca="1" si="131"/>
        <v>月</v>
      </c>
      <c r="F942" s="26">
        <f t="shared" si="132"/>
        <v>0</v>
      </c>
      <c r="G942" s="26">
        <f>IF(ISNA(MATCH(A942,祝日定義!E:E,0)),0,1)</f>
        <v>0</v>
      </c>
      <c r="H942" s="26">
        <f>IF(ISNA(MATCH(B942&amp;"/"&amp;C942,そのた定義!E:E,0)), 0, 1)</f>
        <v>0</v>
      </c>
      <c r="I942" s="26" t="b">
        <f t="shared" si="133"/>
        <v>0</v>
      </c>
      <c r="J942" s="26">
        <v>2</v>
      </c>
      <c r="K942" s="26" t="b">
        <f t="shared" si="128"/>
        <v>0</v>
      </c>
      <c r="L942" s="26" t="b">
        <f t="shared" si="129"/>
        <v>0</v>
      </c>
      <c r="M942" t="b">
        <f t="shared" si="134"/>
        <v>0</v>
      </c>
      <c r="N942" t="b">
        <f t="shared" si="135"/>
        <v>0</v>
      </c>
    </row>
    <row r="943" spans="1:14">
      <c r="A943" s="29">
        <v>45503</v>
      </c>
      <c r="B943" s="30">
        <f t="shared" si="127"/>
        <v>7</v>
      </c>
      <c r="C943" s="30">
        <f t="shared" si="130"/>
        <v>30</v>
      </c>
      <c r="D943" s="26">
        <f>MATCH(WEEKDAY(A943),そのた定義!A:A,0)</f>
        <v>4</v>
      </c>
      <c r="E943" s="26" t="str">
        <f t="shared" ca="1" si="131"/>
        <v>火</v>
      </c>
      <c r="F943" s="26">
        <f t="shared" si="132"/>
        <v>0</v>
      </c>
      <c r="G943" s="26">
        <f>IF(ISNA(MATCH(A943,祝日定義!E:E,0)),0,1)</f>
        <v>0</v>
      </c>
      <c r="H943" s="26">
        <f>IF(ISNA(MATCH(B943&amp;"/"&amp;C943,そのた定義!E:E,0)), 0, 1)</f>
        <v>0</v>
      </c>
      <c r="I943" s="26" t="b">
        <f t="shared" si="133"/>
        <v>0</v>
      </c>
      <c r="J943" s="26">
        <v>0</v>
      </c>
      <c r="K943" s="26" t="b">
        <f t="shared" si="128"/>
        <v>0</v>
      </c>
      <c r="L943" s="26" t="b">
        <f t="shared" si="129"/>
        <v>0</v>
      </c>
      <c r="M943" t="b">
        <f t="shared" si="134"/>
        <v>0</v>
      </c>
      <c r="N943" t="b">
        <f t="shared" si="135"/>
        <v>0</v>
      </c>
    </row>
    <row r="944" spans="1:14">
      <c r="A944" s="29">
        <v>45504</v>
      </c>
      <c r="B944" s="30">
        <f t="shared" si="127"/>
        <v>7</v>
      </c>
      <c r="C944" s="30">
        <f t="shared" si="130"/>
        <v>31</v>
      </c>
      <c r="D944" s="26">
        <f>MATCH(WEEKDAY(A944),そのた定義!A:A,0)</f>
        <v>5</v>
      </c>
      <c r="E944" s="26" t="str">
        <f t="shared" ca="1" si="131"/>
        <v>水</v>
      </c>
      <c r="F944" s="26">
        <f t="shared" si="132"/>
        <v>0</v>
      </c>
      <c r="G944" s="26">
        <f>IF(ISNA(MATCH(A944,祝日定義!E:E,0)),0,1)</f>
        <v>0</v>
      </c>
      <c r="H944" s="26">
        <f>IF(ISNA(MATCH(B944&amp;"/"&amp;C944,そのた定義!E:E,0)), 0, 1)</f>
        <v>0</v>
      </c>
      <c r="I944" s="26" t="b">
        <f t="shared" si="133"/>
        <v>0</v>
      </c>
      <c r="J944" s="26">
        <v>0</v>
      </c>
      <c r="K944" s="26" t="b">
        <f t="shared" si="128"/>
        <v>0</v>
      </c>
      <c r="L944" s="26" t="b">
        <f t="shared" si="129"/>
        <v>0</v>
      </c>
      <c r="M944" t="b">
        <f t="shared" si="134"/>
        <v>0</v>
      </c>
      <c r="N944" t="b">
        <f t="shared" si="135"/>
        <v>1</v>
      </c>
    </row>
    <row r="945" spans="1:14">
      <c r="A945" s="29">
        <v>45505</v>
      </c>
      <c r="B945" s="30">
        <f t="shared" si="127"/>
        <v>8</v>
      </c>
      <c r="C945" s="30">
        <f t="shared" si="130"/>
        <v>1</v>
      </c>
      <c r="D945" s="26">
        <f>MATCH(WEEKDAY(A945),そのた定義!A:A,0)</f>
        <v>6</v>
      </c>
      <c r="E945" s="26" t="str">
        <f t="shared" ca="1" si="131"/>
        <v>木</v>
      </c>
      <c r="F945" s="26">
        <f t="shared" si="132"/>
        <v>0</v>
      </c>
      <c r="G945" s="26">
        <f>IF(ISNA(MATCH(A945,祝日定義!E:E,0)),0,1)</f>
        <v>0</v>
      </c>
      <c r="H945" s="26">
        <f>IF(ISNA(MATCH(B945&amp;"/"&amp;C945,そのた定義!E:E,0)), 0, 1)</f>
        <v>0</v>
      </c>
      <c r="I945" s="26" t="b">
        <f t="shared" si="133"/>
        <v>0</v>
      </c>
      <c r="J945" s="26">
        <v>0</v>
      </c>
      <c r="K945" s="26" t="b">
        <f t="shared" si="128"/>
        <v>0</v>
      </c>
      <c r="L945" s="26" t="b">
        <f t="shared" si="129"/>
        <v>0</v>
      </c>
      <c r="M945" t="b">
        <f t="shared" si="134"/>
        <v>0</v>
      </c>
      <c r="N945" t="b">
        <f t="shared" si="135"/>
        <v>0</v>
      </c>
    </row>
    <row r="946" spans="1:14">
      <c r="A946" s="29">
        <v>45506</v>
      </c>
      <c r="B946" s="30">
        <f t="shared" si="127"/>
        <v>8</v>
      </c>
      <c r="C946" s="30">
        <f t="shared" si="130"/>
        <v>2</v>
      </c>
      <c r="D946" s="26">
        <f>MATCH(WEEKDAY(A946),そのた定義!A:A,0)</f>
        <v>7</v>
      </c>
      <c r="E946" s="26" t="str">
        <f t="shared" ca="1" si="131"/>
        <v>金</v>
      </c>
      <c r="F946" s="26">
        <f t="shared" si="132"/>
        <v>0</v>
      </c>
      <c r="G946" s="26">
        <f>IF(ISNA(MATCH(A946,祝日定義!E:E,0)),0,1)</f>
        <v>0</v>
      </c>
      <c r="H946" s="26">
        <f>IF(ISNA(MATCH(B946&amp;"/"&amp;C946,そのた定義!E:E,0)), 0, 1)</f>
        <v>0</v>
      </c>
      <c r="I946" s="26" t="b">
        <f t="shared" si="133"/>
        <v>0</v>
      </c>
      <c r="J946" s="26">
        <v>0</v>
      </c>
      <c r="K946" s="26" t="b">
        <f t="shared" si="128"/>
        <v>0</v>
      </c>
      <c r="L946" s="26" t="b">
        <f t="shared" si="129"/>
        <v>0</v>
      </c>
      <c r="M946" t="b">
        <f t="shared" si="134"/>
        <v>0</v>
      </c>
      <c r="N946" t="b">
        <f t="shared" si="135"/>
        <v>0</v>
      </c>
    </row>
    <row r="947" spans="1:14">
      <c r="A947" s="29">
        <v>45507</v>
      </c>
      <c r="B947" s="30">
        <f t="shared" si="127"/>
        <v>8</v>
      </c>
      <c r="C947" s="30">
        <f t="shared" si="130"/>
        <v>3</v>
      </c>
      <c r="D947" s="26">
        <f>MATCH(WEEKDAY(A947),そのた定義!A:A,0)</f>
        <v>8</v>
      </c>
      <c r="E947" s="33" t="str">
        <f t="shared" ca="1" si="131"/>
        <v>土</v>
      </c>
      <c r="F947" s="26">
        <f t="shared" si="132"/>
        <v>1</v>
      </c>
      <c r="G947" s="26">
        <f>IF(ISNA(MATCH(A947,祝日定義!E:E,0)),0,1)</f>
        <v>0</v>
      </c>
      <c r="H947" s="26">
        <f>IF(ISNA(MATCH(B947&amp;"/"&amp;C947,そのた定義!E:E,0)), 0, 1)</f>
        <v>0</v>
      </c>
      <c r="I947" s="23" t="b">
        <f t="shared" si="133"/>
        <v>1</v>
      </c>
      <c r="J947" s="26">
        <v>0</v>
      </c>
      <c r="K947" s="26" t="b">
        <f t="shared" si="128"/>
        <v>0</v>
      </c>
      <c r="L947" s="26" t="b">
        <f t="shared" si="129"/>
        <v>0</v>
      </c>
      <c r="M947" t="b">
        <f t="shared" si="134"/>
        <v>0</v>
      </c>
      <c r="N947" t="b">
        <f t="shared" si="135"/>
        <v>0</v>
      </c>
    </row>
    <row r="948" spans="1:14">
      <c r="A948" s="29">
        <v>45508</v>
      </c>
      <c r="B948" s="30">
        <f t="shared" si="127"/>
        <v>8</v>
      </c>
      <c r="C948" s="30">
        <f t="shared" si="130"/>
        <v>4</v>
      </c>
      <c r="D948" s="26">
        <f>MATCH(WEEKDAY(A948),そのた定義!A:A,0)</f>
        <v>2</v>
      </c>
      <c r="E948" s="32" t="str">
        <f t="shared" ca="1" si="131"/>
        <v>日</v>
      </c>
      <c r="F948" s="26">
        <f t="shared" si="132"/>
        <v>1</v>
      </c>
      <c r="G948" s="26">
        <f>IF(ISNA(MATCH(A948,祝日定義!E:E,0)),0,1)</f>
        <v>0</v>
      </c>
      <c r="H948" s="26">
        <f>IF(ISNA(MATCH(B948&amp;"/"&amp;C948,そのた定義!E:E,0)), 0, 1)</f>
        <v>0</v>
      </c>
      <c r="I948" s="23" t="b">
        <f t="shared" si="133"/>
        <v>1</v>
      </c>
      <c r="J948" s="26">
        <v>0</v>
      </c>
      <c r="K948" s="26" t="b">
        <f t="shared" si="128"/>
        <v>0</v>
      </c>
      <c r="L948" s="26" t="b">
        <f t="shared" si="129"/>
        <v>0</v>
      </c>
      <c r="M948" t="b">
        <f t="shared" si="134"/>
        <v>0</v>
      </c>
      <c r="N948" t="b">
        <f t="shared" si="135"/>
        <v>0</v>
      </c>
    </row>
    <row r="949" spans="1:14">
      <c r="A949" s="29">
        <v>45509</v>
      </c>
      <c r="B949" s="30">
        <f t="shared" si="127"/>
        <v>8</v>
      </c>
      <c r="C949" s="30">
        <f t="shared" si="130"/>
        <v>5</v>
      </c>
      <c r="D949" s="26">
        <f>MATCH(WEEKDAY(A949),そのた定義!A:A,0)</f>
        <v>3</v>
      </c>
      <c r="E949" s="26" t="str">
        <f t="shared" ca="1" si="131"/>
        <v>月</v>
      </c>
      <c r="F949" s="26">
        <f t="shared" si="132"/>
        <v>0</v>
      </c>
      <c r="G949" s="26">
        <f>IF(ISNA(MATCH(A949,祝日定義!E:E,0)),0,1)</f>
        <v>0</v>
      </c>
      <c r="H949" s="26">
        <f>IF(ISNA(MATCH(B949&amp;"/"&amp;C949,そのた定義!E:E,0)), 0, 1)</f>
        <v>0</v>
      </c>
      <c r="I949" s="26" t="b">
        <f t="shared" si="133"/>
        <v>0</v>
      </c>
      <c r="J949" s="26">
        <v>2</v>
      </c>
      <c r="K949" s="26" t="b">
        <f t="shared" si="128"/>
        <v>0</v>
      </c>
      <c r="L949" s="26" t="b">
        <f t="shared" si="129"/>
        <v>0</v>
      </c>
      <c r="M949" t="b">
        <f t="shared" si="134"/>
        <v>0</v>
      </c>
      <c r="N949" t="b">
        <f t="shared" si="135"/>
        <v>0</v>
      </c>
    </row>
    <row r="950" spans="1:14">
      <c r="A950" s="29">
        <v>45510</v>
      </c>
      <c r="B950" s="30">
        <f t="shared" si="127"/>
        <v>8</v>
      </c>
      <c r="C950" s="30">
        <f t="shared" si="130"/>
        <v>6</v>
      </c>
      <c r="D950" s="26">
        <f>MATCH(WEEKDAY(A950),そのた定義!A:A,0)</f>
        <v>4</v>
      </c>
      <c r="E950" s="26" t="str">
        <f t="shared" ca="1" si="131"/>
        <v>火</v>
      </c>
      <c r="F950" s="26">
        <f t="shared" si="132"/>
        <v>0</v>
      </c>
      <c r="G950" s="26">
        <f>IF(ISNA(MATCH(A950,祝日定義!E:E,0)),0,1)</f>
        <v>0</v>
      </c>
      <c r="H950" s="26">
        <f>IF(ISNA(MATCH(B950&amp;"/"&amp;C950,そのた定義!E:E,0)), 0, 1)</f>
        <v>0</v>
      </c>
      <c r="I950" s="26" t="b">
        <f t="shared" si="133"/>
        <v>0</v>
      </c>
      <c r="J950" s="26">
        <v>0</v>
      </c>
      <c r="K950" s="26" t="b">
        <f t="shared" si="128"/>
        <v>0</v>
      </c>
      <c r="L950" s="26" t="b">
        <f t="shared" si="129"/>
        <v>0</v>
      </c>
      <c r="M950" t="b">
        <f t="shared" si="134"/>
        <v>0</v>
      </c>
      <c r="N950" t="b">
        <f t="shared" si="135"/>
        <v>0</v>
      </c>
    </row>
    <row r="951" spans="1:14">
      <c r="A951" s="29">
        <v>45511</v>
      </c>
      <c r="B951" s="30">
        <f t="shared" si="127"/>
        <v>8</v>
      </c>
      <c r="C951" s="30">
        <f t="shared" si="130"/>
        <v>7</v>
      </c>
      <c r="D951" s="26">
        <f>MATCH(WEEKDAY(A951),そのた定義!A:A,0)</f>
        <v>5</v>
      </c>
      <c r="E951" s="26" t="str">
        <f t="shared" ca="1" si="131"/>
        <v>水</v>
      </c>
      <c r="F951" s="26">
        <f t="shared" si="132"/>
        <v>0</v>
      </c>
      <c r="G951" s="26">
        <f>IF(ISNA(MATCH(A951,祝日定義!E:E,0)),0,1)</f>
        <v>0</v>
      </c>
      <c r="H951" s="26">
        <f>IF(ISNA(MATCH(B951&amp;"/"&amp;C951,そのた定義!E:E,0)), 0, 1)</f>
        <v>0</v>
      </c>
      <c r="I951" s="26" t="b">
        <f t="shared" si="133"/>
        <v>0</v>
      </c>
      <c r="J951" s="26">
        <v>0</v>
      </c>
      <c r="K951" s="26" t="b">
        <f t="shared" si="128"/>
        <v>0</v>
      </c>
      <c r="L951" s="26" t="b">
        <f t="shared" si="129"/>
        <v>0</v>
      </c>
      <c r="M951" t="b">
        <f t="shared" si="134"/>
        <v>0</v>
      </c>
      <c r="N951" t="b">
        <f t="shared" si="135"/>
        <v>0</v>
      </c>
    </row>
    <row r="952" spans="1:14">
      <c r="A952" s="29">
        <v>45512</v>
      </c>
      <c r="B952" s="30">
        <f t="shared" si="127"/>
        <v>8</v>
      </c>
      <c r="C952" s="30">
        <f t="shared" si="130"/>
        <v>8</v>
      </c>
      <c r="D952" s="26">
        <f>MATCH(WEEKDAY(A952),そのた定義!A:A,0)</f>
        <v>6</v>
      </c>
      <c r="E952" s="26" t="str">
        <f t="shared" ca="1" si="131"/>
        <v>木</v>
      </c>
      <c r="F952" s="26">
        <f t="shared" si="132"/>
        <v>0</v>
      </c>
      <c r="G952" s="26">
        <f>IF(ISNA(MATCH(A952,祝日定義!E:E,0)),0,1)</f>
        <v>0</v>
      </c>
      <c r="H952" s="26">
        <f>IF(ISNA(MATCH(B952&amp;"/"&amp;C952,そのた定義!E:E,0)), 0, 1)</f>
        <v>0</v>
      </c>
      <c r="I952" s="26" t="b">
        <f t="shared" si="133"/>
        <v>0</v>
      </c>
      <c r="J952" s="26">
        <v>0</v>
      </c>
      <c r="K952" s="26" t="b">
        <f t="shared" si="128"/>
        <v>0</v>
      </c>
      <c r="L952" s="26" t="b">
        <f t="shared" si="129"/>
        <v>0</v>
      </c>
      <c r="M952" t="b">
        <f t="shared" si="134"/>
        <v>0</v>
      </c>
      <c r="N952" t="b">
        <f t="shared" si="135"/>
        <v>0</v>
      </c>
    </row>
    <row r="953" spans="1:14">
      <c r="A953" s="29">
        <v>45513</v>
      </c>
      <c r="B953" s="30">
        <f t="shared" si="127"/>
        <v>8</v>
      </c>
      <c r="C953" s="30">
        <f t="shared" si="130"/>
        <v>9</v>
      </c>
      <c r="D953" s="26">
        <f>MATCH(WEEKDAY(A953),そのた定義!A:A,0)</f>
        <v>7</v>
      </c>
      <c r="E953" s="26" t="str">
        <f t="shared" ca="1" si="131"/>
        <v>金</v>
      </c>
      <c r="F953" s="26">
        <f t="shared" si="132"/>
        <v>0</v>
      </c>
      <c r="G953" s="26">
        <f>IF(ISNA(MATCH(A953,祝日定義!E:E,0)),0,1)</f>
        <v>0</v>
      </c>
      <c r="H953" s="26">
        <f>IF(ISNA(MATCH(B953&amp;"/"&amp;C953,そのた定義!E:E,0)), 0, 1)</f>
        <v>0</v>
      </c>
      <c r="I953" s="26" t="b">
        <f t="shared" si="133"/>
        <v>0</v>
      </c>
      <c r="J953" s="26">
        <v>0</v>
      </c>
      <c r="K953" s="26" t="b">
        <f t="shared" si="128"/>
        <v>0</v>
      </c>
      <c r="L953" s="26" t="b">
        <f t="shared" si="129"/>
        <v>0</v>
      </c>
      <c r="M953" t="b">
        <f t="shared" si="134"/>
        <v>0</v>
      </c>
      <c r="N953" t="b">
        <f t="shared" si="135"/>
        <v>0</v>
      </c>
    </row>
    <row r="954" spans="1:14">
      <c r="A954" s="29">
        <v>45514</v>
      </c>
      <c r="B954" s="30">
        <f t="shared" si="127"/>
        <v>8</v>
      </c>
      <c r="C954" s="30">
        <f t="shared" si="130"/>
        <v>10</v>
      </c>
      <c r="D954" s="26">
        <f>MATCH(WEEKDAY(A954),そのた定義!A:A,0)</f>
        <v>8</v>
      </c>
      <c r="E954" s="33" t="str">
        <f t="shared" ca="1" si="131"/>
        <v>土</v>
      </c>
      <c r="F954" s="26">
        <f t="shared" si="132"/>
        <v>1</v>
      </c>
      <c r="G954" s="26">
        <f>IF(ISNA(MATCH(A954,祝日定義!E:E,0)),0,1)</f>
        <v>0</v>
      </c>
      <c r="H954" s="26">
        <f>IF(ISNA(MATCH(B954&amp;"/"&amp;C954,そのた定義!E:E,0)), 0, 1)</f>
        <v>0</v>
      </c>
      <c r="I954" s="23" t="b">
        <f t="shared" si="133"/>
        <v>1</v>
      </c>
      <c r="J954" s="26">
        <v>0</v>
      </c>
      <c r="K954" s="26" t="b">
        <f t="shared" si="128"/>
        <v>0</v>
      </c>
      <c r="L954" s="26" t="b">
        <f t="shared" si="129"/>
        <v>0</v>
      </c>
      <c r="M954" t="b">
        <f t="shared" si="134"/>
        <v>0</v>
      </c>
      <c r="N954" t="b">
        <f t="shared" si="135"/>
        <v>0</v>
      </c>
    </row>
    <row r="955" spans="1:14">
      <c r="A955" s="29">
        <v>45515</v>
      </c>
      <c r="B955" s="30">
        <f t="shared" si="127"/>
        <v>8</v>
      </c>
      <c r="C955" s="30">
        <f t="shared" si="130"/>
        <v>11</v>
      </c>
      <c r="D955" s="26">
        <f>MATCH(WEEKDAY(A955),そのた定義!A:A,0)</f>
        <v>2</v>
      </c>
      <c r="E955" s="32" t="str">
        <f t="shared" ca="1" si="131"/>
        <v>日</v>
      </c>
      <c r="F955" s="26">
        <f t="shared" si="132"/>
        <v>1</v>
      </c>
      <c r="G955" s="26">
        <f>IF(ISNA(MATCH(A955,祝日定義!E:E,0)),0,1)</f>
        <v>1</v>
      </c>
      <c r="H955" s="26">
        <f>IF(ISNA(MATCH(B955&amp;"/"&amp;C955,そのた定義!E:E,0)), 0, 1)</f>
        <v>0</v>
      </c>
      <c r="I955" s="23" t="b">
        <f t="shared" si="133"/>
        <v>1</v>
      </c>
      <c r="J955" s="26">
        <v>0</v>
      </c>
      <c r="K955" s="26" t="b">
        <f t="shared" si="128"/>
        <v>0</v>
      </c>
      <c r="L955" s="26" t="b">
        <f t="shared" si="129"/>
        <v>0</v>
      </c>
      <c r="M955" t="b">
        <f t="shared" si="134"/>
        <v>0</v>
      </c>
      <c r="N955" t="b">
        <f t="shared" si="135"/>
        <v>0</v>
      </c>
    </row>
    <row r="956" spans="1:14">
      <c r="A956" s="29">
        <v>45516</v>
      </c>
      <c r="B956" s="30">
        <f t="shared" si="127"/>
        <v>8</v>
      </c>
      <c r="C956" s="30">
        <f t="shared" si="130"/>
        <v>12</v>
      </c>
      <c r="D956" s="26">
        <f>MATCH(WEEKDAY(A956),そのた定義!A:A,0)</f>
        <v>3</v>
      </c>
      <c r="E956" s="31" t="str">
        <f t="shared" ca="1" si="131"/>
        <v>月</v>
      </c>
      <c r="F956" s="26">
        <f t="shared" si="132"/>
        <v>0</v>
      </c>
      <c r="G956" s="26">
        <f>IF(ISNA(MATCH(A956,祝日定義!E:E,0)),0,1)</f>
        <v>1</v>
      </c>
      <c r="H956" s="26">
        <f>IF(ISNA(MATCH(B956&amp;"/"&amp;C956,そのた定義!E:E,0)), 0, 1)</f>
        <v>0</v>
      </c>
      <c r="I956" s="23" t="b">
        <f t="shared" si="133"/>
        <v>1</v>
      </c>
      <c r="J956" s="26">
        <v>0</v>
      </c>
      <c r="K956" s="26" t="b">
        <f t="shared" si="128"/>
        <v>0</v>
      </c>
      <c r="L956" s="26" t="b">
        <f t="shared" si="129"/>
        <v>0</v>
      </c>
      <c r="M956" t="b">
        <f t="shared" si="134"/>
        <v>0</v>
      </c>
      <c r="N956" t="b">
        <f t="shared" si="135"/>
        <v>0</v>
      </c>
    </row>
    <row r="957" spans="1:14">
      <c r="A957" s="29">
        <v>45517</v>
      </c>
      <c r="B957" s="30">
        <f t="shared" si="127"/>
        <v>8</v>
      </c>
      <c r="C957" s="30">
        <f t="shared" si="130"/>
        <v>13</v>
      </c>
      <c r="D957" s="26">
        <f>MATCH(WEEKDAY(A957),そのた定義!A:A,0)</f>
        <v>4</v>
      </c>
      <c r="E957" s="26" t="str">
        <f t="shared" ca="1" si="131"/>
        <v>火</v>
      </c>
      <c r="F957" s="26">
        <f t="shared" si="132"/>
        <v>0</v>
      </c>
      <c r="G957" s="26">
        <f>IF(ISNA(MATCH(A957,祝日定義!E:E,0)),0,1)</f>
        <v>0</v>
      </c>
      <c r="H957" s="26">
        <f>IF(ISNA(MATCH(B957&amp;"/"&amp;C957,そのた定義!E:E,0)), 0, 1)</f>
        <v>0</v>
      </c>
      <c r="I957" s="26" t="b">
        <f t="shared" si="133"/>
        <v>0</v>
      </c>
      <c r="J957" s="26">
        <v>3</v>
      </c>
      <c r="K957" s="26" t="b">
        <f t="shared" si="128"/>
        <v>0</v>
      </c>
      <c r="L957" s="26" t="b">
        <f t="shared" si="129"/>
        <v>0</v>
      </c>
      <c r="M957" t="b">
        <f t="shared" si="134"/>
        <v>0</v>
      </c>
      <c r="N957" t="b">
        <f t="shared" si="135"/>
        <v>0</v>
      </c>
    </row>
    <row r="958" spans="1:14">
      <c r="A958" s="29">
        <v>45518</v>
      </c>
      <c r="B958" s="30">
        <f t="shared" si="127"/>
        <v>8</v>
      </c>
      <c r="C958" s="30">
        <f t="shared" si="130"/>
        <v>14</v>
      </c>
      <c r="D958" s="26">
        <f>MATCH(WEEKDAY(A958),そのた定義!A:A,0)</f>
        <v>5</v>
      </c>
      <c r="E958" s="26" t="str">
        <f t="shared" ca="1" si="131"/>
        <v>水</v>
      </c>
      <c r="F958" s="26">
        <f t="shared" si="132"/>
        <v>0</v>
      </c>
      <c r="G958" s="26">
        <f>IF(ISNA(MATCH(A958,祝日定義!E:E,0)),0,1)</f>
        <v>0</v>
      </c>
      <c r="H958" s="26">
        <f>IF(ISNA(MATCH(B958&amp;"/"&amp;C958,そのた定義!E:E,0)), 0, 1)</f>
        <v>0</v>
      </c>
      <c r="I958" s="26" t="b">
        <f t="shared" si="133"/>
        <v>0</v>
      </c>
      <c r="J958" s="26">
        <v>0</v>
      </c>
      <c r="K958" s="26" t="b">
        <f t="shared" si="128"/>
        <v>0</v>
      </c>
      <c r="L958" s="26" t="b">
        <f t="shared" si="129"/>
        <v>0</v>
      </c>
      <c r="M958" t="b">
        <f t="shared" si="134"/>
        <v>0</v>
      </c>
      <c r="N958" t="b">
        <f t="shared" si="135"/>
        <v>0</v>
      </c>
    </row>
    <row r="959" spans="1:14">
      <c r="A959" s="29">
        <v>45519</v>
      </c>
      <c r="B959" s="30">
        <f t="shared" si="127"/>
        <v>8</v>
      </c>
      <c r="C959" s="30">
        <f t="shared" si="130"/>
        <v>15</v>
      </c>
      <c r="D959" s="26">
        <f>MATCH(WEEKDAY(A959),そのた定義!A:A,0)</f>
        <v>6</v>
      </c>
      <c r="E959" s="26" t="str">
        <f t="shared" ca="1" si="131"/>
        <v>木</v>
      </c>
      <c r="F959" s="26">
        <f t="shared" si="132"/>
        <v>0</v>
      </c>
      <c r="G959" s="26">
        <f>IF(ISNA(MATCH(A959,祝日定義!E:E,0)),0,1)</f>
        <v>0</v>
      </c>
      <c r="H959" s="26">
        <f>IF(ISNA(MATCH(B959&amp;"/"&amp;C959,そのた定義!E:E,0)), 0, 1)</f>
        <v>0</v>
      </c>
      <c r="I959" s="26" t="b">
        <f t="shared" si="133"/>
        <v>0</v>
      </c>
      <c r="J959" s="26">
        <v>0</v>
      </c>
      <c r="K959" s="26" t="b">
        <f t="shared" si="128"/>
        <v>0</v>
      </c>
      <c r="L959" s="26" t="b">
        <f t="shared" si="129"/>
        <v>0</v>
      </c>
      <c r="M959" t="b">
        <f t="shared" si="134"/>
        <v>0</v>
      </c>
      <c r="N959" t="b">
        <f t="shared" si="135"/>
        <v>0</v>
      </c>
    </row>
    <row r="960" spans="1:14">
      <c r="A960" s="29">
        <v>45520</v>
      </c>
      <c r="B960" s="30">
        <f t="shared" si="127"/>
        <v>8</v>
      </c>
      <c r="C960" s="30">
        <f t="shared" si="130"/>
        <v>16</v>
      </c>
      <c r="D960" s="26">
        <f>MATCH(WEEKDAY(A960),そのた定義!A:A,0)</f>
        <v>7</v>
      </c>
      <c r="E960" s="26" t="str">
        <f t="shared" ca="1" si="131"/>
        <v>金</v>
      </c>
      <c r="F960" s="26">
        <f t="shared" si="132"/>
        <v>0</v>
      </c>
      <c r="G960" s="26">
        <f>IF(ISNA(MATCH(A960,祝日定義!E:E,0)),0,1)</f>
        <v>0</v>
      </c>
      <c r="H960" s="26">
        <f>IF(ISNA(MATCH(B960&amp;"/"&amp;C960,そのた定義!E:E,0)), 0, 1)</f>
        <v>0</v>
      </c>
      <c r="I960" s="26" t="b">
        <f t="shared" si="133"/>
        <v>0</v>
      </c>
      <c r="J960" s="26">
        <v>0</v>
      </c>
      <c r="K960" s="26" t="b">
        <f t="shared" si="128"/>
        <v>0</v>
      </c>
      <c r="L960" s="26" t="b">
        <f t="shared" si="129"/>
        <v>0</v>
      </c>
      <c r="M960" t="b">
        <f t="shared" si="134"/>
        <v>0</v>
      </c>
      <c r="N960" t="b">
        <f t="shared" si="135"/>
        <v>0</v>
      </c>
    </row>
    <row r="961" spans="1:14">
      <c r="A961" s="29">
        <v>45521</v>
      </c>
      <c r="B961" s="30">
        <f t="shared" si="127"/>
        <v>8</v>
      </c>
      <c r="C961" s="30">
        <f t="shared" si="130"/>
        <v>17</v>
      </c>
      <c r="D961" s="26">
        <f>MATCH(WEEKDAY(A961),そのた定義!A:A,0)</f>
        <v>8</v>
      </c>
      <c r="E961" s="33" t="str">
        <f t="shared" ca="1" si="131"/>
        <v>土</v>
      </c>
      <c r="F961" s="26">
        <f t="shared" si="132"/>
        <v>1</v>
      </c>
      <c r="G961" s="26">
        <f>IF(ISNA(MATCH(A961,祝日定義!E:E,0)),0,1)</f>
        <v>0</v>
      </c>
      <c r="H961" s="26">
        <f>IF(ISNA(MATCH(B961&amp;"/"&amp;C961,そのた定義!E:E,0)), 0, 1)</f>
        <v>0</v>
      </c>
      <c r="I961" s="23" t="b">
        <f t="shared" si="133"/>
        <v>1</v>
      </c>
      <c r="J961" s="26">
        <v>0</v>
      </c>
      <c r="K961" s="26" t="b">
        <f t="shared" si="128"/>
        <v>0</v>
      </c>
      <c r="L961" s="26" t="b">
        <f t="shared" si="129"/>
        <v>0</v>
      </c>
      <c r="M961" t="b">
        <f t="shared" si="134"/>
        <v>0</v>
      </c>
      <c r="N961" t="b">
        <f t="shared" si="135"/>
        <v>0</v>
      </c>
    </row>
    <row r="962" spans="1:14">
      <c r="A962" s="29">
        <v>45522</v>
      </c>
      <c r="B962" s="30">
        <f t="shared" ref="B962:B1025" si="136">MONTH(A962)</f>
        <v>8</v>
      </c>
      <c r="C962" s="30">
        <f t="shared" si="130"/>
        <v>18</v>
      </c>
      <c r="D962" s="26">
        <f>MATCH(WEEKDAY(A962),そのた定義!A:A,0)</f>
        <v>2</v>
      </c>
      <c r="E962" s="32" t="str">
        <f t="shared" ca="1" si="131"/>
        <v>日</v>
      </c>
      <c r="F962" s="26">
        <f t="shared" si="132"/>
        <v>1</v>
      </c>
      <c r="G962" s="26">
        <f>IF(ISNA(MATCH(A962,祝日定義!E:E,0)),0,1)</f>
        <v>0</v>
      </c>
      <c r="H962" s="26">
        <f>IF(ISNA(MATCH(B962&amp;"/"&amp;C962,そのた定義!E:E,0)), 0, 1)</f>
        <v>0</v>
      </c>
      <c r="I962" s="23" t="b">
        <f t="shared" si="133"/>
        <v>1</v>
      </c>
      <c r="J962" s="26">
        <v>0</v>
      </c>
      <c r="K962" s="26" t="b">
        <f t="shared" ref="K962:K1025" si="137">AND(C962&gt;25,DAY(A962-J962)&lt;=25)</f>
        <v>0</v>
      </c>
      <c r="L962" s="26" t="b">
        <f t="shared" ref="L962:L1025" si="138">C962=25</f>
        <v>0</v>
      </c>
      <c r="M962" t="b">
        <f t="shared" si="134"/>
        <v>0</v>
      </c>
      <c r="N962" t="b">
        <f t="shared" si="135"/>
        <v>0</v>
      </c>
    </row>
    <row r="963" spans="1:14">
      <c r="A963" s="29">
        <v>45523</v>
      </c>
      <c r="B963" s="30">
        <f t="shared" si="136"/>
        <v>8</v>
      </c>
      <c r="C963" s="30">
        <f t="shared" ref="C963:C1026" si="139">DAY(A963)</f>
        <v>19</v>
      </c>
      <c r="D963" s="26">
        <f>MATCH(WEEKDAY(A963),そのた定義!A:A,0)</f>
        <v>3</v>
      </c>
      <c r="E963" s="26" t="str">
        <f t="shared" ref="E963:E1026" ca="1" si="140">INDIRECT("そのた定義!"&amp;"B"&amp;D963)</f>
        <v>月</v>
      </c>
      <c r="F963" s="26">
        <f t="shared" ref="F963:F1026" si="141">IF(OR(D963=8,D963=2),1,0)</f>
        <v>0</v>
      </c>
      <c r="G963" s="26">
        <f>IF(ISNA(MATCH(A963,祝日定義!E:E,0)),0,1)</f>
        <v>0</v>
      </c>
      <c r="H963" s="26">
        <f>IF(ISNA(MATCH(B963&amp;"/"&amp;C963,そのた定義!E:E,0)), 0, 1)</f>
        <v>0</v>
      </c>
      <c r="I963" s="26" t="b">
        <f t="shared" ref="I963:I1026" si="142">SUM(F963:H963)&gt;0</f>
        <v>0</v>
      </c>
      <c r="J963" s="26">
        <v>2</v>
      </c>
      <c r="K963" s="26" t="b">
        <f t="shared" si="137"/>
        <v>0</v>
      </c>
      <c r="L963" s="26" t="b">
        <f t="shared" si="138"/>
        <v>0</v>
      </c>
      <c r="M963" t="b">
        <f t="shared" ref="M963:M1026" si="143">B963&lt;&gt;MONTH(A963-J963)</f>
        <v>0</v>
      </c>
      <c r="N963" t="b">
        <f t="shared" ref="N963:N1026" si="144">B963&lt;&gt;MONTH(A963+1)</f>
        <v>0</v>
      </c>
    </row>
    <row r="964" spans="1:14">
      <c r="A964" s="29">
        <v>45524</v>
      </c>
      <c r="B964" s="30">
        <f t="shared" si="136"/>
        <v>8</v>
      </c>
      <c r="C964" s="30">
        <f t="shared" si="139"/>
        <v>20</v>
      </c>
      <c r="D964" s="26">
        <f>MATCH(WEEKDAY(A964),そのた定義!A:A,0)</f>
        <v>4</v>
      </c>
      <c r="E964" s="26" t="str">
        <f t="shared" ca="1" si="140"/>
        <v>火</v>
      </c>
      <c r="F964" s="26">
        <f t="shared" si="141"/>
        <v>0</v>
      </c>
      <c r="G964" s="26">
        <f>IF(ISNA(MATCH(A964,祝日定義!E:E,0)),0,1)</f>
        <v>0</v>
      </c>
      <c r="H964" s="26">
        <f>IF(ISNA(MATCH(B964&amp;"/"&amp;C964,そのた定義!E:E,0)), 0, 1)</f>
        <v>0</v>
      </c>
      <c r="I964" s="26" t="b">
        <f t="shared" si="142"/>
        <v>0</v>
      </c>
      <c r="J964" s="26">
        <v>0</v>
      </c>
      <c r="K964" s="26" t="b">
        <f t="shared" si="137"/>
        <v>0</v>
      </c>
      <c r="L964" s="26" t="b">
        <f t="shared" si="138"/>
        <v>0</v>
      </c>
      <c r="M964" t="b">
        <f t="shared" si="143"/>
        <v>0</v>
      </c>
      <c r="N964" t="b">
        <f t="shared" si="144"/>
        <v>0</v>
      </c>
    </row>
    <row r="965" spans="1:14">
      <c r="A965" s="29">
        <v>45525</v>
      </c>
      <c r="B965" s="30">
        <f t="shared" si="136"/>
        <v>8</v>
      </c>
      <c r="C965" s="30">
        <f t="shared" si="139"/>
        <v>21</v>
      </c>
      <c r="D965" s="26">
        <f>MATCH(WEEKDAY(A965),そのた定義!A:A,0)</f>
        <v>5</v>
      </c>
      <c r="E965" s="26" t="str">
        <f t="shared" ca="1" si="140"/>
        <v>水</v>
      </c>
      <c r="F965" s="26">
        <f t="shared" si="141"/>
        <v>0</v>
      </c>
      <c r="G965" s="26">
        <f>IF(ISNA(MATCH(A965,祝日定義!E:E,0)),0,1)</f>
        <v>0</v>
      </c>
      <c r="H965" s="26">
        <f>IF(ISNA(MATCH(B965&amp;"/"&amp;C965,そのた定義!E:E,0)), 0, 1)</f>
        <v>0</v>
      </c>
      <c r="I965" s="26" t="b">
        <f t="shared" si="142"/>
        <v>0</v>
      </c>
      <c r="J965" s="26">
        <v>0</v>
      </c>
      <c r="K965" s="26" t="b">
        <f t="shared" si="137"/>
        <v>0</v>
      </c>
      <c r="L965" s="26" t="b">
        <f t="shared" si="138"/>
        <v>0</v>
      </c>
      <c r="M965" t="b">
        <f t="shared" si="143"/>
        <v>0</v>
      </c>
      <c r="N965" t="b">
        <f t="shared" si="144"/>
        <v>0</v>
      </c>
    </row>
    <row r="966" spans="1:14">
      <c r="A966" s="29">
        <v>45526</v>
      </c>
      <c r="B966" s="30">
        <f t="shared" si="136"/>
        <v>8</v>
      </c>
      <c r="C966" s="30">
        <f t="shared" si="139"/>
        <v>22</v>
      </c>
      <c r="D966" s="26">
        <f>MATCH(WEEKDAY(A966),そのた定義!A:A,0)</f>
        <v>6</v>
      </c>
      <c r="E966" s="26" t="str">
        <f t="shared" ca="1" si="140"/>
        <v>木</v>
      </c>
      <c r="F966" s="26">
        <f t="shared" si="141"/>
        <v>0</v>
      </c>
      <c r="G966" s="26">
        <f>IF(ISNA(MATCH(A966,祝日定義!E:E,0)),0,1)</f>
        <v>0</v>
      </c>
      <c r="H966" s="26">
        <f>IF(ISNA(MATCH(B966&amp;"/"&amp;C966,そのた定義!E:E,0)), 0, 1)</f>
        <v>0</v>
      </c>
      <c r="I966" s="26" t="b">
        <f t="shared" si="142"/>
        <v>0</v>
      </c>
      <c r="J966" s="26">
        <v>0</v>
      </c>
      <c r="K966" s="26" t="b">
        <f t="shared" si="137"/>
        <v>0</v>
      </c>
      <c r="L966" s="26" t="b">
        <f t="shared" si="138"/>
        <v>0</v>
      </c>
      <c r="M966" t="b">
        <f t="shared" si="143"/>
        <v>0</v>
      </c>
      <c r="N966" t="b">
        <f t="shared" si="144"/>
        <v>0</v>
      </c>
    </row>
    <row r="967" spans="1:14">
      <c r="A967" s="29">
        <v>45527</v>
      </c>
      <c r="B967" s="30">
        <f t="shared" si="136"/>
        <v>8</v>
      </c>
      <c r="C967" s="30">
        <f t="shared" si="139"/>
        <v>23</v>
      </c>
      <c r="D967" s="26">
        <f>MATCH(WEEKDAY(A967),そのた定義!A:A,0)</f>
        <v>7</v>
      </c>
      <c r="E967" s="26" t="str">
        <f t="shared" ca="1" si="140"/>
        <v>金</v>
      </c>
      <c r="F967" s="26">
        <f t="shared" si="141"/>
        <v>0</v>
      </c>
      <c r="G967" s="26">
        <f>IF(ISNA(MATCH(A967,祝日定義!E:E,0)),0,1)</f>
        <v>0</v>
      </c>
      <c r="H967" s="26">
        <f>IF(ISNA(MATCH(B967&amp;"/"&amp;C967,そのた定義!E:E,0)), 0, 1)</f>
        <v>0</v>
      </c>
      <c r="I967" s="26" t="b">
        <f t="shared" si="142"/>
        <v>0</v>
      </c>
      <c r="J967" s="26">
        <v>0</v>
      </c>
      <c r="K967" s="26" t="b">
        <f t="shared" si="137"/>
        <v>0</v>
      </c>
      <c r="L967" s="26" t="b">
        <f t="shared" si="138"/>
        <v>0</v>
      </c>
      <c r="M967" t="b">
        <f t="shared" si="143"/>
        <v>0</v>
      </c>
      <c r="N967" t="b">
        <f t="shared" si="144"/>
        <v>0</v>
      </c>
    </row>
    <row r="968" spans="1:14">
      <c r="A968" s="29">
        <v>45528</v>
      </c>
      <c r="B968" s="30">
        <f t="shared" si="136"/>
        <v>8</v>
      </c>
      <c r="C968" s="30">
        <f t="shared" si="139"/>
        <v>24</v>
      </c>
      <c r="D968" s="26">
        <f>MATCH(WEEKDAY(A968),そのた定義!A:A,0)</f>
        <v>8</v>
      </c>
      <c r="E968" s="33" t="str">
        <f t="shared" ca="1" si="140"/>
        <v>土</v>
      </c>
      <c r="F968" s="26">
        <f t="shared" si="141"/>
        <v>1</v>
      </c>
      <c r="G968" s="26">
        <f>IF(ISNA(MATCH(A968,祝日定義!E:E,0)),0,1)</f>
        <v>0</v>
      </c>
      <c r="H968" s="26">
        <f>IF(ISNA(MATCH(B968&amp;"/"&amp;C968,そのた定義!E:E,0)), 0, 1)</f>
        <v>0</v>
      </c>
      <c r="I968" s="23" t="b">
        <f t="shared" si="142"/>
        <v>1</v>
      </c>
      <c r="J968" s="26">
        <v>0</v>
      </c>
      <c r="K968" s="26" t="b">
        <f t="shared" si="137"/>
        <v>0</v>
      </c>
      <c r="L968" s="26" t="b">
        <f t="shared" si="138"/>
        <v>0</v>
      </c>
      <c r="M968" t="b">
        <f t="shared" si="143"/>
        <v>0</v>
      </c>
      <c r="N968" t="b">
        <f t="shared" si="144"/>
        <v>0</v>
      </c>
    </row>
    <row r="969" spans="1:14">
      <c r="A969" s="29">
        <v>45529</v>
      </c>
      <c r="B969" s="30">
        <f t="shared" si="136"/>
        <v>8</v>
      </c>
      <c r="C969" s="30">
        <f t="shared" si="139"/>
        <v>25</v>
      </c>
      <c r="D969" s="26">
        <f>MATCH(WEEKDAY(A969),そのた定義!A:A,0)</f>
        <v>2</v>
      </c>
      <c r="E969" s="32" t="str">
        <f t="shared" ca="1" si="140"/>
        <v>日</v>
      </c>
      <c r="F969" s="26">
        <f t="shared" si="141"/>
        <v>1</v>
      </c>
      <c r="G969" s="26">
        <f>IF(ISNA(MATCH(A969,祝日定義!E:E,0)),0,1)</f>
        <v>0</v>
      </c>
      <c r="H969" s="26">
        <f>IF(ISNA(MATCH(B969&amp;"/"&amp;C969,そのた定義!E:E,0)), 0, 1)</f>
        <v>0</v>
      </c>
      <c r="I969" s="23" t="b">
        <f t="shared" si="142"/>
        <v>1</v>
      </c>
      <c r="J969" s="26">
        <v>0</v>
      </c>
      <c r="K969" s="26" t="b">
        <f t="shared" si="137"/>
        <v>0</v>
      </c>
      <c r="L969" s="23" t="b">
        <f t="shared" si="138"/>
        <v>1</v>
      </c>
      <c r="M969" t="b">
        <f t="shared" si="143"/>
        <v>0</v>
      </c>
      <c r="N969" t="b">
        <f t="shared" si="144"/>
        <v>0</v>
      </c>
    </row>
    <row r="970" spans="1:14">
      <c r="A970" s="29">
        <v>45530</v>
      </c>
      <c r="B970" s="30">
        <f t="shared" si="136"/>
        <v>8</v>
      </c>
      <c r="C970" s="30">
        <f t="shared" si="139"/>
        <v>26</v>
      </c>
      <c r="D970" s="26">
        <f>MATCH(WEEKDAY(A970),そのた定義!A:A,0)</f>
        <v>3</v>
      </c>
      <c r="E970" s="26" t="str">
        <f t="shared" ca="1" si="140"/>
        <v>月</v>
      </c>
      <c r="F970" s="26">
        <f t="shared" si="141"/>
        <v>0</v>
      </c>
      <c r="G970" s="26">
        <f>IF(ISNA(MATCH(A970,祝日定義!E:E,0)),0,1)</f>
        <v>0</v>
      </c>
      <c r="H970" s="26">
        <f>IF(ISNA(MATCH(B970&amp;"/"&amp;C970,そのた定義!E:E,0)), 0, 1)</f>
        <v>0</v>
      </c>
      <c r="I970" s="26" t="b">
        <f t="shared" si="142"/>
        <v>0</v>
      </c>
      <c r="J970" s="26">
        <v>2</v>
      </c>
      <c r="K970" s="23" t="b">
        <f t="shared" si="137"/>
        <v>1</v>
      </c>
      <c r="L970" s="26" t="b">
        <f t="shared" si="138"/>
        <v>0</v>
      </c>
      <c r="M970" t="b">
        <f t="shared" si="143"/>
        <v>0</v>
      </c>
      <c r="N970" t="b">
        <f t="shared" si="144"/>
        <v>0</v>
      </c>
    </row>
    <row r="971" spans="1:14">
      <c r="A971" s="29">
        <v>45531</v>
      </c>
      <c r="B971" s="30">
        <f t="shared" si="136"/>
        <v>8</v>
      </c>
      <c r="C971" s="30">
        <f t="shared" si="139"/>
        <v>27</v>
      </c>
      <c r="D971" s="26">
        <f>MATCH(WEEKDAY(A971),そのた定義!A:A,0)</f>
        <v>4</v>
      </c>
      <c r="E971" s="26" t="str">
        <f t="shared" ca="1" si="140"/>
        <v>火</v>
      </c>
      <c r="F971" s="26">
        <f t="shared" si="141"/>
        <v>0</v>
      </c>
      <c r="G971" s="26">
        <f>IF(ISNA(MATCH(A971,祝日定義!E:E,0)),0,1)</f>
        <v>0</v>
      </c>
      <c r="H971" s="26">
        <f>IF(ISNA(MATCH(B971&amp;"/"&amp;C971,そのた定義!E:E,0)), 0, 1)</f>
        <v>0</v>
      </c>
      <c r="I971" s="26" t="b">
        <f t="shared" si="142"/>
        <v>0</v>
      </c>
      <c r="J971" s="26">
        <v>0</v>
      </c>
      <c r="K971" s="26" t="b">
        <f t="shared" si="137"/>
        <v>0</v>
      </c>
      <c r="L971" s="26" t="b">
        <f t="shared" si="138"/>
        <v>0</v>
      </c>
      <c r="M971" t="b">
        <f t="shared" si="143"/>
        <v>0</v>
      </c>
      <c r="N971" t="b">
        <f t="shared" si="144"/>
        <v>0</v>
      </c>
    </row>
    <row r="972" spans="1:14">
      <c r="A972" s="29">
        <v>45532</v>
      </c>
      <c r="B972" s="30">
        <f t="shared" si="136"/>
        <v>8</v>
      </c>
      <c r="C972" s="30">
        <f t="shared" si="139"/>
        <v>28</v>
      </c>
      <c r="D972" s="26">
        <f>MATCH(WEEKDAY(A972),そのた定義!A:A,0)</f>
        <v>5</v>
      </c>
      <c r="E972" s="26" t="str">
        <f t="shared" ca="1" si="140"/>
        <v>水</v>
      </c>
      <c r="F972" s="26">
        <f t="shared" si="141"/>
        <v>0</v>
      </c>
      <c r="G972" s="26">
        <f>IF(ISNA(MATCH(A972,祝日定義!E:E,0)),0,1)</f>
        <v>0</v>
      </c>
      <c r="H972" s="26">
        <f>IF(ISNA(MATCH(B972&amp;"/"&amp;C972,そのた定義!E:E,0)), 0, 1)</f>
        <v>0</v>
      </c>
      <c r="I972" s="26" t="b">
        <f t="shared" si="142"/>
        <v>0</v>
      </c>
      <c r="J972" s="26">
        <v>0</v>
      </c>
      <c r="K972" s="26" t="b">
        <f t="shared" si="137"/>
        <v>0</v>
      </c>
      <c r="L972" s="26" t="b">
        <f t="shared" si="138"/>
        <v>0</v>
      </c>
      <c r="M972" t="b">
        <f t="shared" si="143"/>
        <v>0</v>
      </c>
      <c r="N972" t="b">
        <f t="shared" si="144"/>
        <v>0</v>
      </c>
    </row>
    <row r="973" spans="1:14">
      <c r="A973" s="29">
        <v>45533</v>
      </c>
      <c r="B973" s="30">
        <f t="shared" si="136"/>
        <v>8</v>
      </c>
      <c r="C973" s="30">
        <f t="shared" si="139"/>
        <v>29</v>
      </c>
      <c r="D973" s="26">
        <f>MATCH(WEEKDAY(A973),そのた定義!A:A,0)</f>
        <v>6</v>
      </c>
      <c r="E973" s="26" t="str">
        <f t="shared" ca="1" si="140"/>
        <v>木</v>
      </c>
      <c r="F973" s="26">
        <f t="shared" si="141"/>
        <v>0</v>
      </c>
      <c r="G973" s="26">
        <f>IF(ISNA(MATCH(A973,祝日定義!E:E,0)),0,1)</f>
        <v>0</v>
      </c>
      <c r="H973" s="26">
        <f>IF(ISNA(MATCH(B973&amp;"/"&amp;C973,そのた定義!E:E,0)), 0, 1)</f>
        <v>0</v>
      </c>
      <c r="I973" s="26" t="b">
        <f t="shared" si="142"/>
        <v>0</v>
      </c>
      <c r="J973" s="26">
        <v>0</v>
      </c>
      <c r="K973" s="26" t="b">
        <f t="shared" si="137"/>
        <v>0</v>
      </c>
      <c r="L973" s="26" t="b">
        <f t="shared" si="138"/>
        <v>0</v>
      </c>
      <c r="M973" t="b">
        <f t="shared" si="143"/>
        <v>0</v>
      </c>
      <c r="N973" t="b">
        <f t="shared" si="144"/>
        <v>0</v>
      </c>
    </row>
    <row r="974" spans="1:14">
      <c r="A974" s="29">
        <v>45534</v>
      </c>
      <c r="B974" s="30">
        <f t="shared" si="136"/>
        <v>8</v>
      </c>
      <c r="C974" s="30">
        <f t="shared" si="139"/>
        <v>30</v>
      </c>
      <c r="D974" s="26">
        <f>MATCH(WEEKDAY(A974),そのた定義!A:A,0)</f>
        <v>7</v>
      </c>
      <c r="E974" s="26" t="str">
        <f t="shared" ca="1" si="140"/>
        <v>金</v>
      </c>
      <c r="F974" s="26">
        <f t="shared" si="141"/>
        <v>0</v>
      </c>
      <c r="G974" s="26">
        <f>IF(ISNA(MATCH(A974,祝日定義!E:E,0)),0,1)</f>
        <v>0</v>
      </c>
      <c r="H974" s="26">
        <f>IF(ISNA(MATCH(B974&amp;"/"&amp;C974,そのた定義!E:E,0)), 0, 1)</f>
        <v>0</v>
      </c>
      <c r="I974" s="26" t="b">
        <f t="shared" si="142"/>
        <v>0</v>
      </c>
      <c r="J974" s="26">
        <v>0</v>
      </c>
      <c r="K974" s="26" t="b">
        <f t="shared" si="137"/>
        <v>0</v>
      </c>
      <c r="L974" s="26" t="b">
        <f t="shared" si="138"/>
        <v>0</v>
      </c>
      <c r="M974" t="b">
        <f t="shared" si="143"/>
        <v>0</v>
      </c>
      <c r="N974" t="b">
        <f t="shared" si="144"/>
        <v>0</v>
      </c>
    </row>
    <row r="975" spans="1:14">
      <c r="A975" s="29">
        <v>45535</v>
      </c>
      <c r="B975" s="30">
        <f t="shared" si="136"/>
        <v>8</v>
      </c>
      <c r="C975" s="30">
        <f t="shared" si="139"/>
        <v>31</v>
      </c>
      <c r="D975" s="26">
        <f>MATCH(WEEKDAY(A975),そのた定義!A:A,0)</f>
        <v>8</v>
      </c>
      <c r="E975" s="33" t="str">
        <f t="shared" ca="1" si="140"/>
        <v>土</v>
      </c>
      <c r="F975" s="26">
        <f t="shared" si="141"/>
        <v>1</v>
      </c>
      <c r="G975" s="26">
        <f>IF(ISNA(MATCH(A975,祝日定義!E:E,0)),0,1)</f>
        <v>0</v>
      </c>
      <c r="H975" s="26">
        <f>IF(ISNA(MATCH(B975&amp;"/"&amp;C975,そのた定義!E:E,0)), 0, 1)</f>
        <v>0</v>
      </c>
      <c r="I975" s="23" t="b">
        <f t="shared" si="142"/>
        <v>1</v>
      </c>
      <c r="J975" s="26">
        <v>0</v>
      </c>
      <c r="K975" s="26" t="b">
        <f t="shared" si="137"/>
        <v>0</v>
      </c>
      <c r="L975" s="26" t="b">
        <f t="shared" si="138"/>
        <v>0</v>
      </c>
      <c r="M975" t="b">
        <f t="shared" si="143"/>
        <v>0</v>
      </c>
      <c r="N975" t="b">
        <f t="shared" si="144"/>
        <v>1</v>
      </c>
    </row>
    <row r="976" spans="1:14">
      <c r="A976" s="29">
        <v>45536</v>
      </c>
      <c r="B976" s="30">
        <f t="shared" si="136"/>
        <v>9</v>
      </c>
      <c r="C976" s="30">
        <f t="shared" si="139"/>
        <v>1</v>
      </c>
      <c r="D976" s="26">
        <f>MATCH(WEEKDAY(A976),そのた定義!A:A,0)</f>
        <v>2</v>
      </c>
      <c r="E976" s="32" t="str">
        <f t="shared" ca="1" si="140"/>
        <v>日</v>
      </c>
      <c r="F976" s="26">
        <f t="shared" si="141"/>
        <v>1</v>
      </c>
      <c r="G976" s="26">
        <f>IF(ISNA(MATCH(A976,祝日定義!E:E,0)),0,1)</f>
        <v>0</v>
      </c>
      <c r="H976" s="26">
        <f>IF(ISNA(MATCH(B976&amp;"/"&amp;C976,そのた定義!E:E,0)), 0, 1)</f>
        <v>0</v>
      </c>
      <c r="I976" s="23" t="b">
        <f t="shared" si="142"/>
        <v>1</v>
      </c>
      <c r="J976" s="26">
        <v>0</v>
      </c>
      <c r="K976" s="26" t="b">
        <f t="shared" si="137"/>
        <v>0</v>
      </c>
      <c r="L976" s="26" t="b">
        <f t="shared" si="138"/>
        <v>0</v>
      </c>
      <c r="M976" t="b">
        <f t="shared" si="143"/>
        <v>0</v>
      </c>
      <c r="N976" t="b">
        <f t="shared" si="144"/>
        <v>0</v>
      </c>
    </row>
    <row r="977" spans="1:14">
      <c r="A977" s="29">
        <v>45537</v>
      </c>
      <c r="B977" s="30">
        <f t="shared" si="136"/>
        <v>9</v>
      </c>
      <c r="C977" s="30">
        <f t="shared" si="139"/>
        <v>2</v>
      </c>
      <c r="D977" s="26">
        <f>MATCH(WEEKDAY(A977),そのた定義!A:A,0)</f>
        <v>3</v>
      </c>
      <c r="E977" s="26" t="str">
        <f t="shared" ca="1" si="140"/>
        <v>月</v>
      </c>
      <c r="F977" s="26">
        <f t="shared" si="141"/>
        <v>0</v>
      </c>
      <c r="G977" s="26">
        <f>IF(ISNA(MATCH(A977,祝日定義!E:E,0)),0,1)</f>
        <v>0</v>
      </c>
      <c r="H977" s="26">
        <f>IF(ISNA(MATCH(B977&amp;"/"&amp;C977,そのた定義!E:E,0)), 0, 1)</f>
        <v>0</v>
      </c>
      <c r="I977" s="26" t="b">
        <f t="shared" si="142"/>
        <v>0</v>
      </c>
      <c r="J977" s="26">
        <v>2</v>
      </c>
      <c r="K977" s="26" t="b">
        <f t="shared" si="137"/>
        <v>0</v>
      </c>
      <c r="L977" s="26" t="b">
        <f t="shared" si="138"/>
        <v>0</v>
      </c>
      <c r="M977" t="b">
        <f t="shared" si="143"/>
        <v>1</v>
      </c>
      <c r="N977" t="b">
        <f t="shared" si="144"/>
        <v>0</v>
      </c>
    </row>
    <row r="978" spans="1:14">
      <c r="A978" s="29">
        <v>45538</v>
      </c>
      <c r="B978" s="30">
        <f t="shared" si="136"/>
        <v>9</v>
      </c>
      <c r="C978" s="30">
        <f t="shared" si="139"/>
        <v>3</v>
      </c>
      <c r="D978" s="26">
        <f>MATCH(WEEKDAY(A978),そのた定義!A:A,0)</f>
        <v>4</v>
      </c>
      <c r="E978" s="26" t="str">
        <f t="shared" ca="1" si="140"/>
        <v>火</v>
      </c>
      <c r="F978" s="26">
        <f t="shared" si="141"/>
        <v>0</v>
      </c>
      <c r="G978" s="26">
        <f>IF(ISNA(MATCH(A978,祝日定義!E:E,0)),0,1)</f>
        <v>0</v>
      </c>
      <c r="H978" s="26">
        <f>IF(ISNA(MATCH(B978&amp;"/"&amp;C978,そのた定義!E:E,0)), 0, 1)</f>
        <v>0</v>
      </c>
      <c r="I978" s="26" t="b">
        <f t="shared" si="142"/>
        <v>0</v>
      </c>
      <c r="J978" s="26">
        <v>0</v>
      </c>
      <c r="K978" s="26" t="b">
        <f t="shared" si="137"/>
        <v>0</v>
      </c>
      <c r="L978" s="26" t="b">
        <f t="shared" si="138"/>
        <v>0</v>
      </c>
      <c r="M978" t="b">
        <f t="shared" si="143"/>
        <v>0</v>
      </c>
      <c r="N978" t="b">
        <f t="shared" si="144"/>
        <v>0</v>
      </c>
    </row>
    <row r="979" spans="1:14">
      <c r="A979" s="29">
        <v>45539</v>
      </c>
      <c r="B979" s="30">
        <f t="shared" si="136"/>
        <v>9</v>
      </c>
      <c r="C979" s="30">
        <f t="shared" si="139"/>
        <v>4</v>
      </c>
      <c r="D979" s="26">
        <f>MATCH(WEEKDAY(A979),そのた定義!A:A,0)</f>
        <v>5</v>
      </c>
      <c r="E979" s="26" t="str">
        <f t="shared" ca="1" si="140"/>
        <v>水</v>
      </c>
      <c r="F979" s="26">
        <f t="shared" si="141"/>
        <v>0</v>
      </c>
      <c r="G979" s="26">
        <f>IF(ISNA(MATCH(A979,祝日定義!E:E,0)),0,1)</f>
        <v>0</v>
      </c>
      <c r="H979" s="26">
        <f>IF(ISNA(MATCH(B979&amp;"/"&amp;C979,そのた定義!E:E,0)), 0, 1)</f>
        <v>0</v>
      </c>
      <c r="I979" s="26" t="b">
        <f t="shared" si="142"/>
        <v>0</v>
      </c>
      <c r="J979" s="26">
        <v>0</v>
      </c>
      <c r="K979" s="26" t="b">
        <f t="shared" si="137"/>
        <v>0</v>
      </c>
      <c r="L979" s="26" t="b">
        <f t="shared" si="138"/>
        <v>0</v>
      </c>
      <c r="M979" t="b">
        <f t="shared" si="143"/>
        <v>0</v>
      </c>
      <c r="N979" t="b">
        <f t="shared" si="144"/>
        <v>0</v>
      </c>
    </row>
    <row r="980" spans="1:14">
      <c r="A980" s="29">
        <v>45540</v>
      </c>
      <c r="B980" s="30">
        <f t="shared" si="136"/>
        <v>9</v>
      </c>
      <c r="C980" s="30">
        <f t="shared" si="139"/>
        <v>5</v>
      </c>
      <c r="D980" s="26">
        <f>MATCH(WEEKDAY(A980),そのた定義!A:A,0)</f>
        <v>6</v>
      </c>
      <c r="E980" s="26" t="str">
        <f t="shared" ca="1" si="140"/>
        <v>木</v>
      </c>
      <c r="F980" s="26">
        <f t="shared" si="141"/>
        <v>0</v>
      </c>
      <c r="G980" s="26">
        <f>IF(ISNA(MATCH(A980,祝日定義!E:E,0)),0,1)</f>
        <v>0</v>
      </c>
      <c r="H980" s="26">
        <f>IF(ISNA(MATCH(B980&amp;"/"&amp;C980,そのた定義!E:E,0)), 0, 1)</f>
        <v>0</v>
      </c>
      <c r="I980" s="26" t="b">
        <f t="shared" si="142"/>
        <v>0</v>
      </c>
      <c r="J980" s="26">
        <v>0</v>
      </c>
      <c r="K980" s="26" t="b">
        <f t="shared" si="137"/>
        <v>0</v>
      </c>
      <c r="L980" s="26" t="b">
        <f t="shared" si="138"/>
        <v>0</v>
      </c>
      <c r="M980" t="b">
        <f t="shared" si="143"/>
        <v>0</v>
      </c>
      <c r="N980" t="b">
        <f t="shared" si="144"/>
        <v>0</v>
      </c>
    </row>
    <row r="981" spans="1:14">
      <c r="A981" s="29">
        <v>45541</v>
      </c>
      <c r="B981" s="30">
        <f t="shared" si="136"/>
        <v>9</v>
      </c>
      <c r="C981" s="30">
        <f t="shared" si="139"/>
        <v>6</v>
      </c>
      <c r="D981" s="26">
        <f>MATCH(WEEKDAY(A981),そのた定義!A:A,0)</f>
        <v>7</v>
      </c>
      <c r="E981" s="26" t="str">
        <f t="shared" ca="1" si="140"/>
        <v>金</v>
      </c>
      <c r="F981" s="26">
        <f t="shared" si="141"/>
        <v>0</v>
      </c>
      <c r="G981" s="26">
        <f>IF(ISNA(MATCH(A981,祝日定義!E:E,0)),0,1)</f>
        <v>0</v>
      </c>
      <c r="H981" s="26">
        <f>IF(ISNA(MATCH(B981&amp;"/"&amp;C981,そのた定義!E:E,0)), 0, 1)</f>
        <v>0</v>
      </c>
      <c r="I981" s="26" t="b">
        <f t="shared" si="142"/>
        <v>0</v>
      </c>
      <c r="J981" s="26">
        <v>0</v>
      </c>
      <c r="K981" s="26" t="b">
        <f t="shared" si="137"/>
        <v>0</v>
      </c>
      <c r="L981" s="26" t="b">
        <f t="shared" si="138"/>
        <v>0</v>
      </c>
      <c r="M981" t="b">
        <f t="shared" si="143"/>
        <v>0</v>
      </c>
      <c r="N981" t="b">
        <f t="shared" si="144"/>
        <v>0</v>
      </c>
    </row>
    <row r="982" spans="1:14">
      <c r="A982" s="29">
        <v>45542</v>
      </c>
      <c r="B982" s="30">
        <f t="shared" si="136"/>
        <v>9</v>
      </c>
      <c r="C982" s="30">
        <f t="shared" si="139"/>
        <v>7</v>
      </c>
      <c r="D982" s="26">
        <f>MATCH(WEEKDAY(A982),そのた定義!A:A,0)</f>
        <v>8</v>
      </c>
      <c r="E982" s="33" t="str">
        <f t="shared" ca="1" si="140"/>
        <v>土</v>
      </c>
      <c r="F982" s="26">
        <f t="shared" si="141"/>
        <v>1</v>
      </c>
      <c r="G982" s="26">
        <f>IF(ISNA(MATCH(A982,祝日定義!E:E,0)),0,1)</f>
        <v>0</v>
      </c>
      <c r="H982" s="26">
        <f>IF(ISNA(MATCH(B982&amp;"/"&amp;C982,そのた定義!E:E,0)), 0, 1)</f>
        <v>0</v>
      </c>
      <c r="I982" s="23" t="b">
        <f t="shared" si="142"/>
        <v>1</v>
      </c>
      <c r="J982" s="26">
        <v>0</v>
      </c>
      <c r="K982" s="26" t="b">
        <f t="shared" si="137"/>
        <v>0</v>
      </c>
      <c r="L982" s="26" t="b">
        <f t="shared" si="138"/>
        <v>0</v>
      </c>
      <c r="M982" t="b">
        <f t="shared" si="143"/>
        <v>0</v>
      </c>
      <c r="N982" t="b">
        <f t="shared" si="144"/>
        <v>0</v>
      </c>
    </row>
    <row r="983" spans="1:14">
      <c r="A983" s="29">
        <v>45543</v>
      </c>
      <c r="B983" s="30">
        <f t="shared" si="136"/>
        <v>9</v>
      </c>
      <c r="C983" s="30">
        <f t="shared" si="139"/>
        <v>8</v>
      </c>
      <c r="D983" s="26">
        <f>MATCH(WEEKDAY(A983),そのた定義!A:A,0)</f>
        <v>2</v>
      </c>
      <c r="E983" s="32" t="str">
        <f t="shared" ca="1" si="140"/>
        <v>日</v>
      </c>
      <c r="F983" s="26">
        <f t="shared" si="141"/>
        <v>1</v>
      </c>
      <c r="G983" s="26">
        <f>IF(ISNA(MATCH(A983,祝日定義!E:E,0)),0,1)</f>
        <v>0</v>
      </c>
      <c r="H983" s="26">
        <f>IF(ISNA(MATCH(B983&amp;"/"&amp;C983,そのた定義!E:E,0)), 0, 1)</f>
        <v>0</v>
      </c>
      <c r="I983" s="23" t="b">
        <f t="shared" si="142"/>
        <v>1</v>
      </c>
      <c r="J983" s="26">
        <v>0</v>
      </c>
      <c r="K983" s="26" t="b">
        <f t="shared" si="137"/>
        <v>0</v>
      </c>
      <c r="L983" s="26" t="b">
        <f t="shared" si="138"/>
        <v>0</v>
      </c>
      <c r="M983" t="b">
        <f t="shared" si="143"/>
        <v>0</v>
      </c>
      <c r="N983" t="b">
        <f t="shared" si="144"/>
        <v>0</v>
      </c>
    </row>
    <row r="984" spans="1:14">
      <c r="A984" s="29">
        <v>45544</v>
      </c>
      <c r="B984" s="30">
        <f t="shared" si="136"/>
        <v>9</v>
      </c>
      <c r="C984" s="30">
        <f t="shared" si="139"/>
        <v>9</v>
      </c>
      <c r="D984" s="26">
        <f>MATCH(WEEKDAY(A984),そのた定義!A:A,0)</f>
        <v>3</v>
      </c>
      <c r="E984" s="26" t="str">
        <f t="shared" ca="1" si="140"/>
        <v>月</v>
      </c>
      <c r="F984" s="26">
        <f t="shared" si="141"/>
        <v>0</v>
      </c>
      <c r="G984" s="26">
        <f>IF(ISNA(MATCH(A984,祝日定義!E:E,0)),0,1)</f>
        <v>0</v>
      </c>
      <c r="H984" s="26">
        <f>IF(ISNA(MATCH(B984&amp;"/"&amp;C984,そのた定義!E:E,0)), 0, 1)</f>
        <v>0</v>
      </c>
      <c r="I984" s="26" t="b">
        <f t="shared" si="142"/>
        <v>0</v>
      </c>
      <c r="J984" s="26">
        <v>2</v>
      </c>
      <c r="K984" s="26" t="b">
        <f t="shared" si="137"/>
        <v>0</v>
      </c>
      <c r="L984" s="26" t="b">
        <f t="shared" si="138"/>
        <v>0</v>
      </c>
      <c r="M984" t="b">
        <f t="shared" si="143"/>
        <v>0</v>
      </c>
      <c r="N984" t="b">
        <f t="shared" si="144"/>
        <v>0</v>
      </c>
    </row>
    <row r="985" spans="1:14">
      <c r="A985" s="29">
        <v>45545</v>
      </c>
      <c r="B985" s="30">
        <f t="shared" si="136"/>
        <v>9</v>
      </c>
      <c r="C985" s="30">
        <f t="shared" si="139"/>
        <v>10</v>
      </c>
      <c r="D985" s="26">
        <f>MATCH(WEEKDAY(A985),そのた定義!A:A,0)</f>
        <v>4</v>
      </c>
      <c r="E985" s="26" t="str">
        <f t="shared" ca="1" si="140"/>
        <v>火</v>
      </c>
      <c r="F985" s="26">
        <f t="shared" si="141"/>
        <v>0</v>
      </c>
      <c r="G985" s="26">
        <f>IF(ISNA(MATCH(A985,祝日定義!E:E,0)),0,1)</f>
        <v>0</v>
      </c>
      <c r="H985" s="26">
        <f>IF(ISNA(MATCH(B985&amp;"/"&amp;C985,そのた定義!E:E,0)), 0, 1)</f>
        <v>0</v>
      </c>
      <c r="I985" s="26" t="b">
        <f t="shared" si="142"/>
        <v>0</v>
      </c>
      <c r="J985" s="26">
        <v>0</v>
      </c>
      <c r="K985" s="26" t="b">
        <f t="shared" si="137"/>
        <v>0</v>
      </c>
      <c r="L985" s="26" t="b">
        <f t="shared" si="138"/>
        <v>0</v>
      </c>
      <c r="M985" t="b">
        <f t="shared" si="143"/>
        <v>0</v>
      </c>
      <c r="N985" t="b">
        <f t="shared" si="144"/>
        <v>0</v>
      </c>
    </row>
    <row r="986" spans="1:14">
      <c r="A986" s="29">
        <v>45546</v>
      </c>
      <c r="B986" s="30">
        <f t="shared" si="136"/>
        <v>9</v>
      </c>
      <c r="C986" s="30">
        <f t="shared" si="139"/>
        <v>11</v>
      </c>
      <c r="D986" s="26">
        <f>MATCH(WEEKDAY(A986),そのた定義!A:A,0)</f>
        <v>5</v>
      </c>
      <c r="E986" s="26" t="str">
        <f t="shared" ca="1" si="140"/>
        <v>水</v>
      </c>
      <c r="F986" s="26">
        <f t="shared" si="141"/>
        <v>0</v>
      </c>
      <c r="G986" s="26">
        <f>IF(ISNA(MATCH(A986,祝日定義!E:E,0)),0,1)</f>
        <v>0</v>
      </c>
      <c r="H986" s="26">
        <f>IF(ISNA(MATCH(B986&amp;"/"&amp;C986,そのた定義!E:E,0)), 0, 1)</f>
        <v>0</v>
      </c>
      <c r="I986" s="26" t="b">
        <f t="shared" si="142"/>
        <v>0</v>
      </c>
      <c r="J986" s="26">
        <v>0</v>
      </c>
      <c r="K986" s="26" t="b">
        <f t="shared" si="137"/>
        <v>0</v>
      </c>
      <c r="L986" s="26" t="b">
        <f t="shared" si="138"/>
        <v>0</v>
      </c>
      <c r="M986" t="b">
        <f t="shared" si="143"/>
        <v>0</v>
      </c>
      <c r="N986" t="b">
        <f t="shared" si="144"/>
        <v>0</v>
      </c>
    </row>
    <row r="987" spans="1:14">
      <c r="A987" s="29">
        <v>45547</v>
      </c>
      <c r="B987" s="30">
        <f t="shared" si="136"/>
        <v>9</v>
      </c>
      <c r="C987" s="30">
        <f t="shared" si="139"/>
        <v>12</v>
      </c>
      <c r="D987" s="26">
        <f>MATCH(WEEKDAY(A987),そのた定義!A:A,0)</f>
        <v>6</v>
      </c>
      <c r="E987" s="26" t="str">
        <f t="shared" ca="1" si="140"/>
        <v>木</v>
      </c>
      <c r="F987" s="26">
        <f t="shared" si="141"/>
        <v>0</v>
      </c>
      <c r="G987" s="26">
        <f>IF(ISNA(MATCH(A987,祝日定義!E:E,0)),0,1)</f>
        <v>0</v>
      </c>
      <c r="H987" s="26">
        <f>IF(ISNA(MATCH(B987&amp;"/"&amp;C987,そのた定義!E:E,0)), 0, 1)</f>
        <v>0</v>
      </c>
      <c r="I987" s="26" t="b">
        <f t="shared" si="142"/>
        <v>0</v>
      </c>
      <c r="J987" s="26">
        <v>0</v>
      </c>
      <c r="K987" s="26" t="b">
        <f t="shared" si="137"/>
        <v>0</v>
      </c>
      <c r="L987" s="26" t="b">
        <f t="shared" si="138"/>
        <v>0</v>
      </c>
      <c r="M987" t="b">
        <f t="shared" si="143"/>
        <v>0</v>
      </c>
      <c r="N987" t="b">
        <f t="shared" si="144"/>
        <v>0</v>
      </c>
    </row>
    <row r="988" spans="1:14">
      <c r="A988" s="29">
        <v>45548</v>
      </c>
      <c r="B988" s="30">
        <f t="shared" si="136"/>
        <v>9</v>
      </c>
      <c r="C988" s="30">
        <f t="shared" si="139"/>
        <v>13</v>
      </c>
      <c r="D988" s="26">
        <f>MATCH(WEEKDAY(A988),そのた定義!A:A,0)</f>
        <v>7</v>
      </c>
      <c r="E988" s="26" t="str">
        <f t="shared" ca="1" si="140"/>
        <v>金</v>
      </c>
      <c r="F988" s="26">
        <f t="shared" si="141"/>
        <v>0</v>
      </c>
      <c r="G988" s="26">
        <f>IF(ISNA(MATCH(A988,祝日定義!E:E,0)),0,1)</f>
        <v>0</v>
      </c>
      <c r="H988" s="26">
        <f>IF(ISNA(MATCH(B988&amp;"/"&amp;C988,そのた定義!E:E,0)), 0, 1)</f>
        <v>0</v>
      </c>
      <c r="I988" s="26" t="b">
        <f t="shared" si="142"/>
        <v>0</v>
      </c>
      <c r="J988" s="26">
        <v>0</v>
      </c>
      <c r="K988" s="26" t="b">
        <f t="shared" si="137"/>
        <v>0</v>
      </c>
      <c r="L988" s="26" t="b">
        <f t="shared" si="138"/>
        <v>0</v>
      </c>
      <c r="M988" t="b">
        <f t="shared" si="143"/>
        <v>0</v>
      </c>
      <c r="N988" t="b">
        <f t="shared" si="144"/>
        <v>0</v>
      </c>
    </row>
    <row r="989" spans="1:14">
      <c r="A989" s="29">
        <v>45549</v>
      </c>
      <c r="B989" s="30">
        <f t="shared" si="136"/>
        <v>9</v>
      </c>
      <c r="C989" s="30">
        <f t="shared" si="139"/>
        <v>14</v>
      </c>
      <c r="D989" s="26">
        <f>MATCH(WEEKDAY(A989),そのた定義!A:A,0)</f>
        <v>8</v>
      </c>
      <c r="E989" s="33" t="str">
        <f t="shared" ca="1" si="140"/>
        <v>土</v>
      </c>
      <c r="F989" s="26">
        <f t="shared" si="141"/>
        <v>1</v>
      </c>
      <c r="G989" s="26">
        <f>IF(ISNA(MATCH(A989,祝日定義!E:E,0)),0,1)</f>
        <v>0</v>
      </c>
      <c r="H989" s="26">
        <f>IF(ISNA(MATCH(B989&amp;"/"&amp;C989,そのた定義!E:E,0)), 0, 1)</f>
        <v>0</v>
      </c>
      <c r="I989" s="23" t="b">
        <f t="shared" si="142"/>
        <v>1</v>
      </c>
      <c r="J989" s="26">
        <v>0</v>
      </c>
      <c r="K989" s="26" t="b">
        <f t="shared" si="137"/>
        <v>0</v>
      </c>
      <c r="L989" s="26" t="b">
        <f t="shared" si="138"/>
        <v>0</v>
      </c>
      <c r="M989" t="b">
        <f t="shared" si="143"/>
        <v>0</v>
      </c>
      <c r="N989" t="b">
        <f t="shared" si="144"/>
        <v>0</v>
      </c>
    </row>
    <row r="990" spans="1:14">
      <c r="A990" s="29">
        <v>45550</v>
      </c>
      <c r="B990" s="30">
        <f t="shared" si="136"/>
        <v>9</v>
      </c>
      <c r="C990" s="30">
        <f t="shared" si="139"/>
        <v>15</v>
      </c>
      <c r="D990" s="26">
        <f>MATCH(WEEKDAY(A990),そのた定義!A:A,0)</f>
        <v>2</v>
      </c>
      <c r="E990" s="32" t="str">
        <f t="shared" ca="1" si="140"/>
        <v>日</v>
      </c>
      <c r="F990" s="26">
        <f t="shared" si="141"/>
        <v>1</v>
      </c>
      <c r="G990" s="26">
        <f>IF(ISNA(MATCH(A990,祝日定義!E:E,0)),0,1)</f>
        <v>0</v>
      </c>
      <c r="H990" s="26">
        <f>IF(ISNA(MATCH(B990&amp;"/"&amp;C990,そのた定義!E:E,0)), 0, 1)</f>
        <v>0</v>
      </c>
      <c r="I990" s="23" t="b">
        <f t="shared" si="142"/>
        <v>1</v>
      </c>
      <c r="J990" s="26">
        <v>0</v>
      </c>
      <c r="K990" s="26" t="b">
        <f t="shared" si="137"/>
        <v>0</v>
      </c>
      <c r="L990" s="26" t="b">
        <f t="shared" si="138"/>
        <v>0</v>
      </c>
      <c r="M990" t="b">
        <f t="shared" si="143"/>
        <v>0</v>
      </c>
      <c r="N990" t="b">
        <f t="shared" si="144"/>
        <v>0</v>
      </c>
    </row>
    <row r="991" spans="1:14">
      <c r="A991" s="29">
        <v>45551</v>
      </c>
      <c r="B991" s="30">
        <f t="shared" si="136"/>
        <v>9</v>
      </c>
      <c r="C991" s="30">
        <f t="shared" si="139"/>
        <v>16</v>
      </c>
      <c r="D991" s="26">
        <f>MATCH(WEEKDAY(A991),そのた定義!A:A,0)</f>
        <v>3</v>
      </c>
      <c r="E991" s="31" t="str">
        <f t="shared" ca="1" si="140"/>
        <v>月</v>
      </c>
      <c r="F991" s="26">
        <f t="shared" si="141"/>
        <v>0</v>
      </c>
      <c r="G991" s="26">
        <f>IF(ISNA(MATCH(A991,祝日定義!E:E,0)),0,1)</f>
        <v>1</v>
      </c>
      <c r="H991" s="26">
        <f>IF(ISNA(MATCH(B991&amp;"/"&amp;C991,そのた定義!E:E,0)), 0, 1)</f>
        <v>0</v>
      </c>
      <c r="I991" s="23" t="b">
        <f t="shared" si="142"/>
        <v>1</v>
      </c>
      <c r="J991" s="26">
        <v>0</v>
      </c>
      <c r="K991" s="26" t="b">
        <f t="shared" si="137"/>
        <v>0</v>
      </c>
      <c r="L991" s="26" t="b">
        <f t="shared" si="138"/>
        <v>0</v>
      </c>
      <c r="M991" t="b">
        <f t="shared" si="143"/>
        <v>0</v>
      </c>
      <c r="N991" t="b">
        <f t="shared" si="144"/>
        <v>0</v>
      </c>
    </row>
    <row r="992" spans="1:14">
      <c r="A992" s="29">
        <v>45552</v>
      </c>
      <c r="B992" s="30">
        <f t="shared" si="136"/>
        <v>9</v>
      </c>
      <c r="C992" s="30">
        <f t="shared" si="139"/>
        <v>17</v>
      </c>
      <c r="D992" s="26">
        <f>MATCH(WEEKDAY(A992),そのた定義!A:A,0)</f>
        <v>4</v>
      </c>
      <c r="E992" s="26" t="str">
        <f t="shared" ca="1" si="140"/>
        <v>火</v>
      </c>
      <c r="F992" s="26">
        <f t="shared" si="141"/>
        <v>0</v>
      </c>
      <c r="G992" s="26">
        <f>IF(ISNA(MATCH(A992,祝日定義!E:E,0)),0,1)</f>
        <v>0</v>
      </c>
      <c r="H992" s="26">
        <f>IF(ISNA(MATCH(B992&amp;"/"&amp;C992,そのた定義!E:E,0)), 0, 1)</f>
        <v>0</v>
      </c>
      <c r="I992" s="26" t="b">
        <f t="shared" si="142"/>
        <v>0</v>
      </c>
      <c r="J992" s="26">
        <v>3</v>
      </c>
      <c r="K992" s="26" t="b">
        <f t="shared" si="137"/>
        <v>0</v>
      </c>
      <c r="L992" s="26" t="b">
        <f t="shared" si="138"/>
        <v>0</v>
      </c>
      <c r="M992" t="b">
        <f t="shared" si="143"/>
        <v>0</v>
      </c>
      <c r="N992" t="b">
        <f t="shared" si="144"/>
        <v>0</v>
      </c>
    </row>
    <row r="993" spans="1:14">
      <c r="A993" s="29">
        <v>45553</v>
      </c>
      <c r="B993" s="30">
        <f t="shared" si="136"/>
        <v>9</v>
      </c>
      <c r="C993" s="30">
        <f t="shared" si="139"/>
        <v>18</v>
      </c>
      <c r="D993" s="26">
        <f>MATCH(WEEKDAY(A993),そのた定義!A:A,0)</f>
        <v>5</v>
      </c>
      <c r="E993" s="26" t="str">
        <f t="shared" ca="1" si="140"/>
        <v>水</v>
      </c>
      <c r="F993" s="26">
        <f t="shared" si="141"/>
        <v>0</v>
      </c>
      <c r="G993" s="26">
        <f>IF(ISNA(MATCH(A993,祝日定義!E:E,0)),0,1)</f>
        <v>0</v>
      </c>
      <c r="H993" s="26">
        <f>IF(ISNA(MATCH(B993&amp;"/"&amp;C993,そのた定義!E:E,0)), 0, 1)</f>
        <v>0</v>
      </c>
      <c r="I993" s="26" t="b">
        <f t="shared" si="142"/>
        <v>0</v>
      </c>
      <c r="J993" s="26">
        <v>0</v>
      </c>
      <c r="K993" s="26" t="b">
        <f t="shared" si="137"/>
        <v>0</v>
      </c>
      <c r="L993" s="26" t="b">
        <f t="shared" si="138"/>
        <v>0</v>
      </c>
      <c r="M993" t="b">
        <f t="shared" si="143"/>
        <v>0</v>
      </c>
      <c r="N993" t="b">
        <f t="shared" si="144"/>
        <v>0</v>
      </c>
    </row>
    <row r="994" spans="1:14">
      <c r="A994" s="29">
        <v>45554</v>
      </c>
      <c r="B994" s="30">
        <f t="shared" si="136"/>
        <v>9</v>
      </c>
      <c r="C994" s="30">
        <f t="shared" si="139"/>
        <v>19</v>
      </c>
      <c r="D994" s="26">
        <f>MATCH(WEEKDAY(A994),そのた定義!A:A,0)</f>
        <v>6</v>
      </c>
      <c r="E994" s="26" t="str">
        <f t="shared" ca="1" si="140"/>
        <v>木</v>
      </c>
      <c r="F994" s="26">
        <f t="shared" si="141"/>
        <v>0</v>
      </c>
      <c r="G994" s="26">
        <f>IF(ISNA(MATCH(A994,祝日定義!E:E,0)),0,1)</f>
        <v>0</v>
      </c>
      <c r="H994" s="26">
        <f>IF(ISNA(MATCH(B994&amp;"/"&amp;C994,そのた定義!E:E,0)), 0, 1)</f>
        <v>0</v>
      </c>
      <c r="I994" s="26" t="b">
        <f t="shared" si="142"/>
        <v>0</v>
      </c>
      <c r="J994" s="26">
        <v>0</v>
      </c>
      <c r="K994" s="26" t="b">
        <f t="shared" si="137"/>
        <v>0</v>
      </c>
      <c r="L994" s="26" t="b">
        <f t="shared" si="138"/>
        <v>0</v>
      </c>
      <c r="M994" t="b">
        <f t="shared" si="143"/>
        <v>0</v>
      </c>
      <c r="N994" t="b">
        <f t="shared" si="144"/>
        <v>0</v>
      </c>
    </row>
    <row r="995" spans="1:14">
      <c r="A995" s="29">
        <v>45555</v>
      </c>
      <c r="B995" s="30">
        <f t="shared" si="136"/>
        <v>9</v>
      </c>
      <c r="C995" s="30">
        <f t="shared" si="139"/>
        <v>20</v>
      </c>
      <c r="D995" s="26">
        <f>MATCH(WEEKDAY(A995),そのた定義!A:A,0)</f>
        <v>7</v>
      </c>
      <c r="E995" s="26" t="str">
        <f t="shared" ca="1" si="140"/>
        <v>金</v>
      </c>
      <c r="F995" s="26">
        <f t="shared" si="141"/>
        <v>0</v>
      </c>
      <c r="G995" s="26">
        <f>IF(ISNA(MATCH(A995,祝日定義!E:E,0)),0,1)</f>
        <v>0</v>
      </c>
      <c r="H995" s="26">
        <f>IF(ISNA(MATCH(B995&amp;"/"&amp;C995,そのた定義!E:E,0)), 0, 1)</f>
        <v>0</v>
      </c>
      <c r="I995" s="26" t="b">
        <f t="shared" si="142"/>
        <v>0</v>
      </c>
      <c r="J995" s="26">
        <v>0</v>
      </c>
      <c r="K995" s="26" t="b">
        <f t="shared" si="137"/>
        <v>0</v>
      </c>
      <c r="L995" s="26" t="b">
        <f t="shared" si="138"/>
        <v>0</v>
      </c>
      <c r="M995" t="b">
        <f t="shared" si="143"/>
        <v>0</v>
      </c>
      <c r="N995" t="b">
        <f t="shared" si="144"/>
        <v>0</v>
      </c>
    </row>
    <row r="996" spans="1:14">
      <c r="A996" s="29">
        <v>45556</v>
      </c>
      <c r="B996" s="30">
        <f t="shared" si="136"/>
        <v>9</v>
      </c>
      <c r="C996" s="30">
        <f t="shared" si="139"/>
        <v>21</v>
      </c>
      <c r="D996" s="26">
        <f>MATCH(WEEKDAY(A996),そのた定義!A:A,0)</f>
        <v>8</v>
      </c>
      <c r="E996" s="33" t="str">
        <f t="shared" ca="1" si="140"/>
        <v>土</v>
      </c>
      <c r="F996" s="26">
        <f t="shared" si="141"/>
        <v>1</v>
      </c>
      <c r="G996" s="26">
        <f>IF(ISNA(MATCH(A996,祝日定義!E:E,0)),0,1)</f>
        <v>0</v>
      </c>
      <c r="H996" s="26">
        <f>IF(ISNA(MATCH(B996&amp;"/"&amp;C996,そのた定義!E:E,0)), 0, 1)</f>
        <v>0</v>
      </c>
      <c r="I996" s="23" t="b">
        <f t="shared" si="142"/>
        <v>1</v>
      </c>
      <c r="J996" s="26">
        <v>0</v>
      </c>
      <c r="K996" s="26" t="b">
        <f t="shared" si="137"/>
        <v>0</v>
      </c>
      <c r="L996" s="26" t="b">
        <f t="shared" si="138"/>
        <v>0</v>
      </c>
      <c r="M996" t="b">
        <f t="shared" si="143"/>
        <v>0</v>
      </c>
      <c r="N996" t="b">
        <f t="shared" si="144"/>
        <v>0</v>
      </c>
    </row>
    <row r="997" spans="1:14">
      <c r="A997" s="29">
        <v>45557</v>
      </c>
      <c r="B997" s="30">
        <f t="shared" si="136"/>
        <v>9</v>
      </c>
      <c r="C997" s="30">
        <f t="shared" si="139"/>
        <v>22</v>
      </c>
      <c r="D997" s="26">
        <f>MATCH(WEEKDAY(A997),そのた定義!A:A,0)</f>
        <v>2</v>
      </c>
      <c r="E997" s="32" t="str">
        <f t="shared" ca="1" si="140"/>
        <v>日</v>
      </c>
      <c r="F997" s="26">
        <f t="shared" si="141"/>
        <v>1</v>
      </c>
      <c r="G997" s="26">
        <f>IF(ISNA(MATCH(A997,祝日定義!E:E,0)),0,1)</f>
        <v>1</v>
      </c>
      <c r="H997" s="26">
        <f>IF(ISNA(MATCH(B997&amp;"/"&amp;C997,そのた定義!E:E,0)), 0, 1)</f>
        <v>0</v>
      </c>
      <c r="I997" s="23" t="b">
        <f t="shared" si="142"/>
        <v>1</v>
      </c>
      <c r="J997" s="26">
        <v>0</v>
      </c>
      <c r="K997" s="26" t="b">
        <f t="shared" si="137"/>
        <v>0</v>
      </c>
      <c r="L997" s="26" t="b">
        <f t="shared" si="138"/>
        <v>0</v>
      </c>
      <c r="M997" t="b">
        <f t="shared" si="143"/>
        <v>0</v>
      </c>
      <c r="N997" t="b">
        <f t="shared" si="144"/>
        <v>0</v>
      </c>
    </row>
    <row r="998" spans="1:14">
      <c r="A998" s="29">
        <v>45558</v>
      </c>
      <c r="B998" s="30">
        <f t="shared" si="136"/>
        <v>9</v>
      </c>
      <c r="C998" s="30">
        <f t="shared" si="139"/>
        <v>23</v>
      </c>
      <c r="D998" s="26">
        <f>MATCH(WEEKDAY(A998),そのた定義!A:A,0)</f>
        <v>3</v>
      </c>
      <c r="E998" s="31" t="str">
        <f t="shared" ca="1" si="140"/>
        <v>月</v>
      </c>
      <c r="F998" s="26">
        <f t="shared" si="141"/>
        <v>0</v>
      </c>
      <c r="G998" s="26">
        <f>IF(ISNA(MATCH(A998,祝日定義!E:E,0)),0,1)</f>
        <v>1</v>
      </c>
      <c r="H998" s="26">
        <f>IF(ISNA(MATCH(B998&amp;"/"&amp;C998,そのた定義!E:E,0)), 0, 1)</f>
        <v>0</v>
      </c>
      <c r="I998" s="23" t="b">
        <f t="shared" si="142"/>
        <v>1</v>
      </c>
      <c r="J998" s="26">
        <v>0</v>
      </c>
      <c r="K998" s="26" t="b">
        <f t="shared" si="137"/>
        <v>0</v>
      </c>
      <c r="L998" s="26" t="b">
        <f t="shared" si="138"/>
        <v>0</v>
      </c>
      <c r="M998" t="b">
        <f t="shared" si="143"/>
        <v>0</v>
      </c>
      <c r="N998" t="b">
        <f t="shared" si="144"/>
        <v>0</v>
      </c>
    </row>
    <row r="999" spans="1:14">
      <c r="A999" s="29">
        <v>45559</v>
      </c>
      <c r="B999" s="30">
        <f t="shared" si="136"/>
        <v>9</v>
      </c>
      <c r="C999" s="30">
        <f t="shared" si="139"/>
        <v>24</v>
      </c>
      <c r="D999" s="26">
        <f>MATCH(WEEKDAY(A999),そのた定義!A:A,0)</f>
        <v>4</v>
      </c>
      <c r="E999" s="26" t="str">
        <f t="shared" ca="1" si="140"/>
        <v>火</v>
      </c>
      <c r="F999" s="26">
        <f t="shared" si="141"/>
        <v>0</v>
      </c>
      <c r="G999" s="26">
        <f>IF(ISNA(MATCH(A999,祝日定義!E:E,0)),0,1)</f>
        <v>0</v>
      </c>
      <c r="H999" s="26">
        <f>IF(ISNA(MATCH(B999&amp;"/"&amp;C999,そのた定義!E:E,0)), 0, 1)</f>
        <v>0</v>
      </c>
      <c r="I999" s="26" t="b">
        <f t="shared" si="142"/>
        <v>0</v>
      </c>
      <c r="J999" s="26">
        <v>3</v>
      </c>
      <c r="K999" s="26" t="b">
        <f t="shared" si="137"/>
        <v>0</v>
      </c>
      <c r="L999" s="26" t="b">
        <f t="shared" si="138"/>
        <v>0</v>
      </c>
      <c r="M999" t="b">
        <f t="shared" si="143"/>
        <v>0</v>
      </c>
      <c r="N999" t="b">
        <f t="shared" si="144"/>
        <v>0</v>
      </c>
    </row>
    <row r="1000" spans="1:14">
      <c r="A1000" s="29">
        <v>45560</v>
      </c>
      <c r="B1000" s="30">
        <f t="shared" si="136"/>
        <v>9</v>
      </c>
      <c r="C1000" s="30">
        <f t="shared" si="139"/>
        <v>25</v>
      </c>
      <c r="D1000" s="26">
        <f>MATCH(WEEKDAY(A1000),そのた定義!A:A,0)</f>
        <v>5</v>
      </c>
      <c r="E1000" s="26" t="str">
        <f t="shared" ca="1" si="140"/>
        <v>水</v>
      </c>
      <c r="F1000" s="26">
        <f t="shared" si="141"/>
        <v>0</v>
      </c>
      <c r="G1000" s="26">
        <f>IF(ISNA(MATCH(A1000,祝日定義!E:E,0)),0,1)</f>
        <v>0</v>
      </c>
      <c r="H1000" s="26">
        <f>IF(ISNA(MATCH(B1000&amp;"/"&amp;C1000,そのた定義!E:E,0)), 0, 1)</f>
        <v>0</v>
      </c>
      <c r="I1000" s="26" t="b">
        <f t="shared" si="142"/>
        <v>0</v>
      </c>
      <c r="J1000" s="26">
        <v>0</v>
      </c>
      <c r="K1000" s="26" t="b">
        <f t="shared" si="137"/>
        <v>0</v>
      </c>
      <c r="L1000" s="23" t="b">
        <f t="shared" si="138"/>
        <v>1</v>
      </c>
      <c r="M1000" t="b">
        <f t="shared" si="143"/>
        <v>0</v>
      </c>
      <c r="N1000" t="b">
        <f t="shared" si="144"/>
        <v>0</v>
      </c>
    </row>
    <row r="1001" spans="1:14">
      <c r="A1001" s="29">
        <v>45561</v>
      </c>
      <c r="B1001" s="30">
        <f t="shared" si="136"/>
        <v>9</v>
      </c>
      <c r="C1001" s="30">
        <f t="shared" si="139"/>
        <v>26</v>
      </c>
      <c r="D1001" s="26">
        <f>MATCH(WEEKDAY(A1001),そのた定義!A:A,0)</f>
        <v>6</v>
      </c>
      <c r="E1001" s="26" t="str">
        <f t="shared" ca="1" si="140"/>
        <v>木</v>
      </c>
      <c r="F1001" s="26">
        <f t="shared" si="141"/>
        <v>0</v>
      </c>
      <c r="G1001" s="26">
        <f>IF(ISNA(MATCH(A1001,祝日定義!E:E,0)),0,1)</f>
        <v>0</v>
      </c>
      <c r="H1001" s="26">
        <f>IF(ISNA(MATCH(B1001&amp;"/"&amp;C1001,そのた定義!E:E,0)), 0, 1)</f>
        <v>0</v>
      </c>
      <c r="I1001" s="26" t="b">
        <f t="shared" si="142"/>
        <v>0</v>
      </c>
      <c r="J1001" s="26">
        <v>0</v>
      </c>
      <c r="K1001" s="26" t="b">
        <f t="shared" si="137"/>
        <v>0</v>
      </c>
      <c r="L1001" s="26" t="b">
        <f t="shared" si="138"/>
        <v>0</v>
      </c>
      <c r="M1001" t="b">
        <f t="shared" si="143"/>
        <v>0</v>
      </c>
      <c r="N1001" t="b">
        <f t="shared" si="144"/>
        <v>0</v>
      </c>
    </row>
    <row r="1002" spans="1:14">
      <c r="A1002" s="29">
        <v>45562</v>
      </c>
      <c r="B1002" s="30">
        <f t="shared" si="136"/>
        <v>9</v>
      </c>
      <c r="C1002" s="30">
        <f t="shared" si="139"/>
        <v>27</v>
      </c>
      <c r="D1002" s="26">
        <f>MATCH(WEEKDAY(A1002),そのた定義!A:A,0)</f>
        <v>7</v>
      </c>
      <c r="E1002" s="26" t="str">
        <f t="shared" ca="1" si="140"/>
        <v>金</v>
      </c>
      <c r="F1002" s="26">
        <f t="shared" si="141"/>
        <v>0</v>
      </c>
      <c r="G1002" s="26">
        <f>IF(ISNA(MATCH(A1002,祝日定義!E:E,0)),0,1)</f>
        <v>0</v>
      </c>
      <c r="H1002" s="26">
        <f>IF(ISNA(MATCH(B1002&amp;"/"&amp;C1002,そのた定義!E:E,0)), 0, 1)</f>
        <v>0</v>
      </c>
      <c r="I1002" s="26" t="b">
        <f t="shared" si="142"/>
        <v>0</v>
      </c>
      <c r="J1002" s="26">
        <v>0</v>
      </c>
      <c r="K1002" s="26" t="b">
        <f t="shared" si="137"/>
        <v>0</v>
      </c>
      <c r="L1002" s="26" t="b">
        <f t="shared" si="138"/>
        <v>0</v>
      </c>
      <c r="M1002" t="b">
        <f t="shared" si="143"/>
        <v>0</v>
      </c>
      <c r="N1002" t="b">
        <f t="shared" si="144"/>
        <v>0</v>
      </c>
    </row>
    <row r="1003" spans="1:14">
      <c r="A1003" s="29">
        <v>45563</v>
      </c>
      <c r="B1003" s="30">
        <f t="shared" si="136"/>
        <v>9</v>
      </c>
      <c r="C1003" s="30">
        <f t="shared" si="139"/>
        <v>28</v>
      </c>
      <c r="D1003" s="26">
        <f>MATCH(WEEKDAY(A1003),そのた定義!A:A,0)</f>
        <v>8</v>
      </c>
      <c r="E1003" s="33" t="str">
        <f t="shared" ca="1" si="140"/>
        <v>土</v>
      </c>
      <c r="F1003" s="26">
        <f t="shared" si="141"/>
        <v>1</v>
      </c>
      <c r="G1003" s="26">
        <f>IF(ISNA(MATCH(A1003,祝日定義!E:E,0)),0,1)</f>
        <v>0</v>
      </c>
      <c r="H1003" s="26">
        <f>IF(ISNA(MATCH(B1003&amp;"/"&amp;C1003,そのた定義!E:E,0)), 0, 1)</f>
        <v>0</v>
      </c>
      <c r="I1003" s="23" t="b">
        <f t="shared" si="142"/>
        <v>1</v>
      </c>
      <c r="J1003" s="26">
        <v>0</v>
      </c>
      <c r="K1003" s="26" t="b">
        <f t="shared" si="137"/>
        <v>0</v>
      </c>
      <c r="L1003" s="26" t="b">
        <f t="shared" si="138"/>
        <v>0</v>
      </c>
      <c r="M1003" t="b">
        <f t="shared" si="143"/>
        <v>0</v>
      </c>
      <c r="N1003" t="b">
        <f t="shared" si="144"/>
        <v>0</v>
      </c>
    </row>
    <row r="1004" spans="1:14">
      <c r="A1004" s="29">
        <v>45564</v>
      </c>
      <c r="B1004" s="30">
        <f t="shared" si="136"/>
        <v>9</v>
      </c>
      <c r="C1004" s="30">
        <f t="shared" si="139"/>
        <v>29</v>
      </c>
      <c r="D1004" s="26">
        <f>MATCH(WEEKDAY(A1004),そのた定義!A:A,0)</f>
        <v>2</v>
      </c>
      <c r="E1004" s="32" t="str">
        <f t="shared" ca="1" si="140"/>
        <v>日</v>
      </c>
      <c r="F1004" s="26">
        <f t="shared" si="141"/>
        <v>1</v>
      </c>
      <c r="G1004" s="26">
        <f>IF(ISNA(MATCH(A1004,祝日定義!E:E,0)),0,1)</f>
        <v>0</v>
      </c>
      <c r="H1004" s="26">
        <f>IF(ISNA(MATCH(B1004&amp;"/"&amp;C1004,そのた定義!E:E,0)), 0, 1)</f>
        <v>0</v>
      </c>
      <c r="I1004" s="23" t="b">
        <f t="shared" si="142"/>
        <v>1</v>
      </c>
      <c r="J1004" s="26">
        <v>0</v>
      </c>
      <c r="K1004" s="26" t="b">
        <f t="shared" si="137"/>
        <v>0</v>
      </c>
      <c r="L1004" s="26" t="b">
        <f t="shared" si="138"/>
        <v>0</v>
      </c>
      <c r="M1004" t="b">
        <f t="shared" si="143"/>
        <v>0</v>
      </c>
      <c r="N1004" t="b">
        <f t="shared" si="144"/>
        <v>0</v>
      </c>
    </row>
    <row r="1005" spans="1:14">
      <c r="A1005" s="29">
        <v>45565</v>
      </c>
      <c r="B1005" s="30">
        <f t="shared" si="136"/>
        <v>9</v>
      </c>
      <c r="C1005" s="30">
        <f t="shared" si="139"/>
        <v>30</v>
      </c>
      <c r="D1005" s="26">
        <f>MATCH(WEEKDAY(A1005),そのた定義!A:A,0)</f>
        <v>3</v>
      </c>
      <c r="E1005" s="26" t="str">
        <f t="shared" ca="1" si="140"/>
        <v>月</v>
      </c>
      <c r="F1005" s="26">
        <f t="shared" si="141"/>
        <v>0</v>
      </c>
      <c r="G1005" s="26">
        <f>IF(ISNA(MATCH(A1005,祝日定義!E:E,0)),0,1)</f>
        <v>0</v>
      </c>
      <c r="H1005" s="26">
        <f>IF(ISNA(MATCH(B1005&amp;"/"&amp;C1005,そのた定義!E:E,0)), 0, 1)</f>
        <v>0</v>
      </c>
      <c r="I1005" s="26" t="b">
        <f t="shared" si="142"/>
        <v>0</v>
      </c>
      <c r="J1005" s="26">
        <v>2</v>
      </c>
      <c r="K1005" s="26" t="b">
        <f t="shared" si="137"/>
        <v>0</v>
      </c>
      <c r="L1005" s="26" t="b">
        <f t="shared" si="138"/>
        <v>0</v>
      </c>
      <c r="M1005" t="b">
        <f t="shared" si="143"/>
        <v>0</v>
      </c>
      <c r="N1005" t="b">
        <f t="shared" si="144"/>
        <v>1</v>
      </c>
    </row>
    <row r="1006" spans="1:14">
      <c r="A1006" s="29">
        <v>45566</v>
      </c>
      <c r="B1006" s="30">
        <f t="shared" si="136"/>
        <v>10</v>
      </c>
      <c r="C1006" s="30">
        <f t="shared" si="139"/>
        <v>1</v>
      </c>
      <c r="D1006" s="26">
        <f>MATCH(WEEKDAY(A1006),そのた定義!A:A,0)</f>
        <v>4</v>
      </c>
      <c r="E1006" s="26" t="str">
        <f t="shared" ca="1" si="140"/>
        <v>火</v>
      </c>
      <c r="F1006" s="26">
        <f t="shared" si="141"/>
        <v>0</v>
      </c>
      <c r="G1006" s="26">
        <f>IF(ISNA(MATCH(A1006,祝日定義!E:E,0)),0,1)</f>
        <v>0</v>
      </c>
      <c r="H1006" s="26">
        <f>IF(ISNA(MATCH(B1006&amp;"/"&amp;C1006,そのた定義!E:E,0)), 0, 1)</f>
        <v>0</v>
      </c>
      <c r="I1006" s="26" t="b">
        <f t="shared" si="142"/>
        <v>0</v>
      </c>
      <c r="J1006" s="26">
        <v>0</v>
      </c>
      <c r="K1006" s="26" t="b">
        <f t="shared" si="137"/>
        <v>0</v>
      </c>
      <c r="L1006" s="26" t="b">
        <f t="shared" si="138"/>
        <v>0</v>
      </c>
      <c r="M1006" t="b">
        <f t="shared" si="143"/>
        <v>0</v>
      </c>
      <c r="N1006" t="b">
        <f t="shared" si="144"/>
        <v>0</v>
      </c>
    </row>
    <row r="1007" spans="1:14">
      <c r="A1007" s="29">
        <v>45567</v>
      </c>
      <c r="B1007" s="30">
        <f t="shared" si="136"/>
        <v>10</v>
      </c>
      <c r="C1007" s="30">
        <f t="shared" si="139"/>
        <v>2</v>
      </c>
      <c r="D1007" s="26">
        <f>MATCH(WEEKDAY(A1007),そのた定義!A:A,0)</f>
        <v>5</v>
      </c>
      <c r="E1007" s="26" t="str">
        <f t="shared" ca="1" si="140"/>
        <v>水</v>
      </c>
      <c r="F1007" s="26">
        <f t="shared" si="141"/>
        <v>0</v>
      </c>
      <c r="G1007" s="26">
        <f>IF(ISNA(MATCH(A1007,祝日定義!E:E,0)),0,1)</f>
        <v>0</v>
      </c>
      <c r="H1007" s="26">
        <f>IF(ISNA(MATCH(B1007&amp;"/"&amp;C1007,そのた定義!E:E,0)), 0, 1)</f>
        <v>0</v>
      </c>
      <c r="I1007" s="26" t="b">
        <f t="shared" si="142"/>
        <v>0</v>
      </c>
      <c r="J1007" s="26">
        <v>0</v>
      </c>
      <c r="K1007" s="26" t="b">
        <f t="shared" si="137"/>
        <v>0</v>
      </c>
      <c r="L1007" s="26" t="b">
        <f t="shared" si="138"/>
        <v>0</v>
      </c>
      <c r="M1007" t="b">
        <f t="shared" si="143"/>
        <v>0</v>
      </c>
      <c r="N1007" t="b">
        <f t="shared" si="144"/>
        <v>0</v>
      </c>
    </row>
    <row r="1008" spans="1:14">
      <c r="A1008" s="29">
        <v>45568</v>
      </c>
      <c r="B1008" s="30">
        <f t="shared" si="136"/>
        <v>10</v>
      </c>
      <c r="C1008" s="30">
        <f t="shared" si="139"/>
        <v>3</v>
      </c>
      <c r="D1008" s="26">
        <f>MATCH(WEEKDAY(A1008),そのた定義!A:A,0)</f>
        <v>6</v>
      </c>
      <c r="E1008" s="26" t="str">
        <f t="shared" ca="1" si="140"/>
        <v>木</v>
      </c>
      <c r="F1008" s="26">
        <f t="shared" si="141"/>
        <v>0</v>
      </c>
      <c r="G1008" s="26">
        <f>IF(ISNA(MATCH(A1008,祝日定義!E:E,0)),0,1)</f>
        <v>0</v>
      </c>
      <c r="H1008" s="26">
        <f>IF(ISNA(MATCH(B1008&amp;"/"&amp;C1008,そのた定義!E:E,0)), 0, 1)</f>
        <v>0</v>
      </c>
      <c r="I1008" s="26" t="b">
        <f t="shared" si="142"/>
        <v>0</v>
      </c>
      <c r="J1008" s="26">
        <v>0</v>
      </c>
      <c r="K1008" s="26" t="b">
        <f t="shared" si="137"/>
        <v>0</v>
      </c>
      <c r="L1008" s="26" t="b">
        <f t="shared" si="138"/>
        <v>0</v>
      </c>
      <c r="M1008" t="b">
        <f t="shared" si="143"/>
        <v>0</v>
      </c>
      <c r="N1008" t="b">
        <f t="shared" si="144"/>
        <v>0</v>
      </c>
    </row>
    <row r="1009" spans="1:14">
      <c r="A1009" s="29">
        <v>45569</v>
      </c>
      <c r="B1009" s="30">
        <f t="shared" si="136"/>
        <v>10</v>
      </c>
      <c r="C1009" s="30">
        <f t="shared" si="139"/>
        <v>4</v>
      </c>
      <c r="D1009" s="26">
        <f>MATCH(WEEKDAY(A1009),そのた定義!A:A,0)</f>
        <v>7</v>
      </c>
      <c r="E1009" s="26" t="str">
        <f t="shared" ca="1" si="140"/>
        <v>金</v>
      </c>
      <c r="F1009" s="26">
        <f t="shared" si="141"/>
        <v>0</v>
      </c>
      <c r="G1009" s="26">
        <f>IF(ISNA(MATCH(A1009,祝日定義!E:E,0)),0,1)</f>
        <v>0</v>
      </c>
      <c r="H1009" s="26">
        <f>IF(ISNA(MATCH(B1009&amp;"/"&amp;C1009,そのた定義!E:E,0)), 0, 1)</f>
        <v>0</v>
      </c>
      <c r="I1009" s="26" t="b">
        <f t="shared" si="142"/>
        <v>0</v>
      </c>
      <c r="J1009" s="26">
        <v>0</v>
      </c>
      <c r="K1009" s="26" t="b">
        <f t="shared" si="137"/>
        <v>0</v>
      </c>
      <c r="L1009" s="26" t="b">
        <f t="shared" si="138"/>
        <v>0</v>
      </c>
      <c r="M1009" t="b">
        <f t="shared" si="143"/>
        <v>0</v>
      </c>
      <c r="N1009" t="b">
        <f t="shared" si="144"/>
        <v>0</v>
      </c>
    </row>
    <row r="1010" spans="1:14">
      <c r="A1010" s="29">
        <v>45570</v>
      </c>
      <c r="B1010" s="30">
        <f t="shared" si="136"/>
        <v>10</v>
      </c>
      <c r="C1010" s="30">
        <f t="shared" si="139"/>
        <v>5</v>
      </c>
      <c r="D1010" s="26">
        <f>MATCH(WEEKDAY(A1010),そのた定義!A:A,0)</f>
        <v>8</v>
      </c>
      <c r="E1010" s="33" t="str">
        <f t="shared" ca="1" si="140"/>
        <v>土</v>
      </c>
      <c r="F1010" s="26">
        <f t="shared" si="141"/>
        <v>1</v>
      </c>
      <c r="G1010" s="26">
        <f>IF(ISNA(MATCH(A1010,祝日定義!E:E,0)),0,1)</f>
        <v>0</v>
      </c>
      <c r="H1010" s="26">
        <f>IF(ISNA(MATCH(B1010&amp;"/"&amp;C1010,そのた定義!E:E,0)), 0, 1)</f>
        <v>0</v>
      </c>
      <c r="I1010" s="23" t="b">
        <f t="shared" si="142"/>
        <v>1</v>
      </c>
      <c r="J1010" s="26">
        <v>0</v>
      </c>
      <c r="K1010" s="26" t="b">
        <f t="shared" si="137"/>
        <v>0</v>
      </c>
      <c r="L1010" s="26" t="b">
        <f t="shared" si="138"/>
        <v>0</v>
      </c>
      <c r="M1010" t="b">
        <f t="shared" si="143"/>
        <v>0</v>
      </c>
      <c r="N1010" t="b">
        <f t="shared" si="144"/>
        <v>0</v>
      </c>
    </row>
    <row r="1011" spans="1:14">
      <c r="A1011" s="29">
        <v>45571</v>
      </c>
      <c r="B1011" s="30">
        <f t="shared" si="136"/>
        <v>10</v>
      </c>
      <c r="C1011" s="30">
        <f t="shared" si="139"/>
        <v>6</v>
      </c>
      <c r="D1011" s="26">
        <f>MATCH(WEEKDAY(A1011),そのた定義!A:A,0)</f>
        <v>2</v>
      </c>
      <c r="E1011" s="32" t="str">
        <f t="shared" ca="1" si="140"/>
        <v>日</v>
      </c>
      <c r="F1011" s="26">
        <f t="shared" si="141"/>
        <v>1</v>
      </c>
      <c r="G1011" s="26">
        <f>IF(ISNA(MATCH(A1011,祝日定義!E:E,0)),0,1)</f>
        <v>0</v>
      </c>
      <c r="H1011" s="26">
        <f>IF(ISNA(MATCH(B1011&amp;"/"&amp;C1011,そのた定義!E:E,0)), 0, 1)</f>
        <v>0</v>
      </c>
      <c r="I1011" s="23" t="b">
        <f t="shared" si="142"/>
        <v>1</v>
      </c>
      <c r="J1011" s="26">
        <v>0</v>
      </c>
      <c r="K1011" s="26" t="b">
        <f t="shared" si="137"/>
        <v>0</v>
      </c>
      <c r="L1011" s="26" t="b">
        <f t="shared" si="138"/>
        <v>0</v>
      </c>
      <c r="M1011" t="b">
        <f t="shared" si="143"/>
        <v>0</v>
      </c>
      <c r="N1011" t="b">
        <f t="shared" si="144"/>
        <v>0</v>
      </c>
    </row>
    <row r="1012" spans="1:14">
      <c r="A1012" s="29">
        <v>45572</v>
      </c>
      <c r="B1012" s="30">
        <f t="shared" si="136"/>
        <v>10</v>
      </c>
      <c r="C1012" s="30">
        <f t="shared" si="139"/>
        <v>7</v>
      </c>
      <c r="D1012" s="26">
        <f>MATCH(WEEKDAY(A1012),そのた定義!A:A,0)</f>
        <v>3</v>
      </c>
      <c r="E1012" s="26" t="str">
        <f t="shared" ca="1" si="140"/>
        <v>月</v>
      </c>
      <c r="F1012" s="26">
        <f t="shared" si="141"/>
        <v>0</v>
      </c>
      <c r="G1012" s="26">
        <f>IF(ISNA(MATCH(A1012,祝日定義!E:E,0)),0,1)</f>
        <v>0</v>
      </c>
      <c r="H1012" s="26">
        <f>IF(ISNA(MATCH(B1012&amp;"/"&amp;C1012,そのた定義!E:E,0)), 0, 1)</f>
        <v>0</v>
      </c>
      <c r="I1012" s="26" t="b">
        <f t="shared" si="142"/>
        <v>0</v>
      </c>
      <c r="J1012" s="26">
        <v>2</v>
      </c>
      <c r="K1012" s="26" t="b">
        <f t="shared" si="137"/>
        <v>0</v>
      </c>
      <c r="L1012" s="26" t="b">
        <f t="shared" si="138"/>
        <v>0</v>
      </c>
      <c r="M1012" t="b">
        <f t="shared" si="143"/>
        <v>0</v>
      </c>
      <c r="N1012" t="b">
        <f t="shared" si="144"/>
        <v>0</v>
      </c>
    </row>
    <row r="1013" spans="1:14">
      <c r="A1013" s="29">
        <v>45573</v>
      </c>
      <c r="B1013" s="30">
        <f t="shared" si="136"/>
        <v>10</v>
      </c>
      <c r="C1013" s="30">
        <f t="shared" si="139"/>
        <v>8</v>
      </c>
      <c r="D1013" s="26">
        <f>MATCH(WEEKDAY(A1013),そのた定義!A:A,0)</f>
        <v>4</v>
      </c>
      <c r="E1013" s="26" t="str">
        <f t="shared" ca="1" si="140"/>
        <v>火</v>
      </c>
      <c r="F1013" s="26">
        <f t="shared" si="141"/>
        <v>0</v>
      </c>
      <c r="G1013" s="26">
        <f>IF(ISNA(MATCH(A1013,祝日定義!E:E,0)),0,1)</f>
        <v>0</v>
      </c>
      <c r="H1013" s="26">
        <f>IF(ISNA(MATCH(B1013&amp;"/"&amp;C1013,そのた定義!E:E,0)), 0, 1)</f>
        <v>0</v>
      </c>
      <c r="I1013" s="26" t="b">
        <f t="shared" si="142"/>
        <v>0</v>
      </c>
      <c r="J1013" s="26">
        <v>0</v>
      </c>
      <c r="K1013" s="26" t="b">
        <f t="shared" si="137"/>
        <v>0</v>
      </c>
      <c r="L1013" s="26" t="b">
        <f t="shared" si="138"/>
        <v>0</v>
      </c>
      <c r="M1013" t="b">
        <f t="shared" si="143"/>
        <v>0</v>
      </c>
      <c r="N1013" t="b">
        <f t="shared" si="144"/>
        <v>0</v>
      </c>
    </row>
    <row r="1014" spans="1:14">
      <c r="A1014" s="29">
        <v>45574</v>
      </c>
      <c r="B1014" s="30">
        <f t="shared" si="136"/>
        <v>10</v>
      </c>
      <c r="C1014" s="30">
        <f t="shared" si="139"/>
        <v>9</v>
      </c>
      <c r="D1014" s="26">
        <f>MATCH(WEEKDAY(A1014),そのた定義!A:A,0)</f>
        <v>5</v>
      </c>
      <c r="E1014" s="26" t="str">
        <f t="shared" ca="1" si="140"/>
        <v>水</v>
      </c>
      <c r="F1014" s="26">
        <f t="shared" si="141"/>
        <v>0</v>
      </c>
      <c r="G1014" s="26">
        <f>IF(ISNA(MATCH(A1014,祝日定義!E:E,0)),0,1)</f>
        <v>0</v>
      </c>
      <c r="H1014" s="26">
        <f>IF(ISNA(MATCH(B1014&amp;"/"&amp;C1014,そのた定義!E:E,0)), 0, 1)</f>
        <v>0</v>
      </c>
      <c r="I1014" s="26" t="b">
        <f t="shared" si="142"/>
        <v>0</v>
      </c>
      <c r="J1014" s="26">
        <v>0</v>
      </c>
      <c r="K1014" s="26" t="b">
        <f t="shared" si="137"/>
        <v>0</v>
      </c>
      <c r="L1014" s="26" t="b">
        <f t="shared" si="138"/>
        <v>0</v>
      </c>
      <c r="M1014" t="b">
        <f t="shared" si="143"/>
        <v>0</v>
      </c>
      <c r="N1014" t="b">
        <f t="shared" si="144"/>
        <v>0</v>
      </c>
    </row>
    <row r="1015" spans="1:14">
      <c r="A1015" s="29">
        <v>45575</v>
      </c>
      <c r="B1015" s="30">
        <f t="shared" si="136"/>
        <v>10</v>
      </c>
      <c r="C1015" s="30">
        <f t="shared" si="139"/>
        <v>10</v>
      </c>
      <c r="D1015" s="26">
        <f>MATCH(WEEKDAY(A1015),そのた定義!A:A,0)</f>
        <v>6</v>
      </c>
      <c r="E1015" s="26" t="str">
        <f t="shared" ca="1" si="140"/>
        <v>木</v>
      </c>
      <c r="F1015" s="26">
        <f t="shared" si="141"/>
        <v>0</v>
      </c>
      <c r="G1015" s="26">
        <f>IF(ISNA(MATCH(A1015,祝日定義!E:E,0)),0,1)</f>
        <v>0</v>
      </c>
      <c r="H1015" s="26">
        <f>IF(ISNA(MATCH(B1015&amp;"/"&amp;C1015,そのた定義!E:E,0)), 0, 1)</f>
        <v>0</v>
      </c>
      <c r="I1015" s="26" t="b">
        <f t="shared" si="142"/>
        <v>0</v>
      </c>
      <c r="J1015" s="26">
        <v>0</v>
      </c>
      <c r="K1015" s="26" t="b">
        <f t="shared" si="137"/>
        <v>0</v>
      </c>
      <c r="L1015" s="26" t="b">
        <f t="shared" si="138"/>
        <v>0</v>
      </c>
      <c r="M1015" t="b">
        <f t="shared" si="143"/>
        <v>0</v>
      </c>
      <c r="N1015" t="b">
        <f t="shared" si="144"/>
        <v>0</v>
      </c>
    </row>
    <row r="1016" spans="1:14">
      <c r="A1016" s="29">
        <v>45576</v>
      </c>
      <c r="B1016" s="30">
        <f t="shared" si="136"/>
        <v>10</v>
      </c>
      <c r="C1016" s="30">
        <f t="shared" si="139"/>
        <v>11</v>
      </c>
      <c r="D1016" s="26">
        <f>MATCH(WEEKDAY(A1016),そのた定義!A:A,0)</f>
        <v>7</v>
      </c>
      <c r="E1016" s="26" t="str">
        <f t="shared" ca="1" si="140"/>
        <v>金</v>
      </c>
      <c r="F1016" s="26">
        <f t="shared" si="141"/>
        <v>0</v>
      </c>
      <c r="G1016" s="26">
        <f>IF(ISNA(MATCH(A1016,祝日定義!E:E,0)),0,1)</f>
        <v>0</v>
      </c>
      <c r="H1016" s="26">
        <f>IF(ISNA(MATCH(B1016&amp;"/"&amp;C1016,そのた定義!E:E,0)), 0, 1)</f>
        <v>0</v>
      </c>
      <c r="I1016" s="26" t="b">
        <f t="shared" si="142"/>
        <v>0</v>
      </c>
      <c r="J1016" s="26">
        <v>0</v>
      </c>
      <c r="K1016" s="26" t="b">
        <f t="shared" si="137"/>
        <v>0</v>
      </c>
      <c r="L1016" s="26" t="b">
        <f t="shared" si="138"/>
        <v>0</v>
      </c>
      <c r="M1016" t="b">
        <f t="shared" si="143"/>
        <v>0</v>
      </c>
      <c r="N1016" t="b">
        <f t="shared" si="144"/>
        <v>0</v>
      </c>
    </row>
    <row r="1017" spans="1:14">
      <c r="A1017" s="29">
        <v>45577</v>
      </c>
      <c r="B1017" s="30">
        <f t="shared" si="136"/>
        <v>10</v>
      </c>
      <c r="C1017" s="30">
        <f t="shared" si="139"/>
        <v>12</v>
      </c>
      <c r="D1017" s="26">
        <f>MATCH(WEEKDAY(A1017),そのた定義!A:A,0)</f>
        <v>8</v>
      </c>
      <c r="E1017" s="33" t="str">
        <f t="shared" ca="1" si="140"/>
        <v>土</v>
      </c>
      <c r="F1017" s="26">
        <f t="shared" si="141"/>
        <v>1</v>
      </c>
      <c r="G1017" s="26">
        <f>IF(ISNA(MATCH(A1017,祝日定義!E:E,0)),0,1)</f>
        <v>0</v>
      </c>
      <c r="H1017" s="26">
        <f>IF(ISNA(MATCH(B1017&amp;"/"&amp;C1017,そのた定義!E:E,0)), 0, 1)</f>
        <v>0</v>
      </c>
      <c r="I1017" s="23" t="b">
        <f t="shared" si="142"/>
        <v>1</v>
      </c>
      <c r="J1017" s="26">
        <v>0</v>
      </c>
      <c r="K1017" s="26" t="b">
        <f t="shared" si="137"/>
        <v>0</v>
      </c>
      <c r="L1017" s="26" t="b">
        <f t="shared" si="138"/>
        <v>0</v>
      </c>
      <c r="M1017" t="b">
        <f t="shared" si="143"/>
        <v>0</v>
      </c>
      <c r="N1017" t="b">
        <f t="shared" si="144"/>
        <v>0</v>
      </c>
    </row>
    <row r="1018" spans="1:14">
      <c r="A1018" s="29">
        <v>45578</v>
      </c>
      <c r="B1018" s="30">
        <f t="shared" si="136"/>
        <v>10</v>
      </c>
      <c r="C1018" s="30">
        <f t="shared" si="139"/>
        <v>13</v>
      </c>
      <c r="D1018" s="26">
        <f>MATCH(WEEKDAY(A1018),そのた定義!A:A,0)</f>
        <v>2</v>
      </c>
      <c r="E1018" s="32" t="str">
        <f t="shared" ca="1" si="140"/>
        <v>日</v>
      </c>
      <c r="F1018" s="26">
        <f t="shared" si="141"/>
        <v>1</v>
      </c>
      <c r="G1018" s="26">
        <f>IF(ISNA(MATCH(A1018,祝日定義!E:E,0)),0,1)</f>
        <v>0</v>
      </c>
      <c r="H1018" s="26">
        <f>IF(ISNA(MATCH(B1018&amp;"/"&amp;C1018,そのた定義!E:E,0)), 0, 1)</f>
        <v>0</v>
      </c>
      <c r="I1018" s="23" t="b">
        <f t="shared" si="142"/>
        <v>1</v>
      </c>
      <c r="J1018" s="26">
        <v>0</v>
      </c>
      <c r="K1018" s="26" t="b">
        <f t="shared" si="137"/>
        <v>0</v>
      </c>
      <c r="L1018" s="26" t="b">
        <f t="shared" si="138"/>
        <v>0</v>
      </c>
      <c r="M1018" t="b">
        <f t="shared" si="143"/>
        <v>0</v>
      </c>
      <c r="N1018" t="b">
        <f t="shared" si="144"/>
        <v>0</v>
      </c>
    </row>
    <row r="1019" spans="1:14">
      <c r="A1019" s="29">
        <v>45579</v>
      </c>
      <c r="B1019" s="30">
        <f t="shared" si="136"/>
        <v>10</v>
      </c>
      <c r="C1019" s="30">
        <f t="shared" si="139"/>
        <v>14</v>
      </c>
      <c r="D1019" s="26">
        <f>MATCH(WEEKDAY(A1019),そのた定義!A:A,0)</f>
        <v>3</v>
      </c>
      <c r="E1019" s="31" t="str">
        <f t="shared" ca="1" si="140"/>
        <v>月</v>
      </c>
      <c r="F1019" s="26">
        <f t="shared" si="141"/>
        <v>0</v>
      </c>
      <c r="G1019" s="26">
        <f>IF(ISNA(MATCH(A1019,祝日定義!E:E,0)),0,1)</f>
        <v>1</v>
      </c>
      <c r="H1019" s="26">
        <f>IF(ISNA(MATCH(B1019&amp;"/"&amp;C1019,そのた定義!E:E,0)), 0, 1)</f>
        <v>0</v>
      </c>
      <c r="I1019" s="23" t="b">
        <f t="shared" si="142"/>
        <v>1</v>
      </c>
      <c r="J1019" s="26">
        <v>0</v>
      </c>
      <c r="K1019" s="26" t="b">
        <f t="shared" si="137"/>
        <v>0</v>
      </c>
      <c r="L1019" s="26" t="b">
        <f t="shared" si="138"/>
        <v>0</v>
      </c>
      <c r="M1019" t="b">
        <f t="shared" si="143"/>
        <v>0</v>
      </c>
      <c r="N1019" t="b">
        <f t="shared" si="144"/>
        <v>0</v>
      </c>
    </row>
    <row r="1020" spans="1:14">
      <c r="A1020" s="29">
        <v>45580</v>
      </c>
      <c r="B1020" s="30">
        <f t="shared" si="136"/>
        <v>10</v>
      </c>
      <c r="C1020" s="30">
        <f t="shared" si="139"/>
        <v>15</v>
      </c>
      <c r="D1020" s="26">
        <f>MATCH(WEEKDAY(A1020),そのた定義!A:A,0)</f>
        <v>4</v>
      </c>
      <c r="E1020" s="26" t="str">
        <f t="shared" ca="1" si="140"/>
        <v>火</v>
      </c>
      <c r="F1020" s="26">
        <f t="shared" si="141"/>
        <v>0</v>
      </c>
      <c r="G1020" s="26">
        <f>IF(ISNA(MATCH(A1020,祝日定義!E:E,0)),0,1)</f>
        <v>0</v>
      </c>
      <c r="H1020" s="26">
        <f>IF(ISNA(MATCH(B1020&amp;"/"&amp;C1020,そのた定義!E:E,0)), 0, 1)</f>
        <v>0</v>
      </c>
      <c r="I1020" s="26" t="b">
        <f t="shared" si="142"/>
        <v>0</v>
      </c>
      <c r="J1020" s="26">
        <v>3</v>
      </c>
      <c r="K1020" s="26" t="b">
        <f t="shared" si="137"/>
        <v>0</v>
      </c>
      <c r="L1020" s="26" t="b">
        <f t="shared" si="138"/>
        <v>0</v>
      </c>
      <c r="M1020" t="b">
        <f t="shared" si="143"/>
        <v>0</v>
      </c>
      <c r="N1020" t="b">
        <f t="shared" si="144"/>
        <v>0</v>
      </c>
    </row>
    <row r="1021" spans="1:14">
      <c r="A1021" s="29">
        <v>45581</v>
      </c>
      <c r="B1021" s="30">
        <f t="shared" si="136"/>
        <v>10</v>
      </c>
      <c r="C1021" s="30">
        <f t="shared" si="139"/>
        <v>16</v>
      </c>
      <c r="D1021" s="26">
        <f>MATCH(WEEKDAY(A1021),そのた定義!A:A,0)</f>
        <v>5</v>
      </c>
      <c r="E1021" s="26" t="str">
        <f t="shared" ca="1" si="140"/>
        <v>水</v>
      </c>
      <c r="F1021" s="26">
        <f t="shared" si="141"/>
        <v>0</v>
      </c>
      <c r="G1021" s="26">
        <f>IF(ISNA(MATCH(A1021,祝日定義!E:E,0)),0,1)</f>
        <v>0</v>
      </c>
      <c r="H1021" s="26">
        <f>IF(ISNA(MATCH(B1021&amp;"/"&amp;C1021,そのた定義!E:E,0)), 0, 1)</f>
        <v>0</v>
      </c>
      <c r="I1021" s="26" t="b">
        <f t="shared" si="142"/>
        <v>0</v>
      </c>
      <c r="J1021" s="26">
        <v>0</v>
      </c>
      <c r="K1021" s="26" t="b">
        <f t="shared" si="137"/>
        <v>0</v>
      </c>
      <c r="L1021" s="26" t="b">
        <f t="shared" si="138"/>
        <v>0</v>
      </c>
      <c r="M1021" t="b">
        <f t="shared" si="143"/>
        <v>0</v>
      </c>
      <c r="N1021" t="b">
        <f t="shared" si="144"/>
        <v>0</v>
      </c>
    </row>
    <row r="1022" spans="1:14">
      <c r="A1022" s="29">
        <v>45582</v>
      </c>
      <c r="B1022" s="30">
        <f t="shared" si="136"/>
        <v>10</v>
      </c>
      <c r="C1022" s="30">
        <f t="shared" si="139"/>
        <v>17</v>
      </c>
      <c r="D1022" s="26">
        <f>MATCH(WEEKDAY(A1022),そのた定義!A:A,0)</f>
        <v>6</v>
      </c>
      <c r="E1022" s="26" t="str">
        <f t="shared" ca="1" si="140"/>
        <v>木</v>
      </c>
      <c r="F1022" s="26">
        <f t="shared" si="141"/>
        <v>0</v>
      </c>
      <c r="G1022" s="26">
        <f>IF(ISNA(MATCH(A1022,祝日定義!E:E,0)),0,1)</f>
        <v>0</v>
      </c>
      <c r="H1022" s="26">
        <f>IF(ISNA(MATCH(B1022&amp;"/"&amp;C1022,そのた定義!E:E,0)), 0, 1)</f>
        <v>0</v>
      </c>
      <c r="I1022" s="26" t="b">
        <f t="shared" si="142"/>
        <v>0</v>
      </c>
      <c r="J1022" s="26">
        <v>0</v>
      </c>
      <c r="K1022" s="26" t="b">
        <f t="shared" si="137"/>
        <v>0</v>
      </c>
      <c r="L1022" s="26" t="b">
        <f t="shared" si="138"/>
        <v>0</v>
      </c>
      <c r="M1022" t="b">
        <f t="shared" si="143"/>
        <v>0</v>
      </c>
      <c r="N1022" t="b">
        <f t="shared" si="144"/>
        <v>0</v>
      </c>
    </row>
    <row r="1023" spans="1:14">
      <c r="A1023" s="29">
        <v>45583</v>
      </c>
      <c r="B1023" s="30">
        <f t="shared" si="136"/>
        <v>10</v>
      </c>
      <c r="C1023" s="30">
        <f t="shared" si="139"/>
        <v>18</v>
      </c>
      <c r="D1023" s="26">
        <f>MATCH(WEEKDAY(A1023),そのた定義!A:A,0)</f>
        <v>7</v>
      </c>
      <c r="E1023" s="26" t="str">
        <f t="shared" ca="1" si="140"/>
        <v>金</v>
      </c>
      <c r="F1023" s="26">
        <f t="shared" si="141"/>
        <v>0</v>
      </c>
      <c r="G1023" s="26">
        <f>IF(ISNA(MATCH(A1023,祝日定義!E:E,0)),0,1)</f>
        <v>0</v>
      </c>
      <c r="H1023" s="26">
        <f>IF(ISNA(MATCH(B1023&amp;"/"&amp;C1023,そのた定義!E:E,0)), 0, 1)</f>
        <v>0</v>
      </c>
      <c r="I1023" s="26" t="b">
        <f t="shared" si="142"/>
        <v>0</v>
      </c>
      <c r="J1023" s="26">
        <v>0</v>
      </c>
      <c r="K1023" s="26" t="b">
        <f t="shared" si="137"/>
        <v>0</v>
      </c>
      <c r="L1023" s="26" t="b">
        <f t="shared" si="138"/>
        <v>0</v>
      </c>
      <c r="M1023" t="b">
        <f t="shared" si="143"/>
        <v>0</v>
      </c>
      <c r="N1023" t="b">
        <f t="shared" si="144"/>
        <v>0</v>
      </c>
    </row>
    <row r="1024" spans="1:14">
      <c r="A1024" s="29">
        <v>45584</v>
      </c>
      <c r="B1024" s="30">
        <f t="shared" si="136"/>
        <v>10</v>
      </c>
      <c r="C1024" s="30">
        <f t="shared" si="139"/>
        <v>19</v>
      </c>
      <c r="D1024" s="26">
        <f>MATCH(WEEKDAY(A1024),そのた定義!A:A,0)</f>
        <v>8</v>
      </c>
      <c r="E1024" s="33" t="str">
        <f t="shared" ca="1" si="140"/>
        <v>土</v>
      </c>
      <c r="F1024" s="26">
        <f t="shared" si="141"/>
        <v>1</v>
      </c>
      <c r="G1024" s="26">
        <f>IF(ISNA(MATCH(A1024,祝日定義!E:E,0)),0,1)</f>
        <v>0</v>
      </c>
      <c r="H1024" s="26">
        <f>IF(ISNA(MATCH(B1024&amp;"/"&amp;C1024,そのた定義!E:E,0)), 0, 1)</f>
        <v>0</v>
      </c>
      <c r="I1024" s="23" t="b">
        <f t="shared" si="142"/>
        <v>1</v>
      </c>
      <c r="J1024" s="26">
        <v>0</v>
      </c>
      <c r="K1024" s="26" t="b">
        <f t="shared" si="137"/>
        <v>0</v>
      </c>
      <c r="L1024" s="26" t="b">
        <f t="shared" si="138"/>
        <v>0</v>
      </c>
      <c r="M1024" t="b">
        <f t="shared" si="143"/>
        <v>0</v>
      </c>
      <c r="N1024" t="b">
        <f t="shared" si="144"/>
        <v>0</v>
      </c>
    </row>
    <row r="1025" spans="1:14">
      <c r="A1025" s="29">
        <v>45585</v>
      </c>
      <c r="B1025" s="30">
        <f t="shared" si="136"/>
        <v>10</v>
      </c>
      <c r="C1025" s="30">
        <f t="shared" si="139"/>
        <v>20</v>
      </c>
      <c r="D1025" s="26">
        <f>MATCH(WEEKDAY(A1025),そのた定義!A:A,0)</f>
        <v>2</v>
      </c>
      <c r="E1025" s="32" t="str">
        <f t="shared" ca="1" si="140"/>
        <v>日</v>
      </c>
      <c r="F1025" s="26">
        <f t="shared" si="141"/>
        <v>1</v>
      </c>
      <c r="G1025" s="26">
        <f>IF(ISNA(MATCH(A1025,祝日定義!E:E,0)),0,1)</f>
        <v>0</v>
      </c>
      <c r="H1025" s="26">
        <f>IF(ISNA(MATCH(B1025&amp;"/"&amp;C1025,そのた定義!E:E,0)), 0, 1)</f>
        <v>0</v>
      </c>
      <c r="I1025" s="23" t="b">
        <f t="shared" si="142"/>
        <v>1</v>
      </c>
      <c r="J1025" s="26">
        <v>0</v>
      </c>
      <c r="K1025" s="26" t="b">
        <f t="shared" si="137"/>
        <v>0</v>
      </c>
      <c r="L1025" s="26" t="b">
        <f t="shared" si="138"/>
        <v>0</v>
      </c>
      <c r="M1025" t="b">
        <f t="shared" si="143"/>
        <v>0</v>
      </c>
      <c r="N1025" t="b">
        <f t="shared" si="144"/>
        <v>0</v>
      </c>
    </row>
    <row r="1026" spans="1:14">
      <c r="A1026" s="29">
        <v>45586</v>
      </c>
      <c r="B1026" s="30">
        <f t="shared" ref="B1026:B1089" si="145">MONTH(A1026)</f>
        <v>10</v>
      </c>
      <c r="C1026" s="30">
        <f t="shared" si="139"/>
        <v>21</v>
      </c>
      <c r="D1026" s="26">
        <f>MATCH(WEEKDAY(A1026),そのた定義!A:A,0)</f>
        <v>3</v>
      </c>
      <c r="E1026" s="26" t="str">
        <f t="shared" ca="1" si="140"/>
        <v>月</v>
      </c>
      <c r="F1026" s="26">
        <f t="shared" si="141"/>
        <v>0</v>
      </c>
      <c r="G1026" s="26">
        <f>IF(ISNA(MATCH(A1026,祝日定義!E:E,0)),0,1)</f>
        <v>0</v>
      </c>
      <c r="H1026" s="26">
        <f>IF(ISNA(MATCH(B1026&amp;"/"&amp;C1026,そのた定義!E:E,0)), 0, 1)</f>
        <v>0</v>
      </c>
      <c r="I1026" s="26" t="b">
        <f t="shared" si="142"/>
        <v>0</v>
      </c>
      <c r="J1026" s="26">
        <v>2</v>
      </c>
      <c r="K1026" s="26" t="b">
        <f t="shared" ref="K1026:K1089" si="146">AND(C1026&gt;25,DAY(A1026-J1026)&lt;=25)</f>
        <v>0</v>
      </c>
      <c r="L1026" s="26" t="b">
        <f t="shared" ref="L1026:L1089" si="147">C1026=25</f>
        <v>0</v>
      </c>
      <c r="M1026" t="b">
        <f t="shared" si="143"/>
        <v>0</v>
      </c>
      <c r="N1026" t="b">
        <f t="shared" si="144"/>
        <v>0</v>
      </c>
    </row>
    <row r="1027" spans="1:14">
      <c r="A1027" s="29">
        <v>45587</v>
      </c>
      <c r="B1027" s="30">
        <f t="shared" si="145"/>
        <v>10</v>
      </c>
      <c r="C1027" s="30">
        <f t="shared" ref="C1027:C1090" si="148">DAY(A1027)</f>
        <v>22</v>
      </c>
      <c r="D1027" s="26">
        <f>MATCH(WEEKDAY(A1027),そのた定義!A:A,0)</f>
        <v>4</v>
      </c>
      <c r="E1027" s="26" t="str">
        <f t="shared" ref="E1027:E1090" ca="1" si="149">INDIRECT("そのた定義!"&amp;"B"&amp;D1027)</f>
        <v>火</v>
      </c>
      <c r="F1027" s="26">
        <f t="shared" ref="F1027:F1090" si="150">IF(OR(D1027=8,D1027=2),1,0)</f>
        <v>0</v>
      </c>
      <c r="G1027" s="26">
        <f>IF(ISNA(MATCH(A1027,祝日定義!E:E,0)),0,1)</f>
        <v>0</v>
      </c>
      <c r="H1027" s="26">
        <f>IF(ISNA(MATCH(B1027&amp;"/"&amp;C1027,そのた定義!E:E,0)), 0, 1)</f>
        <v>0</v>
      </c>
      <c r="I1027" s="26" t="b">
        <f t="shared" ref="I1027:I1090" si="151">SUM(F1027:H1027)&gt;0</f>
        <v>0</v>
      </c>
      <c r="J1027" s="26">
        <v>0</v>
      </c>
      <c r="K1027" s="26" t="b">
        <f t="shared" si="146"/>
        <v>0</v>
      </c>
      <c r="L1027" s="26" t="b">
        <f t="shared" si="147"/>
        <v>0</v>
      </c>
      <c r="M1027" t="b">
        <f t="shared" ref="M1027:M1090" si="152">B1027&lt;&gt;MONTH(A1027-J1027)</f>
        <v>0</v>
      </c>
      <c r="N1027" t="b">
        <f t="shared" ref="N1027:N1090" si="153">B1027&lt;&gt;MONTH(A1027+1)</f>
        <v>0</v>
      </c>
    </row>
    <row r="1028" spans="1:14">
      <c r="A1028" s="29">
        <v>45588</v>
      </c>
      <c r="B1028" s="30">
        <f t="shared" si="145"/>
        <v>10</v>
      </c>
      <c r="C1028" s="30">
        <f t="shared" si="148"/>
        <v>23</v>
      </c>
      <c r="D1028" s="26">
        <f>MATCH(WEEKDAY(A1028),そのた定義!A:A,0)</f>
        <v>5</v>
      </c>
      <c r="E1028" s="26" t="str">
        <f t="shared" ca="1" si="149"/>
        <v>水</v>
      </c>
      <c r="F1028" s="26">
        <f t="shared" si="150"/>
        <v>0</v>
      </c>
      <c r="G1028" s="26">
        <f>IF(ISNA(MATCH(A1028,祝日定義!E:E,0)),0,1)</f>
        <v>0</v>
      </c>
      <c r="H1028" s="26">
        <f>IF(ISNA(MATCH(B1028&amp;"/"&amp;C1028,そのた定義!E:E,0)), 0, 1)</f>
        <v>0</v>
      </c>
      <c r="I1028" s="26" t="b">
        <f t="shared" si="151"/>
        <v>0</v>
      </c>
      <c r="J1028" s="26">
        <v>0</v>
      </c>
      <c r="K1028" s="26" t="b">
        <f t="shared" si="146"/>
        <v>0</v>
      </c>
      <c r="L1028" s="26" t="b">
        <f t="shared" si="147"/>
        <v>0</v>
      </c>
      <c r="M1028" t="b">
        <f t="shared" si="152"/>
        <v>0</v>
      </c>
      <c r="N1028" t="b">
        <f t="shared" si="153"/>
        <v>0</v>
      </c>
    </row>
    <row r="1029" spans="1:14">
      <c r="A1029" s="29">
        <v>45589</v>
      </c>
      <c r="B1029" s="30">
        <f t="shared" si="145"/>
        <v>10</v>
      </c>
      <c r="C1029" s="30">
        <f t="shared" si="148"/>
        <v>24</v>
      </c>
      <c r="D1029" s="26">
        <f>MATCH(WEEKDAY(A1029),そのた定義!A:A,0)</f>
        <v>6</v>
      </c>
      <c r="E1029" s="26" t="str">
        <f t="shared" ca="1" si="149"/>
        <v>木</v>
      </c>
      <c r="F1029" s="26">
        <f t="shared" si="150"/>
        <v>0</v>
      </c>
      <c r="G1029" s="26">
        <f>IF(ISNA(MATCH(A1029,祝日定義!E:E,0)),0,1)</f>
        <v>0</v>
      </c>
      <c r="H1029" s="26">
        <f>IF(ISNA(MATCH(B1029&amp;"/"&amp;C1029,そのた定義!E:E,0)), 0, 1)</f>
        <v>0</v>
      </c>
      <c r="I1029" s="26" t="b">
        <f t="shared" si="151"/>
        <v>0</v>
      </c>
      <c r="J1029" s="26">
        <v>0</v>
      </c>
      <c r="K1029" s="26" t="b">
        <f t="shared" si="146"/>
        <v>0</v>
      </c>
      <c r="L1029" s="26" t="b">
        <f t="shared" si="147"/>
        <v>0</v>
      </c>
      <c r="M1029" t="b">
        <f t="shared" si="152"/>
        <v>0</v>
      </c>
      <c r="N1029" t="b">
        <f t="shared" si="153"/>
        <v>0</v>
      </c>
    </row>
    <row r="1030" spans="1:14">
      <c r="A1030" s="29">
        <v>45590</v>
      </c>
      <c r="B1030" s="30">
        <f t="shared" si="145"/>
        <v>10</v>
      </c>
      <c r="C1030" s="30">
        <f t="shared" si="148"/>
        <v>25</v>
      </c>
      <c r="D1030" s="26">
        <f>MATCH(WEEKDAY(A1030),そのた定義!A:A,0)</f>
        <v>7</v>
      </c>
      <c r="E1030" s="26" t="str">
        <f t="shared" ca="1" si="149"/>
        <v>金</v>
      </c>
      <c r="F1030" s="26">
        <f t="shared" si="150"/>
        <v>0</v>
      </c>
      <c r="G1030" s="26">
        <f>IF(ISNA(MATCH(A1030,祝日定義!E:E,0)),0,1)</f>
        <v>0</v>
      </c>
      <c r="H1030" s="26">
        <f>IF(ISNA(MATCH(B1030&amp;"/"&amp;C1030,そのた定義!E:E,0)), 0, 1)</f>
        <v>0</v>
      </c>
      <c r="I1030" s="26" t="b">
        <f t="shared" si="151"/>
        <v>0</v>
      </c>
      <c r="J1030" s="26">
        <v>0</v>
      </c>
      <c r="K1030" s="26" t="b">
        <f t="shared" si="146"/>
        <v>0</v>
      </c>
      <c r="L1030" s="23" t="b">
        <f t="shared" si="147"/>
        <v>1</v>
      </c>
      <c r="M1030" t="b">
        <f t="shared" si="152"/>
        <v>0</v>
      </c>
      <c r="N1030" t="b">
        <f t="shared" si="153"/>
        <v>0</v>
      </c>
    </row>
    <row r="1031" spans="1:14">
      <c r="A1031" s="29">
        <v>45591</v>
      </c>
      <c r="B1031" s="30">
        <f t="shared" si="145"/>
        <v>10</v>
      </c>
      <c r="C1031" s="30">
        <f t="shared" si="148"/>
        <v>26</v>
      </c>
      <c r="D1031" s="26">
        <f>MATCH(WEEKDAY(A1031),そのた定義!A:A,0)</f>
        <v>8</v>
      </c>
      <c r="E1031" s="33" t="str">
        <f t="shared" ca="1" si="149"/>
        <v>土</v>
      </c>
      <c r="F1031" s="26">
        <f t="shared" si="150"/>
        <v>1</v>
      </c>
      <c r="G1031" s="26">
        <f>IF(ISNA(MATCH(A1031,祝日定義!E:E,0)),0,1)</f>
        <v>0</v>
      </c>
      <c r="H1031" s="26">
        <f>IF(ISNA(MATCH(B1031&amp;"/"&amp;C1031,そのた定義!E:E,0)), 0, 1)</f>
        <v>0</v>
      </c>
      <c r="I1031" s="23" t="b">
        <f t="shared" si="151"/>
        <v>1</v>
      </c>
      <c r="J1031" s="26">
        <v>0</v>
      </c>
      <c r="K1031" s="26" t="b">
        <f t="shared" si="146"/>
        <v>0</v>
      </c>
      <c r="L1031" s="26" t="b">
        <f t="shared" si="147"/>
        <v>0</v>
      </c>
      <c r="M1031" t="b">
        <f t="shared" si="152"/>
        <v>0</v>
      </c>
      <c r="N1031" t="b">
        <f t="shared" si="153"/>
        <v>0</v>
      </c>
    </row>
    <row r="1032" spans="1:14">
      <c r="A1032" s="29">
        <v>45592</v>
      </c>
      <c r="B1032" s="30">
        <f t="shared" si="145"/>
        <v>10</v>
      </c>
      <c r="C1032" s="30">
        <f t="shared" si="148"/>
        <v>27</v>
      </c>
      <c r="D1032" s="26">
        <f>MATCH(WEEKDAY(A1032),そのた定義!A:A,0)</f>
        <v>2</v>
      </c>
      <c r="E1032" s="32" t="str">
        <f t="shared" ca="1" si="149"/>
        <v>日</v>
      </c>
      <c r="F1032" s="26">
        <f t="shared" si="150"/>
        <v>1</v>
      </c>
      <c r="G1032" s="26">
        <f>IF(ISNA(MATCH(A1032,祝日定義!E:E,0)),0,1)</f>
        <v>0</v>
      </c>
      <c r="H1032" s="26">
        <f>IF(ISNA(MATCH(B1032&amp;"/"&amp;C1032,そのた定義!E:E,0)), 0, 1)</f>
        <v>0</v>
      </c>
      <c r="I1032" s="23" t="b">
        <f t="shared" si="151"/>
        <v>1</v>
      </c>
      <c r="J1032" s="26">
        <v>0</v>
      </c>
      <c r="K1032" s="26" t="b">
        <f t="shared" si="146"/>
        <v>0</v>
      </c>
      <c r="L1032" s="26" t="b">
        <f t="shared" si="147"/>
        <v>0</v>
      </c>
      <c r="M1032" t="b">
        <f t="shared" si="152"/>
        <v>0</v>
      </c>
      <c r="N1032" t="b">
        <f t="shared" si="153"/>
        <v>0</v>
      </c>
    </row>
    <row r="1033" spans="1:14">
      <c r="A1033" s="29">
        <v>45593</v>
      </c>
      <c r="B1033" s="30">
        <f t="shared" si="145"/>
        <v>10</v>
      </c>
      <c r="C1033" s="30">
        <f t="shared" si="148"/>
        <v>28</v>
      </c>
      <c r="D1033" s="26">
        <f>MATCH(WEEKDAY(A1033),そのた定義!A:A,0)</f>
        <v>3</v>
      </c>
      <c r="E1033" s="26" t="str">
        <f t="shared" ca="1" si="149"/>
        <v>月</v>
      </c>
      <c r="F1033" s="26">
        <f t="shared" si="150"/>
        <v>0</v>
      </c>
      <c r="G1033" s="26">
        <f>IF(ISNA(MATCH(A1033,祝日定義!E:E,0)),0,1)</f>
        <v>0</v>
      </c>
      <c r="H1033" s="26">
        <f>IF(ISNA(MATCH(B1033&amp;"/"&amp;C1033,そのた定義!E:E,0)), 0, 1)</f>
        <v>0</v>
      </c>
      <c r="I1033" s="26" t="b">
        <f t="shared" si="151"/>
        <v>0</v>
      </c>
      <c r="J1033" s="26">
        <v>2</v>
      </c>
      <c r="K1033" s="26" t="b">
        <f t="shared" si="146"/>
        <v>0</v>
      </c>
      <c r="L1033" s="26" t="b">
        <f t="shared" si="147"/>
        <v>0</v>
      </c>
      <c r="M1033" t="b">
        <f t="shared" si="152"/>
        <v>0</v>
      </c>
      <c r="N1033" t="b">
        <f t="shared" si="153"/>
        <v>0</v>
      </c>
    </row>
    <row r="1034" spans="1:14">
      <c r="A1034" s="29">
        <v>45594</v>
      </c>
      <c r="B1034" s="30">
        <f t="shared" si="145"/>
        <v>10</v>
      </c>
      <c r="C1034" s="30">
        <f t="shared" si="148"/>
        <v>29</v>
      </c>
      <c r="D1034" s="26">
        <f>MATCH(WEEKDAY(A1034),そのた定義!A:A,0)</f>
        <v>4</v>
      </c>
      <c r="E1034" s="26" t="str">
        <f t="shared" ca="1" si="149"/>
        <v>火</v>
      </c>
      <c r="F1034" s="26">
        <f t="shared" si="150"/>
        <v>0</v>
      </c>
      <c r="G1034" s="26">
        <f>IF(ISNA(MATCH(A1034,祝日定義!E:E,0)),0,1)</f>
        <v>0</v>
      </c>
      <c r="H1034" s="26">
        <f>IF(ISNA(MATCH(B1034&amp;"/"&amp;C1034,そのた定義!E:E,0)), 0, 1)</f>
        <v>0</v>
      </c>
      <c r="I1034" s="26" t="b">
        <f t="shared" si="151"/>
        <v>0</v>
      </c>
      <c r="J1034" s="26">
        <v>0</v>
      </c>
      <c r="K1034" s="26" t="b">
        <f t="shared" si="146"/>
        <v>0</v>
      </c>
      <c r="L1034" s="26" t="b">
        <f t="shared" si="147"/>
        <v>0</v>
      </c>
      <c r="M1034" t="b">
        <f t="shared" si="152"/>
        <v>0</v>
      </c>
      <c r="N1034" t="b">
        <f t="shared" si="153"/>
        <v>0</v>
      </c>
    </row>
    <row r="1035" spans="1:14">
      <c r="A1035" s="29">
        <v>45595</v>
      </c>
      <c r="B1035" s="30">
        <f t="shared" si="145"/>
        <v>10</v>
      </c>
      <c r="C1035" s="30">
        <f t="shared" si="148"/>
        <v>30</v>
      </c>
      <c r="D1035" s="26">
        <f>MATCH(WEEKDAY(A1035),そのた定義!A:A,0)</f>
        <v>5</v>
      </c>
      <c r="E1035" s="26" t="str">
        <f t="shared" ca="1" si="149"/>
        <v>水</v>
      </c>
      <c r="F1035" s="26">
        <f t="shared" si="150"/>
        <v>0</v>
      </c>
      <c r="G1035" s="26">
        <f>IF(ISNA(MATCH(A1035,祝日定義!E:E,0)),0,1)</f>
        <v>0</v>
      </c>
      <c r="H1035" s="26">
        <f>IF(ISNA(MATCH(B1035&amp;"/"&amp;C1035,そのた定義!E:E,0)), 0, 1)</f>
        <v>0</v>
      </c>
      <c r="I1035" s="26" t="b">
        <f t="shared" si="151"/>
        <v>0</v>
      </c>
      <c r="J1035" s="26">
        <v>0</v>
      </c>
      <c r="K1035" s="26" t="b">
        <f t="shared" si="146"/>
        <v>0</v>
      </c>
      <c r="L1035" s="26" t="b">
        <f t="shared" si="147"/>
        <v>0</v>
      </c>
      <c r="M1035" t="b">
        <f t="shared" si="152"/>
        <v>0</v>
      </c>
      <c r="N1035" t="b">
        <f t="shared" si="153"/>
        <v>0</v>
      </c>
    </row>
    <row r="1036" spans="1:14">
      <c r="A1036" s="29">
        <v>45596</v>
      </c>
      <c r="B1036" s="30">
        <f t="shared" si="145"/>
        <v>10</v>
      </c>
      <c r="C1036" s="30">
        <f t="shared" si="148"/>
        <v>31</v>
      </c>
      <c r="D1036" s="26">
        <f>MATCH(WEEKDAY(A1036),そのた定義!A:A,0)</f>
        <v>6</v>
      </c>
      <c r="E1036" s="26" t="str">
        <f t="shared" ca="1" si="149"/>
        <v>木</v>
      </c>
      <c r="F1036" s="26">
        <f t="shared" si="150"/>
        <v>0</v>
      </c>
      <c r="G1036" s="26">
        <f>IF(ISNA(MATCH(A1036,祝日定義!E:E,0)),0,1)</f>
        <v>0</v>
      </c>
      <c r="H1036" s="26">
        <f>IF(ISNA(MATCH(B1036&amp;"/"&amp;C1036,そのた定義!E:E,0)), 0, 1)</f>
        <v>0</v>
      </c>
      <c r="I1036" s="26" t="b">
        <f t="shared" si="151"/>
        <v>0</v>
      </c>
      <c r="J1036" s="26">
        <v>0</v>
      </c>
      <c r="K1036" s="26" t="b">
        <f t="shared" si="146"/>
        <v>0</v>
      </c>
      <c r="L1036" s="26" t="b">
        <f t="shared" si="147"/>
        <v>0</v>
      </c>
      <c r="M1036" t="b">
        <f t="shared" si="152"/>
        <v>0</v>
      </c>
      <c r="N1036" t="b">
        <f t="shared" si="153"/>
        <v>1</v>
      </c>
    </row>
    <row r="1037" spans="1:14">
      <c r="A1037" s="29">
        <v>45597</v>
      </c>
      <c r="B1037" s="30">
        <f t="shared" si="145"/>
        <v>11</v>
      </c>
      <c r="C1037" s="30">
        <f t="shared" si="148"/>
        <v>1</v>
      </c>
      <c r="D1037" s="26">
        <f>MATCH(WEEKDAY(A1037),そのた定義!A:A,0)</f>
        <v>7</v>
      </c>
      <c r="E1037" s="26" t="str">
        <f t="shared" ca="1" si="149"/>
        <v>金</v>
      </c>
      <c r="F1037" s="26">
        <f t="shared" si="150"/>
        <v>0</v>
      </c>
      <c r="G1037" s="26">
        <f>IF(ISNA(MATCH(A1037,祝日定義!E:E,0)),0,1)</f>
        <v>0</v>
      </c>
      <c r="H1037" s="26">
        <f>IF(ISNA(MATCH(B1037&amp;"/"&amp;C1037,そのた定義!E:E,0)), 0, 1)</f>
        <v>0</v>
      </c>
      <c r="I1037" s="26" t="b">
        <f t="shared" si="151"/>
        <v>0</v>
      </c>
      <c r="J1037" s="26">
        <v>0</v>
      </c>
      <c r="K1037" s="26" t="b">
        <f t="shared" si="146"/>
        <v>0</v>
      </c>
      <c r="L1037" s="26" t="b">
        <f t="shared" si="147"/>
        <v>0</v>
      </c>
      <c r="M1037" t="b">
        <f t="shared" si="152"/>
        <v>0</v>
      </c>
      <c r="N1037" t="b">
        <f t="shared" si="153"/>
        <v>0</v>
      </c>
    </row>
    <row r="1038" spans="1:14">
      <c r="A1038" s="29">
        <v>45598</v>
      </c>
      <c r="B1038" s="30">
        <f t="shared" si="145"/>
        <v>11</v>
      </c>
      <c r="C1038" s="30">
        <f t="shared" si="148"/>
        <v>2</v>
      </c>
      <c r="D1038" s="26">
        <f>MATCH(WEEKDAY(A1038),そのた定義!A:A,0)</f>
        <v>8</v>
      </c>
      <c r="E1038" s="33" t="str">
        <f t="shared" ca="1" si="149"/>
        <v>土</v>
      </c>
      <c r="F1038" s="26">
        <f t="shared" si="150"/>
        <v>1</v>
      </c>
      <c r="G1038" s="26">
        <f>IF(ISNA(MATCH(A1038,祝日定義!E:E,0)),0,1)</f>
        <v>0</v>
      </c>
      <c r="H1038" s="26">
        <f>IF(ISNA(MATCH(B1038&amp;"/"&amp;C1038,そのた定義!E:E,0)), 0, 1)</f>
        <v>0</v>
      </c>
      <c r="I1038" s="23" t="b">
        <f t="shared" si="151"/>
        <v>1</v>
      </c>
      <c r="J1038" s="26">
        <v>0</v>
      </c>
      <c r="K1038" s="26" t="b">
        <f t="shared" si="146"/>
        <v>0</v>
      </c>
      <c r="L1038" s="26" t="b">
        <f t="shared" si="147"/>
        <v>0</v>
      </c>
      <c r="M1038" t="b">
        <f t="shared" si="152"/>
        <v>0</v>
      </c>
      <c r="N1038" t="b">
        <f t="shared" si="153"/>
        <v>0</v>
      </c>
    </row>
    <row r="1039" spans="1:14">
      <c r="A1039" s="29">
        <v>45599</v>
      </c>
      <c r="B1039" s="30">
        <f t="shared" si="145"/>
        <v>11</v>
      </c>
      <c r="C1039" s="30">
        <f t="shared" si="148"/>
        <v>3</v>
      </c>
      <c r="D1039" s="26">
        <f>MATCH(WEEKDAY(A1039),そのた定義!A:A,0)</f>
        <v>2</v>
      </c>
      <c r="E1039" s="32" t="str">
        <f t="shared" ca="1" si="149"/>
        <v>日</v>
      </c>
      <c r="F1039" s="26">
        <f t="shared" si="150"/>
        <v>1</v>
      </c>
      <c r="G1039" s="26">
        <f>IF(ISNA(MATCH(A1039,祝日定義!E:E,0)),0,1)</f>
        <v>1</v>
      </c>
      <c r="H1039" s="26">
        <f>IF(ISNA(MATCH(B1039&amp;"/"&amp;C1039,そのた定義!E:E,0)), 0, 1)</f>
        <v>0</v>
      </c>
      <c r="I1039" s="23" t="b">
        <f t="shared" si="151"/>
        <v>1</v>
      </c>
      <c r="J1039" s="26">
        <v>0</v>
      </c>
      <c r="K1039" s="26" t="b">
        <f t="shared" si="146"/>
        <v>0</v>
      </c>
      <c r="L1039" s="26" t="b">
        <f t="shared" si="147"/>
        <v>0</v>
      </c>
      <c r="M1039" t="b">
        <f t="shared" si="152"/>
        <v>0</v>
      </c>
      <c r="N1039" t="b">
        <f t="shared" si="153"/>
        <v>0</v>
      </c>
    </row>
    <row r="1040" spans="1:14">
      <c r="A1040" s="29">
        <v>45600</v>
      </c>
      <c r="B1040" s="30">
        <f t="shared" si="145"/>
        <v>11</v>
      </c>
      <c r="C1040" s="30">
        <f t="shared" si="148"/>
        <v>4</v>
      </c>
      <c r="D1040" s="26">
        <f>MATCH(WEEKDAY(A1040),そのた定義!A:A,0)</f>
        <v>3</v>
      </c>
      <c r="E1040" s="31" t="str">
        <f t="shared" ca="1" si="149"/>
        <v>月</v>
      </c>
      <c r="F1040" s="26">
        <f t="shared" si="150"/>
        <v>0</v>
      </c>
      <c r="G1040" s="26">
        <f>IF(ISNA(MATCH(A1040,祝日定義!E:E,0)),0,1)</f>
        <v>1</v>
      </c>
      <c r="H1040" s="26">
        <f>IF(ISNA(MATCH(B1040&amp;"/"&amp;C1040,そのた定義!E:E,0)), 0, 1)</f>
        <v>0</v>
      </c>
      <c r="I1040" s="23" t="b">
        <f t="shared" si="151"/>
        <v>1</v>
      </c>
      <c r="J1040" s="26">
        <v>0</v>
      </c>
      <c r="K1040" s="26" t="b">
        <f t="shared" si="146"/>
        <v>0</v>
      </c>
      <c r="L1040" s="26" t="b">
        <f t="shared" si="147"/>
        <v>0</v>
      </c>
      <c r="M1040" t="b">
        <f t="shared" si="152"/>
        <v>0</v>
      </c>
      <c r="N1040" t="b">
        <f t="shared" si="153"/>
        <v>0</v>
      </c>
    </row>
    <row r="1041" spans="1:14">
      <c r="A1041" s="29">
        <v>45601</v>
      </c>
      <c r="B1041" s="30">
        <f t="shared" si="145"/>
        <v>11</v>
      </c>
      <c r="C1041" s="30">
        <f t="shared" si="148"/>
        <v>5</v>
      </c>
      <c r="D1041" s="26">
        <f>MATCH(WEEKDAY(A1041),そのた定義!A:A,0)</f>
        <v>4</v>
      </c>
      <c r="E1041" s="26" t="str">
        <f t="shared" ca="1" si="149"/>
        <v>火</v>
      </c>
      <c r="F1041" s="26">
        <f t="shared" si="150"/>
        <v>0</v>
      </c>
      <c r="G1041" s="26">
        <f>IF(ISNA(MATCH(A1041,祝日定義!E:E,0)),0,1)</f>
        <v>0</v>
      </c>
      <c r="H1041" s="26">
        <f>IF(ISNA(MATCH(B1041&amp;"/"&amp;C1041,そのた定義!E:E,0)), 0, 1)</f>
        <v>0</v>
      </c>
      <c r="I1041" s="26" t="b">
        <f t="shared" si="151"/>
        <v>0</v>
      </c>
      <c r="J1041" s="26">
        <v>3</v>
      </c>
      <c r="K1041" s="26" t="b">
        <f t="shared" si="146"/>
        <v>0</v>
      </c>
      <c r="L1041" s="26" t="b">
        <f t="shared" si="147"/>
        <v>0</v>
      </c>
      <c r="M1041" t="b">
        <f t="shared" si="152"/>
        <v>0</v>
      </c>
      <c r="N1041" t="b">
        <f t="shared" si="153"/>
        <v>0</v>
      </c>
    </row>
    <row r="1042" spans="1:14">
      <c r="A1042" s="29">
        <v>45602</v>
      </c>
      <c r="B1042" s="30">
        <f t="shared" si="145"/>
        <v>11</v>
      </c>
      <c r="C1042" s="30">
        <f t="shared" si="148"/>
        <v>6</v>
      </c>
      <c r="D1042" s="26">
        <f>MATCH(WEEKDAY(A1042),そのた定義!A:A,0)</f>
        <v>5</v>
      </c>
      <c r="E1042" s="26" t="str">
        <f t="shared" ca="1" si="149"/>
        <v>水</v>
      </c>
      <c r="F1042" s="26">
        <f t="shared" si="150"/>
        <v>0</v>
      </c>
      <c r="G1042" s="26">
        <f>IF(ISNA(MATCH(A1042,祝日定義!E:E,0)),0,1)</f>
        <v>0</v>
      </c>
      <c r="H1042" s="26">
        <f>IF(ISNA(MATCH(B1042&amp;"/"&amp;C1042,そのた定義!E:E,0)), 0, 1)</f>
        <v>0</v>
      </c>
      <c r="I1042" s="26" t="b">
        <f t="shared" si="151"/>
        <v>0</v>
      </c>
      <c r="J1042" s="26">
        <v>0</v>
      </c>
      <c r="K1042" s="26" t="b">
        <f t="shared" si="146"/>
        <v>0</v>
      </c>
      <c r="L1042" s="26" t="b">
        <f t="shared" si="147"/>
        <v>0</v>
      </c>
      <c r="M1042" t="b">
        <f t="shared" si="152"/>
        <v>0</v>
      </c>
      <c r="N1042" t="b">
        <f t="shared" si="153"/>
        <v>0</v>
      </c>
    </row>
    <row r="1043" spans="1:14">
      <c r="A1043" s="29">
        <v>45603</v>
      </c>
      <c r="B1043" s="30">
        <f t="shared" si="145"/>
        <v>11</v>
      </c>
      <c r="C1043" s="30">
        <f t="shared" si="148"/>
        <v>7</v>
      </c>
      <c r="D1043" s="26">
        <f>MATCH(WEEKDAY(A1043),そのた定義!A:A,0)</f>
        <v>6</v>
      </c>
      <c r="E1043" s="26" t="str">
        <f t="shared" ca="1" si="149"/>
        <v>木</v>
      </c>
      <c r="F1043" s="26">
        <f t="shared" si="150"/>
        <v>0</v>
      </c>
      <c r="G1043" s="26">
        <f>IF(ISNA(MATCH(A1043,祝日定義!E:E,0)),0,1)</f>
        <v>0</v>
      </c>
      <c r="H1043" s="26">
        <f>IF(ISNA(MATCH(B1043&amp;"/"&amp;C1043,そのた定義!E:E,0)), 0, 1)</f>
        <v>0</v>
      </c>
      <c r="I1043" s="26" t="b">
        <f t="shared" si="151"/>
        <v>0</v>
      </c>
      <c r="J1043" s="26">
        <v>0</v>
      </c>
      <c r="K1043" s="26" t="b">
        <f t="shared" si="146"/>
        <v>0</v>
      </c>
      <c r="L1043" s="26" t="b">
        <f t="shared" si="147"/>
        <v>0</v>
      </c>
      <c r="M1043" t="b">
        <f t="shared" si="152"/>
        <v>0</v>
      </c>
      <c r="N1043" t="b">
        <f t="shared" si="153"/>
        <v>0</v>
      </c>
    </row>
    <row r="1044" spans="1:14">
      <c r="A1044" s="29">
        <v>45604</v>
      </c>
      <c r="B1044" s="30">
        <f t="shared" si="145"/>
        <v>11</v>
      </c>
      <c r="C1044" s="30">
        <f t="shared" si="148"/>
        <v>8</v>
      </c>
      <c r="D1044" s="26">
        <f>MATCH(WEEKDAY(A1044),そのた定義!A:A,0)</f>
        <v>7</v>
      </c>
      <c r="E1044" s="26" t="str">
        <f t="shared" ca="1" si="149"/>
        <v>金</v>
      </c>
      <c r="F1044" s="26">
        <f t="shared" si="150"/>
        <v>0</v>
      </c>
      <c r="G1044" s="26">
        <f>IF(ISNA(MATCH(A1044,祝日定義!E:E,0)),0,1)</f>
        <v>0</v>
      </c>
      <c r="H1044" s="26">
        <f>IF(ISNA(MATCH(B1044&amp;"/"&amp;C1044,そのた定義!E:E,0)), 0, 1)</f>
        <v>0</v>
      </c>
      <c r="I1044" s="26" t="b">
        <f t="shared" si="151"/>
        <v>0</v>
      </c>
      <c r="J1044" s="26">
        <v>0</v>
      </c>
      <c r="K1044" s="26" t="b">
        <f t="shared" si="146"/>
        <v>0</v>
      </c>
      <c r="L1044" s="26" t="b">
        <f t="shared" si="147"/>
        <v>0</v>
      </c>
      <c r="M1044" t="b">
        <f t="shared" si="152"/>
        <v>0</v>
      </c>
      <c r="N1044" t="b">
        <f t="shared" si="153"/>
        <v>0</v>
      </c>
    </row>
    <row r="1045" spans="1:14">
      <c r="A1045" s="29">
        <v>45605</v>
      </c>
      <c r="B1045" s="30">
        <f t="shared" si="145"/>
        <v>11</v>
      </c>
      <c r="C1045" s="30">
        <f t="shared" si="148"/>
        <v>9</v>
      </c>
      <c r="D1045" s="26">
        <f>MATCH(WEEKDAY(A1045),そのた定義!A:A,0)</f>
        <v>8</v>
      </c>
      <c r="E1045" s="33" t="str">
        <f t="shared" ca="1" si="149"/>
        <v>土</v>
      </c>
      <c r="F1045" s="26">
        <f t="shared" si="150"/>
        <v>1</v>
      </c>
      <c r="G1045" s="26">
        <f>IF(ISNA(MATCH(A1045,祝日定義!E:E,0)),0,1)</f>
        <v>0</v>
      </c>
      <c r="H1045" s="26">
        <f>IF(ISNA(MATCH(B1045&amp;"/"&amp;C1045,そのた定義!E:E,0)), 0, 1)</f>
        <v>0</v>
      </c>
      <c r="I1045" s="23" t="b">
        <f t="shared" si="151"/>
        <v>1</v>
      </c>
      <c r="J1045" s="26">
        <v>0</v>
      </c>
      <c r="K1045" s="26" t="b">
        <f t="shared" si="146"/>
        <v>0</v>
      </c>
      <c r="L1045" s="26" t="b">
        <f t="shared" si="147"/>
        <v>0</v>
      </c>
      <c r="M1045" t="b">
        <f t="shared" si="152"/>
        <v>0</v>
      </c>
      <c r="N1045" t="b">
        <f t="shared" si="153"/>
        <v>0</v>
      </c>
    </row>
    <row r="1046" spans="1:14">
      <c r="A1046" s="29">
        <v>45606</v>
      </c>
      <c r="B1046" s="30">
        <f t="shared" si="145"/>
        <v>11</v>
      </c>
      <c r="C1046" s="30">
        <f t="shared" si="148"/>
        <v>10</v>
      </c>
      <c r="D1046" s="26">
        <f>MATCH(WEEKDAY(A1046),そのた定義!A:A,0)</f>
        <v>2</v>
      </c>
      <c r="E1046" s="32" t="str">
        <f t="shared" ca="1" si="149"/>
        <v>日</v>
      </c>
      <c r="F1046" s="26">
        <f t="shared" si="150"/>
        <v>1</v>
      </c>
      <c r="G1046" s="26">
        <f>IF(ISNA(MATCH(A1046,祝日定義!E:E,0)),0,1)</f>
        <v>0</v>
      </c>
      <c r="H1046" s="26">
        <f>IF(ISNA(MATCH(B1046&amp;"/"&amp;C1046,そのた定義!E:E,0)), 0, 1)</f>
        <v>0</v>
      </c>
      <c r="I1046" s="23" t="b">
        <f t="shared" si="151"/>
        <v>1</v>
      </c>
      <c r="J1046" s="26">
        <v>0</v>
      </c>
      <c r="K1046" s="26" t="b">
        <f t="shared" si="146"/>
        <v>0</v>
      </c>
      <c r="L1046" s="26" t="b">
        <f t="shared" si="147"/>
        <v>0</v>
      </c>
      <c r="M1046" t="b">
        <f t="shared" si="152"/>
        <v>0</v>
      </c>
      <c r="N1046" t="b">
        <f t="shared" si="153"/>
        <v>0</v>
      </c>
    </row>
    <row r="1047" spans="1:14">
      <c r="A1047" s="29">
        <v>45607</v>
      </c>
      <c r="B1047" s="30">
        <f t="shared" si="145"/>
        <v>11</v>
      </c>
      <c r="C1047" s="30">
        <f t="shared" si="148"/>
        <v>11</v>
      </c>
      <c r="D1047" s="26">
        <f>MATCH(WEEKDAY(A1047),そのた定義!A:A,0)</f>
        <v>3</v>
      </c>
      <c r="E1047" s="26" t="str">
        <f t="shared" ca="1" si="149"/>
        <v>月</v>
      </c>
      <c r="F1047" s="26">
        <f t="shared" si="150"/>
        <v>0</v>
      </c>
      <c r="G1047" s="26">
        <f>IF(ISNA(MATCH(A1047,祝日定義!E:E,0)),0,1)</f>
        <v>0</v>
      </c>
      <c r="H1047" s="26">
        <f>IF(ISNA(MATCH(B1047&amp;"/"&amp;C1047,そのた定義!E:E,0)), 0, 1)</f>
        <v>0</v>
      </c>
      <c r="I1047" s="26" t="b">
        <f t="shared" si="151"/>
        <v>0</v>
      </c>
      <c r="J1047" s="26">
        <v>2</v>
      </c>
      <c r="K1047" s="26" t="b">
        <f t="shared" si="146"/>
        <v>0</v>
      </c>
      <c r="L1047" s="26" t="b">
        <f t="shared" si="147"/>
        <v>0</v>
      </c>
      <c r="M1047" t="b">
        <f t="shared" si="152"/>
        <v>0</v>
      </c>
      <c r="N1047" t="b">
        <f t="shared" si="153"/>
        <v>0</v>
      </c>
    </row>
    <row r="1048" spans="1:14">
      <c r="A1048" s="29">
        <v>45608</v>
      </c>
      <c r="B1048" s="30">
        <f t="shared" si="145"/>
        <v>11</v>
      </c>
      <c r="C1048" s="30">
        <f t="shared" si="148"/>
        <v>12</v>
      </c>
      <c r="D1048" s="26">
        <f>MATCH(WEEKDAY(A1048),そのた定義!A:A,0)</f>
        <v>4</v>
      </c>
      <c r="E1048" s="26" t="str">
        <f t="shared" ca="1" si="149"/>
        <v>火</v>
      </c>
      <c r="F1048" s="26">
        <f t="shared" si="150"/>
        <v>0</v>
      </c>
      <c r="G1048" s="26">
        <f>IF(ISNA(MATCH(A1048,祝日定義!E:E,0)),0,1)</f>
        <v>0</v>
      </c>
      <c r="H1048" s="26">
        <f>IF(ISNA(MATCH(B1048&amp;"/"&amp;C1048,そのた定義!E:E,0)), 0, 1)</f>
        <v>0</v>
      </c>
      <c r="I1048" s="26" t="b">
        <f t="shared" si="151"/>
        <v>0</v>
      </c>
      <c r="J1048" s="26">
        <v>0</v>
      </c>
      <c r="K1048" s="26" t="b">
        <f t="shared" si="146"/>
        <v>0</v>
      </c>
      <c r="L1048" s="26" t="b">
        <f t="shared" si="147"/>
        <v>0</v>
      </c>
      <c r="M1048" t="b">
        <f t="shared" si="152"/>
        <v>0</v>
      </c>
      <c r="N1048" t="b">
        <f t="shared" si="153"/>
        <v>0</v>
      </c>
    </row>
    <row r="1049" spans="1:14">
      <c r="A1049" s="29">
        <v>45609</v>
      </c>
      <c r="B1049" s="30">
        <f t="shared" si="145"/>
        <v>11</v>
      </c>
      <c r="C1049" s="30">
        <f t="shared" si="148"/>
        <v>13</v>
      </c>
      <c r="D1049" s="26">
        <f>MATCH(WEEKDAY(A1049),そのた定義!A:A,0)</f>
        <v>5</v>
      </c>
      <c r="E1049" s="26" t="str">
        <f t="shared" ca="1" si="149"/>
        <v>水</v>
      </c>
      <c r="F1049" s="26">
        <f t="shared" si="150"/>
        <v>0</v>
      </c>
      <c r="G1049" s="26">
        <f>IF(ISNA(MATCH(A1049,祝日定義!E:E,0)),0,1)</f>
        <v>0</v>
      </c>
      <c r="H1049" s="26">
        <f>IF(ISNA(MATCH(B1049&amp;"/"&amp;C1049,そのた定義!E:E,0)), 0, 1)</f>
        <v>0</v>
      </c>
      <c r="I1049" s="26" t="b">
        <f t="shared" si="151"/>
        <v>0</v>
      </c>
      <c r="J1049" s="26">
        <v>0</v>
      </c>
      <c r="K1049" s="26" t="b">
        <f t="shared" si="146"/>
        <v>0</v>
      </c>
      <c r="L1049" s="26" t="b">
        <f t="shared" si="147"/>
        <v>0</v>
      </c>
      <c r="M1049" t="b">
        <f t="shared" si="152"/>
        <v>0</v>
      </c>
      <c r="N1049" t="b">
        <f t="shared" si="153"/>
        <v>0</v>
      </c>
    </row>
    <row r="1050" spans="1:14">
      <c r="A1050" s="29">
        <v>45610</v>
      </c>
      <c r="B1050" s="30">
        <f t="shared" si="145"/>
        <v>11</v>
      </c>
      <c r="C1050" s="30">
        <f t="shared" si="148"/>
        <v>14</v>
      </c>
      <c r="D1050" s="26">
        <f>MATCH(WEEKDAY(A1050),そのた定義!A:A,0)</f>
        <v>6</v>
      </c>
      <c r="E1050" s="26" t="str">
        <f t="shared" ca="1" si="149"/>
        <v>木</v>
      </c>
      <c r="F1050" s="26">
        <f t="shared" si="150"/>
        <v>0</v>
      </c>
      <c r="G1050" s="26">
        <f>IF(ISNA(MATCH(A1050,祝日定義!E:E,0)),0,1)</f>
        <v>0</v>
      </c>
      <c r="H1050" s="26">
        <f>IF(ISNA(MATCH(B1050&amp;"/"&amp;C1050,そのた定義!E:E,0)), 0, 1)</f>
        <v>0</v>
      </c>
      <c r="I1050" s="26" t="b">
        <f t="shared" si="151"/>
        <v>0</v>
      </c>
      <c r="J1050" s="26">
        <v>0</v>
      </c>
      <c r="K1050" s="26" t="b">
        <f t="shared" si="146"/>
        <v>0</v>
      </c>
      <c r="L1050" s="26" t="b">
        <f t="shared" si="147"/>
        <v>0</v>
      </c>
      <c r="M1050" t="b">
        <f t="shared" si="152"/>
        <v>0</v>
      </c>
      <c r="N1050" t="b">
        <f t="shared" si="153"/>
        <v>0</v>
      </c>
    </row>
    <row r="1051" spans="1:14">
      <c r="A1051" s="29">
        <v>45611</v>
      </c>
      <c r="B1051" s="30">
        <f t="shared" si="145"/>
        <v>11</v>
      </c>
      <c r="C1051" s="30">
        <f t="shared" si="148"/>
        <v>15</v>
      </c>
      <c r="D1051" s="26">
        <f>MATCH(WEEKDAY(A1051),そのた定義!A:A,0)</f>
        <v>7</v>
      </c>
      <c r="E1051" s="26" t="str">
        <f t="shared" ca="1" si="149"/>
        <v>金</v>
      </c>
      <c r="F1051" s="26">
        <f t="shared" si="150"/>
        <v>0</v>
      </c>
      <c r="G1051" s="26">
        <f>IF(ISNA(MATCH(A1051,祝日定義!E:E,0)),0,1)</f>
        <v>0</v>
      </c>
      <c r="H1051" s="26">
        <f>IF(ISNA(MATCH(B1051&amp;"/"&amp;C1051,そのた定義!E:E,0)), 0, 1)</f>
        <v>0</v>
      </c>
      <c r="I1051" s="26" t="b">
        <f t="shared" si="151"/>
        <v>0</v>
      </c>
      <c r="J1051" s="26">
        <v>0</v>
      </c>
      <c r="K1051" s="26" t="b">
        <f t="shared" si="146"/>
        <v>0</v>
      </c>
      <c r="L1051" s="26" t="b">
        <f t="shared" si="147"/>
        <v>0</v>
      </c>
      <c r="M1051" t="b">
        <f t="shared" si="152"/>
        <v>0</v>
      </c>
      <c r="N1051" t="b">
        <f t="shared" si="153"/>
        <v>0</v>
      </c>
    </row>
    <row r="1052" spans="1:14">
      <c r="A1052" s="29">
        <v>45612</v>
      </c>
      <c r="B1052" s="30">
        <f t="shared" si="145"/>
        <v>11</v>
      </c>
      <c r="C1052" s="30">
        <f t="shared" si="148"/>
        <v>16</v>
      </c>
      <c r="D1052" s="26">
        <f>MATCH(WEEKDAY(A1052),そのた定義!A:A,0)</f>
        <v>8</v>
      </c>
      <c r="E1052" s="33" t="str">
        <f t="shared" ca="1" si="149"/>
        <v>土</v>
      </c>
      <c r="F1052" s="26">
        <f t="shared" si="150"/>
        <v>1</v>
      </c>
      <c r="G1052" s="26">
        <f>IF(ISNA(MATCH(A1052,祝日定義!E:E,0)),0,1)</f>
        <v>0</v>
      </c>
      <c r="H1052" s="26">
        <f>IF(ISNA(MATCH(B1052&amp;"/"&amp;C1052,そのた定義!E:E,0)), 0, 1)</f>
        <v>0</v>
      </c>
      <c r="I1052" s="23" t="b">
        <f t="shared" si="151"/>
        <v>1</v>
      </c>
      <c r="J1052" s="26">
        <v>0</v>
      </c>
      <c r="K1052" s="26" t="b">
        <f t="shared" si="146"/>
        <v>0</v>
      </c>
      <c r="L1052" s="26" t="b">
        <f t="shared" si="147"/>
        <v>0</v>
      </c>
      <c r="M1052" t="b">
        <f t="shared" si="152"/>
        <v>0</v>
      </c>
      <c r="N1052" t="b">
        <f t="shared" si="153"/>
        <v>0</v>
      </c>
    </row>
    <row r="1053" spans="1:14">
      <c r="A1053" s="29">
        <v>45613</v>
      </c>
      <c r="B1053" s="30">
        <f t="shared" si="145"/>
        <v>11</v>
      </c>
      <c r="C1053" s="30">
        <f t="shared" si="148"/>
        <v>17</v>
      </c>
      <c r="D1053" s="26">
        <f>MATCH(WEEKDAY(A1053),そのた定義!A:A,0)</f>
        <v>2</v>
      </c>
      <c r="E1053" s="32" t="str">
        <f t="shared" ca="1" si="149"/>
        <v>日</v>
      </c>
      <c r="F1053" s="26">
        <f t="shared" si="150"/>
        <v>1</v>
      </c>
      <c r="G1053" s="26">
        <f>IF(ISNA(MATCH(A1053,祝日定義!E:E,0)),0,1)</f>
        <v>0</v>
      </c>
      <c r="H1053" s="26">
        <f>IF(ISNA(MATCH(B1053&amp;"/"&amp;C1053,そのた定義!E:E,0)), 0, 1)</f>
        <v>0</v>
      </c>
      <c r="I1053" s="23" t="b">
        <f t="shared" si="151"/>
        <v>1</v>
      </c>
      <c r="J1053" s="26">
        <v>0</v>
      </c>
      <c r="K1053" s="26" t="b">
        <f t="shared" si="146"/>
        <v>0</v>
      </c>
      <c r="L1053" s="26" t="b">
        <f t="shared" si="147"/>
        <v>0</v>
      </c>
      <c r="M1053" t="b">
        <f t="shared" si="152"/>
        <v>0</v>
      </c>
      <c r="N1053" t="b">
        <f t="shared" si="153"/>
        <v>0</v>
      </c>
    </row>
    <row r="1054" spans="1:14">
      <c r="A1054" s="29">
        <v>45614</v>
      </c>
      <c r="B1054" s="30">
        <f t="shared" si="145"/>
        <v>11</v>
      </c>
      <c r="C1054" s="30">
        <f t="shared" si="148"/>
        <v>18</v>
      </c>
      <c r="D1054" s="26">
        <f>MATCH(WEEKDAY(A1054),そのた定義!A:A,0)</f>
        <v>3</v>
      </c>
      <c r="E1054" s="26" t="str">
        <f t="shared" ca="1" si="149"/>
        <v>月</v>
      </c>
      <c r="F1054" s="26">
        <f t="shared" si="150"/>
        <v>0</v>
      </c>
      <c r="G1054" s="26">
        <f>IF(ISNA(MATCH(A1054,祝日定義!E:E,0)),0,1)</f>
        <v>0</v>
      </c>
      <c r="H1054" s="26">
        <f>IF(ISNA(MATCH(B1054&amp;"/"&amp;C1054,そのた定義!E:E,0)), 0, 1)</f>
        <v>0</v>
      </c>
      <c r="I1054" s="26" t="b">
        <f t="shared" si="151"/>
        <v>0</v>
      </c>
      <c r="J1054" s="26">
        <v>2</v>
      </c>
      <c r="K1054" s="26" t="b">
        <f t="shared" si="146"/>
        <v>0</v>
      </c>
      <c r="L1054" s="26" t="b">
        <f t="shared" si="147"/>
        <v>0</v>
      </c>
      <c r="M1054" t="b">
        <f t="shared" si="152"/>
        <v>0</v>
      </c>
      <c r="N1054" t="b">
        <f t="shared" si="153"/>
        <v>0</v>
      </c>
    </row>
    <row r="1055" spans="1:14">
      <c r="A1055" s="29">
        <v>45615</v>
      </c>
      <c r="B1055" s="30">
        <f t="shared" si="145"/>
        <v>11</v>
      </c>
      <c r="C1055" s="30">
        <f t="shared" si="148"/>
        <v>19</v>
      </c>
      <c r="D1055" s="26">
        <f>MATCH(WEEKDAY(A1055),そのた定義!A:A,0)</f>
        <v>4</v>
      </c>
      <c r="E1055" s="26" t="str">
        <f t="shared" ca="1" si="149"/>
        <v>火</v>
      </c>
      <c r="F1055" s="26">
        <f t="shared" si="150"/>
        <v>0</v>
      </c>
      <c r="G1055" s="26">
        <f>IF(ISNA(MATCH(A1055,祝日定義!E:E,0)),0,1)</f>
        <v>0</v>
      </c>
      <c r="H1055" s="26">
        <f>IF(ISNA(MATCH(B1055&amp;"/"&amp;C1055,そのた定義!E:E,0)), 0, 1)</f>
        <v>0</v>
      </c>
      <c r="I1055" s="26" t="b">
        <f t="shared" si="151"/>
        <v>0</v>
      </c>
      <c r="J1055" s="26">
        <v>0</v>
      </c>
      <c r="K1055" s="26" t="b">
        <f t="shared" si="146"/>
        <v>0</v>
      </c>
      <c r="L1055" s="26" t="b">
        <f t="shared" si="147"/>
        <v>0</v>
      </c>
      <c r="M1055" t="b">
        <f t="shared" si="152"/>
        <v>0</v>
      </c>
      <c r="N1055" t="b">
        <f t="shared" si="153"/>
        <v>0</v>
      </c>
    </row>
    <row r="1056" spans="1:14">
      <c r="A1056" s="29">
        <v>45616</v>
      </c>
      <c r="B1056" s="30">
        <f t="shared" si="145"/>
        <v>11</v>
      </c>
      <c r="C1056" s="30">
        <f t="shared" si="148"/>
        <v>20</v>
      </c>
      <c r="D1056" s="26">
        <f>MATCH(WEEKDAY(A1056),そのた定義!A:A,0)</f>
        <v>5</v>
      </c>
      <c r="E1056" s="26" t="str">
        <f t="shared" ca="1" si="149"/>
        <v>水</v>
      </c>
      <c r="F1056" s="26">
        <f t="shared" si="150"/>
        <v>0</v>
      </c>
      <c r="G1056" s="26">
        <f>IF(ISNA(MATCH(A1056,祝日定義!E:E,0)),0,1)</f>
        <v>0</v>
      </c>
      <c r="H1056" s="26">
        <f>IF(ISNA(MATCH(B1056&amp;"/"&amp;C1056,そのた定義!E:E,0)), 0, 1)</f>
        <v>0</v>
      </c>
      <c r="I1056" s="26" t="b">
        <f t="shared" si="151"/>
        <v>0</v>
      </c>
      <c r="J1056" s="26">
        <v>0</v>
      </c>
      <c r="K1056" s="26" t="b">
        <f t="shared" si="146"/>
        <v>0</v>
      </c>
      <c r="L1056" s="26" t="b">
        <f t="shared" si="147"/>
        <v>0</v>
      </c>
      <c r="M1056" t="b">
        <f t="shared" si="152"/>
        <v>0</v>
      </c>
      <c r="N1056" t="b">
        <f t="shared" si="153"/>
        <v>0</v>
      </c>
    </row>
    <row r="1057" spans="1:14">
      <c r="A1057" s="29">
        <v>45617</v>
      </c>
      <c r="B1057" s="30">
        <f t="shared" si="145"/>
        <v>11</v>
      </c>
      <c r="C1057" s="30">
        <f t="shared" si="148"/>
        <v>21</v>
      </c>
      <c r="D1057" s="26">
        <f>MATCH(WEEKDAY(A1057),そのた定義!A:A,0)</f>
        <v>6</v>
      </c>
      <c r="E1057" s="26" t="str">
        <f t="shared" ca="1" si="149"/>
        <v>木</v>
      </c>
      <c r="F1057" s="26">
        <f t="shared" si="150"/>
        <v>0</v>
      </c>
      <c r="G1057" s="26">
        <f>IF(ISNA(MATCH(A1057,祝日定義!E:E,0)),0,1)</f>
        <v>0</v>
      </c>
      <c r="H1057" s="26">
        <f>IF(ISNA(MATCH(B1057&amp;"/"&amp;C1057,そのた定義!E:E,0)), 0, 1)</f>
        <v>0</v>
      </c>
      <c r="I1057" s="26" t="b">
        <f t="shared" si="151"/>
        <v>0</v>
      </c>
      <c r="J1057" s="26">
        <v>0</v>
      </c>
      <c r="K1057" s="26" t="b">
        <f t="shared" si="146"/>
        <v>0</v>
      </c>
      <c r="L1057" s="26" t="b">
        <f t="shared" si="147"/>
        <v>0</v>
      </c>
      <c r="M1057" t="b">
        <f t="shared" si="152"/>
        <v>0</v>
      </c>
      <c r="N1057" t="b">
        <f t="shared" si="153"/>
        <v>0</v>
      </c>
    </row>
    <row r="1058" spans="1:14">
      <c r="A1058" s="29">
        <v>45618</v>
      </c>
      <c r="B1058" s="30">
        <f t="shared" si="145"/>
        <v>11</v>
      </c>
      <c r="C1058" s="30">
        <f t="shared" si="148"/>
        <v>22</v>
      </c>
      <c r="D1058" s="26">
        <f>MATCH(WEEKDAY(A1058),そのた定義!A:A,0)</f>
        <v>7</v>
      </c>
      <c r="E1058" s="26" t="str">
        <f t="shared" ca="1" si="149"/>
        <v>金</v>
      </c>
      <c r="F1058" s="26">
        <f t="shared" si="150"/>
        <v>0</v>
      </c>
      <c r="G1058" s="26">
        <f>IF(ISNA(MATCH(A1058,祝日定義!E:E,0)),0,1)</f>
        <v>0</v>
      </c>
      <c r="H1058" s="26">
        <f>IF(ISNA(MATCH(B1058&amp;"/"&amp;C1058,そのた定義!E:E,0)), 0, 1)</f>
        <v>0</v>
      </c>
      <c r="I1058" s="26" t="b">
        <f t="shared" si="151"/>
        <v>0</v>
      </c>
      <c r="J1058" s="26">
        <v>0</v>
      </c>
      <c r="K1058" s="26" t="b">
        <f t="shared" si="146"/>
        <v>0</v>
      </c>
      <c r="L1058" s="26" t="b">
        <f t="shared" si="147"/>
        <v>0</v>
      </c>
      <c r="M1058" t="b">
        <f t="shared" si="152"/>
        <v>0</v>
      </c>
      <c r="N1058" t="b">
        <f t="shared" si="153"/>
        <v>0</v>
      </c>
    </row>
    <row r="1059" spans="1:14">
      <c r="A1059" s="29">
        <v>45619</v>
      </c>
      <c r="B1059" s="30">
        <f t="shared" si="145"/>
        <v>11</v>
      </c>
      <c r="C1059" s="30">
        <f t="shared" si="148"/>
        <v>23</v>
      </c>
      <c r="D1059" s="26">
        <f>MATCH(WEEKDAY(A1059),そのた定義!A:A,0)</f>
        <v>8</v>
      </c>
      <c r="E1059" s="33" t="str">
        <f t="shared" ca="1" si="149"/>
        <v>土</v>
      </c>
      <c r="F1059" s="26">
        <f t="shared" si="150"/>
        <v>1</v>
      </c>
      <c r="G1059" s="26">
        <f>IF(ISNA(MATCH(A1059,祝日定義!E:E,0)),0,1)</f>
        <v>1</v>
      </c>
      <c r="H1059" s="26">
        <f>IF(ISNA(MATCH(B1059&amp;"/"&amp;C1059,そのた定義!E:E,0)), 0, 1)</f>
        <v>0</v>
      </c>
      <c r="I1059" s="23" t="b">
        <f t="shared" si="151"/>
        <v>1</v>
      </c>
      <c r="J1059" s="26">
        <v>0</v>
      </c>
      <c r="K1059" s="26" t="b">
        <f t="shared" si="146"/>
        <v>0</v>
      </c>
      <c r="L1059" s="26" t="b">
        <f t="shared" si="147"/>
        <v>0</v>
      </c>
      <c r="M1059" t="b">
        <f t="shared" si="152"/>
        <v>0</v>
      </c>
      <c r="N1059" t="b">
        <f t="shared" si="153"/>
        <v>0</v>
      </c>
    </row>
    <row r="1060" spans="1:14">
      <c r="A1060" s="29">
        <v>45620</v>
      </c>
      <c r="B1060" s="30">
        <f t="shared" si="145"/>
        <v>11</v>
      </c>
      <c r="C1060" s="30">
        <f t="shared" si="148"/>
        <v>24</v>
      </c>
      <c r="D1060" s="26">
        <f>MATCH(WEEKDAY(A1060),そのた定義!A:A,0)</f>
        <v>2</v>
      </c>
      <c r="E1060" s="32" t="str">
        <f t="shared" ca="1" si="149"/>
        <v>日</v>
      </c>
      <c r="F1060" s="26">
        <f t="shared" si="150"/>
        <v>1</v>
      </c>
      <c r="G1060" s="26">
        <f>IF(ISNA(MATCH(A1060,祝日定義!E:E,0)),0,1)</f>
        <v>0</v>
      </c>
      <c r="H1060" s="26">
        <f>IF(ISNA(MATCH(B1060&amp;"/"&amp;C1060,そのた定義!E:E,0)), 0, 1)</f>
        <v>0</v>
      </c>
      <c r="I1060" s="23" t="b">
        <f t="shared" si="151"/>
        <v>1</v>
      </c>
      <c r="J1060" s="26">
        <v>0</v>
      </c>
      <c r="K1060" s="26" t="b">
        <f t="shared" si="146"/>
        <v>0</v>
      </c>
      <c r="L1060" s="26" t="b">
        <f t="shared" si="147"/>
        <v>0</v>
      </c>
      <c r="M1060" t="b">
        <f t="shared" si="152"/>
        <v>0</v>
      </c>
      <c r="N1060" t="b">
        <f t="shared" si="153"/>
        <v>0</v>
      </c>
    </row>
    <row r="1061" spans="1:14">
      <c r="A1061" s="29">
        <v>45621</v>
      </c>
      <c r="B1061" s="30">
        <f t="shared" si="145"/>
        <v>11</v>
      </c>
      <c r="C1061" s="30">
        <f t="shared" si="148"/>
        <v>25</v>
      </c>
      <c r="D1061" s="26">
        <f>MATCH(WEEKDAY(A1061),そのた定義!A:A,0)</f>
        <v>3</v>
      </c>
      <c r="E1061" s="26" t="str">
        <f t="shared" ca="1" si="149"/>
        <v>月</v>
      </c>
      <c r="F1061" s="26">
        <f t="shared" si="150"/>
        <v>0</v>
      </c>
      <c r="G1061" s="26">
        <f>IF(ISNA(MATCH(A1061,祝日定義!E:E,0)),0,1)</f>
        <v>0</v>
      </c>
      <c r="H1061" s="26">
        <f>IF(ISNA(MATCH(B1061&amp;"/"&amp;C1061,そのた定義!E:E,0)), 0, 1)</f>
        <v>0</v>
      </c>
      <c r="I1061" s="26" t="b">
        <f t="shared" si="151"/>
        <v>0</v>
      </c>
      <c r="J1061" s="26">
        <v>2</v>
      </c>
      <c r="K1061" s="26" t="b">
        <f t="shared" si="146"/>
        <v>0</v>
      </c>
      <c r="L1061" s="23" t="b">
        <f t="shared" si="147"/>
        <v>1</v>
      </c>
      <c r="M1061" t="b">
        <f t="shared" si="152"/>
        <v>0</v>
      </c>
      <c r="N1061" t="b">
        <f t="shared" si="153"/>
        <v>0</v>
      </c>
    </row>
    <row r="1062" spans="1:14">
      <c r="A1062" s="29">
        <v>45622</v>
      </c>
      <c r="B1062" s="30">
        <f t="shared" si="145"/>
        <v>11</v>
      </c>
      <c r="C1062" s="30">
        <f t="shared" si="148"/>
        <v>26</v>
      </c>
      <c r="D1062" s="26">
        <f>MATCH(WEEKDAY(A1062),そのた定義!A:A,0)</f>
        <v>4</v>
      </c>
      <c r="E1062" s="26" t="str">
        <f t="shared" ca="1" si="149"/>
        <v>火</v>
      </c>
      <c r="F1062" s="26">
        <f t="shared" si="150"/>
        <v>0</v>
      </c>
      <c r="G1062" s="26">
        <f>IF(ISNA(MATCH(A1062,祝日定義!E:E,0)),0,1)</f>
        <v>0</v>
      </c>
      <c r="H1062" s="26">
        <f>IF(ISNA(MATCH(B1062&amp;"/"&amp;C1062,そのた定義!E:E,0)), 0, 1)</f>
        <v>0</v>
      </c>
      <c r="I1062" s="26" t="b">
        <f t="shared" si="151"/>
        <v>0</v>
      </c>
      <c r="J1062" s="26">
        <v>0</v>
      </c>
      <c r="K1062" s="26" t="b">
        <f t="shared" si="146"/>
        <v>0</v>
      </c>
      <c r="L1062" s="26" t="b">
        <f t="shared" si="147"/>
        <v>0</v>
      </c>
      <c r="M1062" t="b">
        <f t="shared" si="152"/>
        <v>0</v>
      </c>
      <c r="N1062" t="b">
        <f t="shared" si="153"/>
        <v>0</v>
      </c>
    </row>
    <row r="1063" spans="1:14">
      <c r="A1063" s="29">
        <v>45623</v>
      </c>
      <c r="B1063" s="30">
        <f t="shared" si="145"/>
        <v>11</v>
      </c>
      <c r="C1063" s="30">
        <f t="shared" si="148"/>
        <v>27</v>
      </c>
      <c r="D1063" s="26">
        <f>MATCH(WEEKDAY(A1063),そのた定義!A:A,0)</f>
        <v>5</v>
      </c>
      <c r="E1063" s="26" t="str">
        <f t="shared" ca="1" si="149"/>
        <v>水</v>
      </c>
      <c r="F1063" s="26">
        <f t="shared" si="150"/>
        <v>0</v>
      </c>
      <c r="G1063" s="26">
        <f>IF(ISNA(MATCH(A1063,祝日定義!E:E,0)),0,1)</f>
        <v>0</v>
      </c>
      <c r="H1063" s="26">
        <f>IF(ISNA(MATCH(B1063&amp;"/"&amp;C1063,そのた定義!E:E,0)), 0, 1)</f>
        <v>0</v>
      </c>
      <c r="I1063" s="26" t="b">
        <f t="shared" si="151"/>
        <v>0</v>
      </c>
      <c r="J1063" s="26">
        <v>0</v>
      </c>
      <c r="K1063" s="26" t="b">
        <f t="shared" si="146"/>
        <v>0</v>
      </c>
      <c r="L1063" s="26" t="b">
        <f t="shared" si="147"/>
        <v>0</v>
      </c>
      <c r="M1063" t="b">
        <f t="shared" si="152"/>
        <v>0</v>
      </c>
      <c r="N1063" t="b">
        <f t="shared" si="153"/>
        <v>0</v>
      </c>
    </row>
    <row r="1064" spans="1:14">
      <c r="A1064" s="29">
        <v>45624</v>
      </c>
      <c r="B1064" s="30">
        <f t="shared" si="145"/>
        <v>11</v>
      </c>
      <c r="C1064" s="30">
        <f t="shared" si="148"/>
        <v>28</v>
      </c>
      <c r="D1064" s="26">
        <f>MATCH(WEEKDAY(A1064),そのた定義!A:A,0)</f>
        <v>6</v>
      </c>
      <c r="E1064" s="26" t="str">
        <f t="shared" ca="1" si="149"/>
        <v>木</v>
      </c>
      <c r="F1064" s="26">
        <f t="shared" si="150"/>
        <v>0</v>
      </c>
      <c r="G1064" s="26">
        <f>IF(ISNA(MATCH(A1064,祝日定義!E:E,0)),0,1)</f>
        <v>0</v>
      </c>
      <c r="H1064" s="26">
        <f>IF(ISNA(MATCH(B1064&amp;"/"&amp;C1064,そのた定義!E:E,0)), 0, 1)</f>
        <v>0</v>
      </c>
      <c r="I1064" s="26" t="b">
        <f t="shared" si="151"/>
        <v>0</v>
      </c>
      <c r="J1064" s="26">
        <v>0</v>
      </c>
      <c r="K1064" s="26" t="b">
        <f t="shared" si="146"/>
        <v>0</v>
      </c>
      <c r="L1064" s="26" t="b">
        <f t="shared" si="147"/>
        <v>0</v>
      </c>
      <c r="M1064" t="b">
        <f t="shared" si="152"/>
        <v>0</v>
      </c>
      <c r="N1064" t="b">
        <f t="shared" si="153"/>
        <v>0</v>
      </c>
    </row>
    <row r="1065" spans="1:14">
      <c r="A1065" s="29">
        <v>45625</v>
      </c>
      <c r="B1065" s="30">
        <f t="shared" si="145"/>
        <v>11</v>
      </c>
      <c r="C1065" s="30">
        <f t="shared" si="148"/>
        <v>29</v>
      </c>
      <c r="D1065" s="26">
        <f>MATCH(WEEKDAY(A1065),そのた定義!A:A,0)</f>
        <v>7</v>
      </c>
      <c r="E1065" s="26" t="str">
        <f t="shared" ca="1" si="149"/>
        <v>金</v>
      </c>
      <c r="F1065" s="26">
        <f t="shared" si="150"/>
        <v>0</v>
      </c>
      <c r="G1065" s="26">
        <f>IF(ISNA(MATCH(A1065,祝日定義!E:E,0)),0,1)</f>
        <v>0</v>
      </c>
      <c r="H1065" s="26">
        <f>IF(ISNA(MATCH(B1065&amp;"/"&amp;C1065,そのた定義!E:E,0)), 0, 1)</f>
        <v>0</v>
      </c>
      <c r="I1065" s="26" t="b">
        <f t="shared" si="151"/>
        <v>0</v>
      </c>
      <c r="J1065" s="26">
        <v>0</v>
      </c>
      <c r="K1065" s="26" t="b">
        <f t="shared" si="146"/>
        <v>0</v>
      </c>
      <c r="L1065" s="26" t="b">
        <f t="shared" si="147"/>
        <v>0</v>
      </c>
      <c r="M1065" t="b">
        <f t="shared" si="152"/>
        <v>0</v>
      </c>
      <c r="N1065" t="b">
        <f t="shared" si="153"/>
        <v>0</v>
      </c>
    </row>
    <row r="1066" spans="1:14">
      <c r="A1066" s="29">
        <v>45626</v>
      </c>
      <c r="B1066" s="30">
        <f t="shared" si="145"/>
        <v>11</v>
      </c>
      <c r="C1066" s="30">
        <f t="shared" si="148"/>
        <v>30</v>
      </c>
      <c r="D1066" s="26">
        <f>MATCH(WEEKDAY(A1066),そのた定義!A:A,0)</f>
        <v>8</v>
      </c>
      <c r="E1066" s="33" t="str">
        <f t="shared" ca="1" si="149"/>
        <v>土</v>
      </c>
      <c r="F1066" s="26">
        <f t="shared" si="150"/>
        <v>1</v>
      </c>
      <c r="G1066" s="26">
        <f>IF(ISNA(MATCH(A1066,祝日定義!E:E,0)),0,1)</f>
        <v>0</v>
      </c>
      <c r="H1066" s="26">
        <f>IF(ISNA(MATCH(B1066&amp;"/"&amp;C1066,そのた定義!E:E,0)), 0, 1)</f>
        <v>0</v>
      </c>
      <c r="I1066" s="23" t="b">
        <f t="shared" si="151"/>
        <v>1</v>
      </c>
      <c r="J1066" s="26">
        <v>0</v>
      </c>
      <c r="K1066" s="26" t="b">
        <f t="shared" si="146"/>
        <v>0</v>
      </c>
      <c r="L1066" s="26" t="b">
        <f t="shared" si="147"/>
        <v>0</v>
      </c>
      <c r="M1066" t="b">
        <f t="shared" si="152"/>
        <v>0</v>
      </c>
      <c r="N1066" t="b">
        <f t="shared" si="153"/>
        <v>1</v>
      </c>
    </row>
    <row r="1067" spans="1:14">
      <c r="A1067" s="29">
        <v>45627</v>
      </c>
      <c r="B1067" s="30">
        <f t="shared" si="145"/>
        <v>12</v>
      </c>
      <c r="C1067" s="30">
        <f t="shared" si="148"/>
        <v>1</v>
      </c>
      <c r="D1067" s="26">
        <f>MATCH(WEEKDAY(A1067),そのた定義!A:A,0)</f>
        <v>2</v>
      </c>
      <c r="E1067" s="32" t="str">
        <f t="shared" ca="1" si="149"/>
        <v>日</v>
      </c>
      <c r="F1067" s="26">
        <f t="shared" si="150"/>
        <v>1</v>
      </c>
      <c r="G1067" s="26">
        <f>IF(ISNA(MATCH(A1067,祝日定義!E:E,0)),0,1)</f>
        <v>0</v>
      </c>
      <c r="H1067" s="26">
        <f>IF(ISNA(MATCH(B1067&amp;"/"&amp;C1067,そのた定義!E:E,0)), 0, 1)</f>
        <v>0</v>
      </c>
      <c r="I1067" s="23" t="b">
        <f t="shared" si="151"/>
        <v>1</v>
      </c>
      <c r="J1067" s="26">
        <v>0</v>
      </c>
      <c r="K1067" s="26" t="b">
        <f t="shared" si="146"/>
        <v>0</v>
      </c>
      <c r="L1067" s="26" t="b">
        <f t="shared" si="147"/>
        <v>0</v>
      </c>
      <c r="M1067" t="b">
        <f t="shared" si="152"/>
        <v>0</v>
      </c>
      <c r="N1067" t="b">
        <f t="shared" si="153"/>
        <v>0</v>
      </c>
    </row>
    <row r="1068" spans="1:14">
      <c r="A1068" s="29">
        <v>45628</v>
      </c>
      <c r="B1068" s="30">
        <f t="shared" si="145"/>
        <v>12</v>
      </c>
      <c r="C1068" s="30">
        <f t="shared" si="148"/>
        <v>2</v>
      </c>
      <c r="D1068" s="26">
        <f>MATCH(WEEKDAY(A1068),そのた定義!A:A,0)</f>
        <v>3</v>
      </c>
      <c r="E1068" s="26" t="str">
        <f t="shared" ca="1" si="149"/>
        <v>月</v>
      </c>
      <c r="F1068" s="26">
        <f t="shared" si="150"/>
        <v>0</v>
      </c>
      <c r="G1068" s="26">
        <f>IF(ISNA(MATCH(A1068,祝日定義!E:E,0)),0,1)</f>
        <v>0</v>
      </c>
      <c r="H1068" s="26">
        <f>IF(ISNA(MATCH(B1068&amp;"/"&amp;C1068,そのた定義!E:E,0)), 0, 1)</f>
        <v>0</v>
      </c>
      <c r="I1068" s="26" t="b">
        <f t="shared" si="151"/>
        <v>0</v>
      </c>
      <c r="J1068" s="26">
        <v>2</v>
      </c>
      <c r="K1068" s="26" t="b">
        <f t="shared" si="146"/>
        <v>0</v>
      </c>
      <c r="L1068" s="26" t="b">
        <f t="shared" si="147"/>
        <v>0</v>
      </c>
      <c r="M1068" t="b">
        <f t="shared" si="152"/>
        <v>1</v>
      </c>
      <c r="N1068" t="b">
        <f t="shared" si="153"/>
        <v>0</v>
      </c>
    </row>
    <row r="1069" spans="1:14">
      <c r="A1069" s="29">
        <v>45629</v>
      </c>
      <c r="B1069" s="30">
        <f t="shared" si="145"/>
        <v>12</v>
      </c>
      <c r="C1069" s="30">
        <f t="shared" si="148"/>
        <v>3</v>
      </c>
      <c r="D1069" s="26">
        <f>MATCH(WEEKDAY(A1069),そのた定義!A:A,0)</f>
        <v>4</v>
      </c>
      <c r="E1069" s="26" t="str">
        <f t="shared" ca="1" si="149"/>
        <v>火</v>
      </c>
      <c r="F1069" s="26">
        <f t="shared" si="150"/>
        <v>0</v>
      </c>
      <c r="G1069" s="26">
        <f>IF(ISNA(MATCH(A1069,祝日定義!E:E,0)),0,1)</f>
        <v>0</v>
      </c>
      <c r="H1069" s="26">
        <f>IF(ISNA(MATCH(B1069&amp;"/"&amp;C1069,そのた定義!E:E,0)), 0, 1)</f>
        <v>0</v>
      </c>
      <c r="I1069" s="26" t="b">
        <f t="shared" si="151"/>
        <v>0</v>
      </c>
      <c r="J1069" s="26">
        <v>0</v>
      </c>
      <c r="K1069" s="26" t="b">
        <f t="shared" si="146"/>
        <v>0</v>
      </c>
      <c r="L1069" s="26" t="b">
        <f t="shared" si="147"/>
        <v>0</v>
      </c>
      <c r="M1069" t="b">
        <f t="shared" si="152"/>
        <v>0</v>
      </c>
      <c r="N1069" t="b">
        <f t="shared" si="153"/>
        <v>0</v>
      </c>
    </row>
    <row r="1070" spans="1:14">
      <c r="A1070" s="29">
        <v>45630</v>
      </c>
      <c r="B1070" s="30">
        <f t="shared" si="145"/>
        <v>12</v>
      </c>
      <c r="C1070" s="30">
        <f t="shared" si="148"/>
        <v>4</v>
      </c>
      <c r="D1070" s="26">
        <f>MATCH(WEEKDAY(A1070),そのた定義!A:A,0)</f>
        <v>5</v>
      </c>
      <c r="E1070" s="26" t="str">
        <f t="shared" ca="1" si="149"/>
        <v>水</v>
      </c>
      <c r="F1070" s="26">
        <f t="shared" si="150"/>
        <v>0</v>
      </c>
      <c r="G1070" s="26">
        <f>IF(ISNA(MATCH(A1070,祝日定義!E:E,0)),0,1)</f>
        <v>0</v>
      </c>
      <c r="H1070" s="26">
        <f>IF(ISNA(MATCH(B1070&amp;"/"&amp;C1070,そのた定義!E:E,0)), 0, 1)</f>
        <v>0</v>
      </c>
      <c r="I1070" s="26" t="b">
        <f t="shared" si="151"/>
        <v>0</v>
      </c>
      <c r="J1070" s="26">
        <v>0</v>
      </c>
      <c r="K1070" s="26" t="b">
        <f t="shared" si="146"/>
        <v>0</v>
      </c>
      <c r="L1070" s="26" t="b">
        <f t="shared" si="147"/>
        <v>0</v>
      </c>
      <c r="M1070" t="b">
        <f t="shared" si="152"/>
        <v>0</v>
      </c>
      <c r="N1070" t="b">
        <f t="shared" si="153"/>
        <v>0</v>
      </c>
    </row>
    <row r="1071" spans="1:14">
      <c r="A1071" s="29">
        <v>45631</v>
      </c>
      <c r="B1071" s="30">
        <f t="shared" si="145"/>
        <v>12</v>
      </c>
      <c r="C1071" s="30">
        <f t="shared" si="148"/>
        <v>5</v>
      </c>
      <c r="D1071" s="26">
        <f>MATCH(WEEKDAY(A1071),そのた定義!A:A,0)</f>
        <v>6</v>
      </c>
      <c r="E1071" s="26" t="str">
        <f t="shared" ca="1" si="149"/>
        <v>木</v>
      </c>
      <c r="F1071" s="26">
        <f t="shared" si="150"/>
        <v>0</v>
      </c>
      <c r="G1071" s="26">
        <f>IF(ISNA(MATCH(A1071,祝日定義!E:E,0)),0,1)</f>
        <v>0</v>
      </c>
      <c r="H1071" s="26">
        <f>IF(ISNA(MATCH(B1071&amp;"/"&amp;C1071,そのた定義!E:E,0)), 0, 1)</f>
        <v>0</v>
      </c>
      <c r="I1071" s="26" t="b">
        <f t="shared" si="151"/>
        <v>0</v>
      </c>
      <c r="J1071" s="26">
        <v>0</v>
      </c>
      <c r="K1071" s="26" t="b">
        <f t="shared" si="146"/>
        <v>0</v>
      </c>
      <c r="L1071" s="26" t="b">
        <f t="shared" si="147"/>
        <v>0</v>
      </c>
      <c r="M1071" t="b">
        <f t="shared" si="152"/>
        <v>0</v>
      </c>
      <c r="N1071" t="b">
        <f t="shared" si="153"/>
        <v>0</v>
      </c>
    </row>
    <row r="1072" spans="1:14">
      <c r="A1072" s="29">
        <v>45632</v>
      </c>
      <c r="B1072" s="30">
        <f t="shared" si="145"/>
        <v>12</v>
      </c>
      <c r="C1072" s="30">
        <f t="shared" si="148"/>
        <v>6</v>
      </c>
      <c r="D1072" s="26">
        <f>MATCH(WEEKDAY(A1072),そのた定義!A:A,0)</f>
        <v>7</v>
      </c>
      <c r="E1072" s="26" t="str">
        <f t="shared" ca="1" si="149"/>
        <v>金</v>
      </c>
      <c r="F1072" s="26">
        <f t="shared" si="150"/>
        <v>0</v>
      </c>
      <c r="G1072" s="26">
        <f>IF(ISNA(MATCH(A1072,祝日定義!E:E,0)),0,1)</f>
        <v>0</v>
      </c>
      <c r="H1072" s="26">
        <f>IF(ISNA(MATCH(B1072&amp;"/"&amp;C1072,そのた定義!E:E,0)), 0, 1)</f>
        <v>0</v>
      </c>
      <c r="I1072" s="26" t="b">
        <f t="shared" si="151"/>
        <v>0</v>
      </c>
      <c r="J1072" s="26">
        <v>0</v>
      </c>
      <c r="K1072" s="26" t="b">
        <f t="shared" si="146"/>
        <v>0</v>
      </c>
      <c r="L1072" s="26" t="b">
        <f t="shared" si="147"/>
        <v>0</v>
      </c>
      <c r="M1072" t="b">
        <f t="shared" si="152"/>
        <v>0</v>
      </c>
      <c r="N1072" t="b">
        <f t="shared" si="153"/>
        <v>0</v>
      </c>
    </row>
    <row r="1073" spans="1:14">
      <c r="A1073" s="29">
        <v>45633</v>
      </c>
      <c r="B1073" s="30">
        <f t="shared" si="145"/>
        <v>12</v>
      </c>
      <c r="C1073" s="30">
        <f t="shared" si="148"/>
        <v>7</v>
      </c>
      <c r="D1073" s="26">
        <f>MATCH(WEEKDAY(A1073),そのた定義!A:A,0)</f>
        <v>8</v>
      </c>
      <c r="E1073" s="33" t="str">
        <f t="shared" ca="1" si="149"/>
        <v>土</v>
      </c>
      <c r="F1073" s="26">
        <f t="shared" si="150"/>
        <v>1</v>
      </c>
      <c r="G1073" s="26">
        <f>IF(ISNA(MATCH(A1073,祝日定義!E:E,0)),0,1)</f>
        <v>0</v>
      </c>
      <c r="H1073" s="26">
        <f>IF(ISNA(MATCH(B1073&amp;"/"&amp;C1073,そのた定義!E:E,0)), 0, 1)</f>
        <v>0</v>
      </c>
      <c r="I1073" s="23" t="b">
        <f t="shared" si="151"/>
        <v>1</v>
      </c>
      <c r="J1073" s="26">
        <v>0</v>
      </c>
      <c r="K1073" s="26" t="b">
        <f t="shared" si="146"/>
        <v>0</v>
      </c>
      <c r="L1073" s="26" t="b">
        <f t="shared" si="147"/>
        <v>0</v>
      </c>
      <c r="M1073" t="b">
        <f t="shared" si="152"/>
        <v>0</v>
      </c>
      <c r="N1073" t="b">
        <f t="shared" si="153"/>
        <v>0</v>
      </c>
    </row>
    <row r="1074" spans="1:14">
      <c r="A1074" s="29">
        <v>45634</v>
      </c>
      <c r="B1074" s="30">
        <f t="shared" si="145"/>
        <v>12</v>
      </c>
      <c r="C1074" s="30">
        <f t="shared" si="148"/>
        <v>8</v>
      </c>
      <c r="D1074" s="26">
        <f>MATCH(WEEKDAY(A1074),そのた定義!A:A,0)</f>
        <v>2</v>
      </c>
      <c r="E1074" s="32" t="str">
        <f t="shared" ca="1" si="149"/>
        <v>日</v>
      </c>
      <c r="F1074" s="26">
        <f t="shared" si="150"/>
        <v>1</v>
      </c>
      <c r="G1074" s="26">
        <f>IF(ISNA(MATCH(A1074,祝日定義!E:E,0)),0,1)</f>
        <v>0</v>
      </c>
      <c r="H1074" s="26">
        <f>IF(ISNA(MATCH(B1074&amp;"/"&amp;C1074,そのた定義!E:E,0)), 0, 1)</f>
        <v>0</v>
      </c>
      <c r="I1074" s="23" t="b">
        <f t="shared" si="151"/>
        <v>1</v>
      </c>
      <c r="J1074" s="26">
        <v>0</v>
      </c>
      <c r="K1074" s="26" t="b">
        <f t="shared" si="146"/>
        <v>0</v>
      </c>
      <c r="L1074" s="26" t="b">
        <f t="shared" si="147"/>
        <v>0</v>
      </c>
      <c r="M1074" t="b">
        <f t="shared" si="152"/>
        <v>0</v>
      </c>
      <c r="N1074" t="b">
        <f t="shared" si="153"/>
        <v>0</v>
      </c>
    </row>
    <row r="1075" spans="1:14">
      <c r="A1075" s="29">
        <v>45635</v>
      </c>
      <c r="B1075" s="30">
        <f t="shared" si="145"/>
        <v>12</v>
      </c>
      <c r="C1075" s="30">
        <f t="shared" si="148"/>
        <v>9</v>
      </c>
      <c r="D1075" s="26">
        <f>MATCH(WEEKDAY(A1075),そのた定義!A:A,0)</f>
        <v>3</v>
      </c>
      <c r="E1075" s="26" t="str">
        <f t="shared" ca="1" si="149"/>
        <v>月</v>
      </c>
      <c r="F1075" s="26">
        <f t="shared" si="150"/>
        <v>0</v>
      </c>
      <c r="G1075" s="26">
        <f>IF(ISNA(MATCH(A1075,祝日定義!E:E,0)),0,1)</f>
        <v>0</v>
      </c>
      <c r="H1075" s="26">
        <f>IF(ISNA(MATCH(B1075&amp;"/"&amp;C1075,そのた定義!E:E,0)), 0, 1)</f>
        <v>0</v>
      </c>
      <c r="I1075" s="26" t="b">
        <f t="shared" si="151"/>
        <v>0</v>
      </c>
      <c r="J1075" s="26">
        <v>2</v>
      </c>
      <c r="K1075" s="26" t="b">
        <f t="shared" si="146"/>
        <v>0</v>
      </c>
      <c r="L1075" s="26" t="b">
        <f t="shared" si="147"/>
        <v>0</v>
      </c>
      <c r="M1075" t="b">
        <f t="shared" si="152"/>
        <v>0</v>
      </c>
      <c r="N1075" t="b">
        <f t="shared" si="153"/>
        <v>0</v>
      </c>
    </row>
    <row r="1076" spans="1:14">
      <c r="A1076" s="29">
        <v>45636</v>
      </c>
      <c r="B1076" s="30">
        <f t="shared" si="145"/>
        <v>12</v>
      </c>
      <c r="C1076" s="30">
        <f t="shared" si="148"/>
        <v>10</v>
      </c>
      <c r="D1076" s="26">
        <f>MATCH(WEEKDAY(A1076),そのた定義!A:A,0)</f>
        <v>4</v>
      </c>
      <c r="E1076" s="26" t="str">
        <f t="shared" ca="1" si="149"/>
        <v>火</v>
      </c>
      <c r="F1076" s="26">
        <f t="shared" si="150"/>
        <v>0</v>
      </c>
      <c r="G1076" s="26">
        <f>IF(ISNA(MATCH(A1076,祝日定義!E:E,0)),0,1)</f>
        <v>0</v>
      </c>
      <c r="H1076" s="26">
        <f>IF(ISNA(MATCH(B1076&amp;"/"&amp;C1076,そのた定義!E:E,0)), 0, 1)</f>
        <v>0</v>
      </c>
      <c r="I1076" s="26" t="b">
        <f t="shared" si="151"/>
        <v>0</v>
      </c>
      <c r="J1076" s="26">
        <v>0</v>
      </c>
      <c r="K1076" s="26" t="b">
        <f t="shared" si="146"/>
        <v>0</v>
      </c>
      <c r="L1076" s="26" t="b">
        <f t="shared" si="147"/>
        <v>0</v>
      </c>
      <c r="M1076" t="b">
        <f t="shared" si="152"/>
        <v>0</v>
      </c>
      <c r="N1076" t="b">
        <f t="shared" si="153"/>
        <v>0</v>
      </c>
    </row>
    <row r="1077" spans="1:14">
      <c r="A1077" s="29">
        <v>45637</v>
      </c>
      <c r="B1077" s="30">
        <f t="shared" si="145"/>
        <v>12</v>
      </c>
      <c r="C1077" s="30">
        <f t="shared" si="148"/>
        <v>11</v>
      </c>
      <c r="D1077" s="26">
        <f>MATCH(WEEKDAY(A1077),そのた定義!A:A,0)</f>
        <v>5</v>
      </c>
      <c r="E1077" s="26" t="str">
        <f t="shared" ca="1" si="149"/>
        <v>水</v>
      </c>
      <c r="F1077" s="26">
        <f t="shared" si="150"/>
        <v>0</v>
      </c>
      <c r="G1077" s="26">
        <f>IF(ISNA(MATCH(A1077,祝日定義!E:E,0)),0,1)</f>
        <v>0</v>
      </c>
      <c r="H1077" s="26">
        <f>IF(ISNA(MATCH(B1077&amp;"/"&amp;C1077,そのた定義!E:E,0)), 0, 1)</f>
        <v>0</v>
      </c>
      <c r="I1077" s="26" t="b">
        <f t="shared" si="151"/>
        <v>0</v>
      </c>
      <c r="J1077" s="26">
        <v>0</v>
      </c>
      <c r="K1077" s="26" t="b">
        <f t="shared" si="146"/>
        <v>0</v>
      </c>
      <c r="L1077" s="26" t="b">
        <f t="shared" si="147"/>
        <v>0</v>
      </c>
      <c r="M1077" t="b">
        <f t="shared" si="152"/>
        <v>0</v>
      </c>
      <c r="N1077" t="b">
        <f t="shared" si="153"/>
        <v>0</v>
      </c>
    </row>
    <row r="1078" spans="1:14">
      <c r="A1078" s="29">
        <v>45638</v>
      </c>
      <c r="B1078" s="30">
        <f t="shared" si="145"/>
        <v>12</v>
      </c>
      <c r="C1078" s="30">
        <f t="shared" si="148"/>
        <v>12</v>
      </c>
      <c r="D1078" s="26">
        <f>MATCH(WEEKDAY(A1078),そのた定義!A:A,0)</f>
        <v>6</v>
      </c>
      <c r="E1078" s="26" t="str">
        <f t="shared" ca="1" si="149"/>
        <v>木</v>
      </c>
      <c r="F1078" s="26">
        <f t="shared" si="150"/>
        <v>0</v>
      </c>
      <c r="G1078" s="26">
        <f>IF(ISNA(MATCH(A1078,祝日定義!E:E,0)),0,1)</f>
        <v>0</v>
      </c>
      <c r="H1078" s="26">
        <f>IF(ISNA(MATCH(B1078&amp;"/"&amp;C1078,そのた定義!E:E,0)), 0, 1)</f>
        <v>0</v>
      </c>
      <c r="I1078" s="26" t="b">
        <f t="shared" si="151"/>
        <v>0</v>
      </c>
      <c r="J1078" s="26">
        <v>0</v>
      </c>
      <c r="K1078" s="26" t="b">
        <f t="shared" si="146"/>
        <v>0</v>
      </c>
      <c r="L1078" s="26" t="b">
        <f t="shared" si="147"/>
        <v>0</v>
      </c>
      <c r="M1078" t="b">
        <f t="shared" si="152"/>
        <v>0</v>
      </c>
      <c r="N1078" t="b">
        <f t="shared" si="153"/>
        <v>0</v>
      </c>
    </row>
    <row r="1079" spans="1:14">
      <c r="A1079" s="29">
        <v>45639</v>
      </c>
      <c r="B1079" s="30">
        <f t="shared" si="145"/>
        <v>12</v>
      </c>
      <c r="C1079" s="30">
        <f t="shared" si="148"/>
        <v>13</v>
      </c>
      <c r="D1079" s="26">
        <f>MATCH(WEEKDAY(A1079),そのた定義!A:A,0)</f>
        <v>7</v>
      </c>
      <c r="E1079" s="26" t="str">
        <f t="shared" ca="1" si="149"/>
        <v>金</v>
      </c>
      <c r="F1079" s="26">
        <f t="shared" si="150"/>
        <v>0</v>
      </c>
      <c r="G1079" s="26">
        <f>IF(ISNA(MATCH(A1079,祝日定義!E:E,0)),0,1)</f>
        <v>0</v>
      </c>
      <c r="H1079" s="26">
        <f>IF(ISNA(MATCH(B1079&amp;"/"&amp;C1079,そのた定義!E:E,0)), 0, 1)</f>
        <v>0</v>
      </c>
      <c r="I1079" s="26" t="b">
        <f t="shared" si="151"/>
        <v>0</v>
      </c>
      <c r="J1079" s="26">
        <v>0</v>
      </c>
      <c r="K1079" s="26" t="b">
        <f t="shared" si="146"/>
        <v>0</v>
      </c>
      <c r="L1079" s="26" t="b">
        <f t="shared" si="147"/>
        <v>0</v>
      </c>
      <c r="M1079" t="b">
        <f t="shared" si="152"/>
        <v>0</v>
      </c>
      <c r="N1079" t="b">
        <f t="shared" si="153"/>
        <v>0</v>
      </c>
    </row>
    <row r="1080" spans="1:14">
      <c r="A1080" s="29">
        <v>45640</v>
      </c>
      <c r="B1080" s="30">
        <f t="shared" si="145"/>
        <v>12</v>
      </c>
      <c r="C1080" s="30">
        <f t="shared" si="148"/>
        <v>14</v>
      </c>
      <c r="D1080" s="26">
        <f>MATCH(WEEKDAY(A1080),そのた定義!A:A,0)</f>
        <v>8</v>
      </c>
      <c r="E1080" s="33" t="str">
        <f t="shared" ca="1" si="149"/>
        <v>土</v>
      </c>
      <c r="F1080" s="26">
        <f t="shared" si="150"/>
        <v>1</v>
      </c>
      <c r="G1080" s="26">
        <f>IF(ISNA(MATCH(A1080,祝日定義!E:E,0)),0,1)</f>
        <v>0</v>
      </c>
      <c r="H1080" s="26">
        <f>IF(ISNA(MATCH(B1080&amp;"/"&amp;C1080,そのた定義!E:E,0)), 0, 1)</f>
        <v>0</v>
      </c>
      <c r="I1080" s="23" t="b">
        <f t="shared" si="151"/>
        <v>1</v>
      </c>
      <c r="J1080" s="26">
        <v>0</v>
      </c>
      <c r="K1080" s="26" t="b">
        <f t="shared" si="146"/>
        <v>0</v>
      </c>
      <c r="L1080" s="26" t="b">
        <f t="shared" si="147"/>
        <v>0</v>
      </c>
      <c r="M1080" t="b">
        <f t="shared" si="152"/>
        <v>0</v>
      </c>
      <c r="N1080" t="b">
        <f t="shared" si="153"/>
        <v>0</v>
      </c>
    </row>
    <row r="1081" spans="1:14">
      <c r="A1081" s="29">
        <v>45641</v>
      </c>
      <c r="B1081" s="30">
        <f t="shared" si="145"/>
        <v>12</v>
      </c>
      <c r="C1081" s="30">
        <f t="shared" si="148"/>
        <v>15</v>
      </c>
      <c r="D1081" s="26">
        <f>MATCH(WEEKDAY(A1081),そのた定義!A:A,0)</f>
        <v>2</v>
      </c>
      <c r="E1081" s="32" t="str">
        <f t="shared" ca="1" si="149"/>
        <v>日</v>
      </c>
      <c r="F1081" s="26">
        <f t="shared" si="150"/>
        <v>1</v>
      </c>
      <c r="G1081" s="26">
        <f>IF(ISNA(MATCH(A1081,祝日定義!E:E,0)),0,1)</f>
        <v>0</v>
      </c>
      <c r="H1081" s="26">
        <f>IF(ISNA(MATCH(B1081&amp;"/"&amp;C1081,そのた定義!E:E,0)), 0, 1)</f>
        <v>0</v>
      </c>
      <c r="I1081" s="23" t="b">
        <f t="shared" si="151"/>
        <v>1</v>
      </c>
      <c r="J1081" s="26">
        <v>0</v>
      </c>
      <c r="K1081" s="26" t="b">
        <f t="shared" si="146"/>
        <v>0</v>
      </c>
      <c r="L1081" s="26" t="b">
        <f t="shared" si="147"/>
        <v>0</v>
      </c>
      <c r="M1081" t="b">
        <f t="shared" si="152"/>
        <v>0</v>
      </c>
      <c r="N1081" t="b">
        <f t="shared" si="153"/>
        <v>0</v>
      </c>
    </row>
    <row r="1082" spans="1:14">
      <c r="A1082" s="29">
        <v>45642</v>
      </c>
      <c r="B1082" s="30">
        <f t="shared" si="145"/>
        <v>12</v>
      </c>
      <c r="C1082" s="30">
        <f t="shared" si="148"/>
        <v>16</v>
      </c>
      <c r="D1082" s="26">
        <f>MATCH(WEEKDAY(A1082),そのた定義!A:A,0)</f>
        <v>3</v>
      </c>
      <c r="E1082" s="26" t="str">
        <f t="shared" ca="1" si="149"/>
        <v>月</v>
      </c>
      <c r="F1082" s="26">
        <f t="shared" si="150"/>
        <v>0</v>
      </c>
      <c r="G1082" s="26">
        <f>IF(ISNA(MATCH(A1082,祝日定義!E:E,0)),0,1)</f>
        <v>0</v>
      </c>
      <c r="H1082" s="26">
        <f>IF(ISNA(MATCH(B1082&amp;"/"&amp;C1082,そのた定義!E:E,0)), 0, 1)</f>
        <v>0</v>
      </c>
      <c r="I1082" s="26" t="b">
        <f t="shared" si="151"/>
        <v>0</v>
      </c>
      <c r="J1082" s="26">
        <v>2</v>
      </c>
      <c r="K1082" s="26" t="b">
        <f t="shared" si="146"/>
        <v>0</v>
      </c>
      <c r="L1082" s="26" t="b">
        <f t="shared" si="147"/>
        <v>0</v>
      </c>
      <c r="M1082" t="b">
        <f t="shared" si="152"/>
        <v>0</v>
      </c>
      <c r="N1082" t="b">
        <f t="shared" si="153"/>
        <v>0</v>
      </c>
    </row>
    <row r="1083" spans="1:14">
      <c r="A1083" s="29">
        <v>45643</v>
      </c>
      <c r="B1083" s="30">
        <f t="shared" si="145"/>
        <v>12</v>
      </c>
      <c r="C1083" s="30">
        <f t="shared" si="148"/>
        <v>17</v>
      </c>
      <c r="D1083" s="26">
        <f>MATCH(WEEKDAY(A1083),そのた定義!A:A,0)</f>
        <v>4</v>
      </c>
      <c r="E1083" s="26" t="str">
        <f t="shared" ca="1" si="149"/>
        <v>火</v>
      </c>
      <c r="F1083" s="26">
        <f t="shared" si="150"/>
        <v>0</v>
      </c>
      <c r="G1083" s="26">
        <f>IF(ISNA(MATCH(A1083,祝日定義!E:E,0)),0,1)</f>
        <v>0</v>
      </c>
      <c r="H1083" s="26">
        <f>IF(ISNA(MATCH(B1083&amp;"/"&amp;C1083,そのた定義!E:E,0)), 0, 1)</f>
        <v>0</v>
      </c>
      <c r="I1083" s="26" t="b">
        <f t="shared" si="151"/>
        <v>0</v>
      </c>
      <c r="J1083" s="26">
        <v>0</v>
      </c>
      <c r="K1083" s="26" t="b">
        <f t="shared" si="146"/>
        <v>0</v>
      </c>
      <c r="L1083" s="26" t="b">
        <f t="shared" si="147"/>
        <v>0</v>
      </c>
      <c r="M1083" t="b">
        <f t="shared" si="152"/>
        <v>0</v>
      </c>
      <c r="N1083" t="b">
        <f t="shared" si="153"/>
        <v>0</v>
      </c>
    </row>
    <row r="1084" spans="1:14">
      <c r="A1084" s="29">
        <v>45644</v>
      </c>
      <c r="B1084" s="30">
        <f t="shared" si="145"/>
        <v>12</v>
      </c>
      <c r="C1084" s="30">
        <f t="shared" si="148"/>
        <v>18</v>
      </c>
      <c r="D1084" s="26">
        <f>MATCH(WEEKDAY(A1084),そのた定義!A:A,0)</f>
        <v>5</v>
      </c>
      <c r="E1084" s="26" t="str">
        <f t="shared" ca="1" si="149"/>
        <v>水</v>
      </c>
      <c r="F1084" s="26">
        <f t="shared" si="150"/>
        <v>0</v>
      </c>
      <c r="G1084" s="26">
        <f>IF(ISNA(MATCH(A1084,祝日定義!E:E,0)),0,1)</f>
        <v>0</v>
      </c>
      <c r="H1084" s="26">
        <f>IF(ISNA(MATCH(B1084&amp;"/"&amp;C1084,そのた定義!E:E,0)), 0, 1)</f>
        <v>0</v>
      </c>
      <c r="I1084" s="26" t="b">
        <f t="shared" si="151"/>
        <v>0</v>
      </c>
      <c r="J1084" s="26">
        <v>0</v>
      </c>
      <c r="K1084" s="26" t="b">
        <f t="shared" si="146"/>
        <v>0</v>
      </c>
      <c r="L1084" s="26" t="b">
        <f t="shared" si="147"/>
        <v>0</v>
      </c>
      <c r="M1084" t="b">
        <f t="shared" si="152"/>
        <v>0</v>
      </c>
      <c r="N1084" t="b">
        <f t="shared" si="153"/>
        <v>0</v>
      </c>
    </row>
    <row r="1085" spans="1:14">
      <c r="A1085" s="29">
        <v>45645</v>
      </c>
      <c r="B1085" s="30">
        <f t="shared" si="145"/>
        <v>12</v>
      </c>
      <c r="C1085" s="30">
        <f t="shared" si="148"/>
        <v>19</v>
      </c>
      <c r="D1085" s="26">
        <f>MATCH(WEEKDAY(A1085),そのた定義!A:A,0)</f>
        <v>6</v>
      </c>
      <c r="E1085" s="26" t="str">
        <f t="shared" ca="1" si="149"/>
        <v>木</v>
      </c>
      <c r="F1085" s="26">
        <f t="shared" si="150"/>
        <v>0</v>
      </c>
      <c r="G1085" s="26">
        <f>IF(ISNA(MATCH(A1085,祝日定義!E:E,0)),0,1)</f>
        <v>0</v>
      </c>
      <c r="H1085" s="26">
        <f>IF(ISNA(MATCH(B1085&amp;"/"&amp;C1085,そのた定義!E:E,0)), 0, 1)</f>
        <v>0</v>
      </c>
      <c r="I1085" s="26" t="b">
        <f t="shared" si="151"/>
        <v>0</v>
      </c>
      <c r="J1085" s="26">
        <v>0</v>
      </c>
      <c r="K1085" s="26" t="b">
        <f t="shared" si="146"/>
        <v>0</v>
      </c>
      <c r="L1085" s="26" t="b">
        <f t="shared" si="147"/>
        <v>0</v>
      </c>
      <c r="M1085" t="b">
        <f t="shared" si="152"/>
        <v>0</v>
      </c>
      <c r="N1085" t="b">
        <f t="shared" si="153"/>
        <v>0</v>
      </c>
    </row>
    <row r="1086" spans="1:14">
      <c r="A1086" s="29">
        <v>45646</v>
      </c>
      <c r="B1086" s="30">
        <f t="shared" si="145"/>
        <v>12</v>
      </c>
      <c r="C1086" s="30">
        <f t="shared" si="148"/>
        <v>20</v>
      </c>
      <c r="D1086" s="26">
        <f>MATCH(WEEKDAY(A1086),そのた定義!A:A,0)</f>
        <v>7</v>
      </c>
      <c r="E1086" s="26" t="str">
        <f t="shared" ca="1" si="149"/>
        <v>金</v>
      </c>
      <c r="F1086" s="26">
        <f t="shared" si="150"/>
        <v>0</v>
      </c>
      <c r="G1086" s="26">
        <f>IF(ISNA(MATCH(A1086,祝日定義!E:E,0)),0,1)</f>
        <v>0</v>
      </c>
      <c r="H1086" s="26">
        <f>IF(ISNA(MATCH(B1086&amp;"/"&amp;C1086,そのた定義!E:E,0)), 0, 1)</f>
        <v>0</v>
      </c>
      <c r="I1086" s="26" t="b">
        <f t="shared" si="151"/>
        <v>0</v>
      </c>
      <c r="J1086" s="26">
        <v>0</v>
      </c>
      <c r="K1086" s="26" t="b">
        <f t="shared" si="146"/>
        <v>0</v>
      </c>
      <c r="L1086" s="26" t="b">
        <f t="shared" si="147"/>
        <v>0</v>
      </c>
      <c r="M1086" t="b">
        <f t="shared" si="152"/>
        <v>0</v>
      </c>
      <c r="N1086" t="b">
        <f t="shared" si="153"/>
        <v>0</v>
      </c>
    </row>
    <row r="1087" spans="1:14">
      <c r="A1087" s="29">
        <v>45647</v>
      </c>
      <c r="B1087" s="30">
        <f t="shared" si="145"/>
        <v>12</v>
      </c>
      <c r="C1087" s="30">
        <f t="shared" si="148"/>
        <v>21</v>
      </c>
      <c r="D1087" s="26">
        <f>MATCH(WEEKDAY(A1087),そのた定義!A:A,0)</f>
        <v>8</v>
      </c>
      <c r="E1087" s="33" t="str">
        <f t="shared" ca="1" si="149"/>
        <v>土</v>
      </c>
      <c r="F1087" s="26">
        <f t="shared" si="150"/>
        <v>1</v>
      </c>
      <c r="G1087" s="26">
        <f>IF(ISNA(MATCH(A1087,祝日定義!E:E,0)),0,1)</f>
        <v>0</v>
      </c>
      <c r="H1087" s="26">
        <f>IF(ISNA(MATCH(B1087&amp;"/"&amp;C1087,そのた定義!E:E,0)), 0, 1)</f>
        <v>0</v>
      </c>
      <c r="I1087" s="23" t="b">
        <f t="shared" si="151"/>
        <v>1</v>
      </c>
      <c r="J1087" s="26">
        <v>0</v>
      </c>
      <c r="K1087" s="26" t="b">
        <f t="shared" si="146"/>
        <v>0</v>
      </c>
      <c r="L1087" s="26" t="b">
        <f t="shared" si="147"/>
        <v>0</v>
      </c>
      <c r="M1087" t="b">
        <f t="shared" si="152"/>
        <v>0</v>
      </c>
      <c r="N1087" t="b">
        <f t="shared" si="153"/>
        <v>0</v>
      </c>
    </row>
    <row r="1088" spans="1:14">
      <c r="A1088" s="29">
        <v>45648</v>
      </c>
      <c r="B1088" s="30">
        <f t="shared" si="145"/>
        <v>12</v>
      </c>
      <c r="C1088" s="30">
        <f t="shared" si="148"/>
        <v>22</v>
      </c>
      <c r="D1088" s="26">
        <f>MATCH(WEEKDAY(A1088),そのた定義!A:A,0)</f>
        <v>2</v>
      </c>
      <c r="E1088" s="32" t="str">
        <f t="shared" ca="1" si="149"/>
        <v>日</v>
      </c>
      <c r="F1088" s="26">
        <f t="shared" si="150"/>
        <v>1</v>
      </c>
      <c r="G1088" s="26">
        <f>IF(ISNA(MATCH(A1088,祝日定義!E:E,0)),0,1)</f>
        <v>0</v>
      </c>
      <c r="H1088" s="26">
        <f>IF(ISNA(MATCH(B1088&amp;"/"&amp;C1088,そのた定義!E:E,0)), 0, 1)</f>
        <v>0</v>
      </c>
      <c r="I1088" s="23" t="b">
        <f t="shared" si="151"/>
        <v>1</v>
      </c>
      <c r="J1088" s="26">
        <v>0</v>
      </c>
      <c r="K1088" s="26" t="b">
        <f t="shared" si="146"/>
        <v>0</v>
      </c>
      <c r="L1088" s="26" t="b">
        <f t="shared" si="147"/>
        <v>0</v>
      </c>
      <c r="M1088" t="b">
        <f t="shared" si="152"/>
        <v>0</v>
      </c>
      <c r="N1088" t="b">
        <f t="shared" si="153"/>
        <v>0</v>
      </c>
    </row>
    <row r="1089" spans="1:14">
      <c r="A1089" s="29">
        <v>45649</v>
      </c>
      <c r="B1089" s="30">
        <f t="shared" si="145"/>
        <v>12</v>
      </c>
      <c r="C1089" s="30">
        <f t="shared" si="148"/>
        <v>23</v>
      </c>
      <c r="D1089" s="26">
        <f>MATCH(WEEKDAY(A1089),そのた定義!A:A,0)</f>
        <v>3</v>
      </c>
      <c r="E1089" s="26" t="str">
        <f t="shared" ca="1" si="149"/>
        <v>月</v>
      </c>
      <c r="F1089" s="26">
        <f t="shared" si="150"/>
        <v>0</v>
      </c>
      <c r="G1089" s="26">
        <f>IF(ISNA(MATCH(A1089,祝日定義!E:E,0)),0,1)</f>
        <v>0</v>
      </c>
      <c r="H1089" s="26">
        <f>IF(ISNA(MATCH(B1089&amp;"/"&amp;C1089,そのた定義!E:E,0)), 0, 1)</f>
        <v>0</v>
      </c>
      <c r="I1089" s="26" t="b">
        <f t="shared" si="151"/>
        <v>0</v>
      </c>
      <c r="J1089" s="26">
        <v>2</v>
      </c>
      <c r="K1089" s="26" t="b">
        <f t="shared" si="146"/>
        <v>0</v>
      </c>
      <c r="L1089" s="26" t="b">
        <f t="shared" si="147"/>
        <v>0</v>
      </c>
      <c r="M1089" t="b">
        <f t="shared" si="152"/>
        <v>0</v>
      </c>
      <c r="N1089" t="b">
        <f t="shared" si="153"/>
        <v>0</v>
      </c>
    </row>
    <row r="1090" spans="1:14">
      <c r="A1090" s="29">
        <v>45650</v>
      </c>
      <c r="B1090" s="30">
        <f t="shared" ref="B1090:B1153" si="154">MONTH(A1090)</f>
        <v>12</v>
      </c>
      <c r="C1090" s="30">
        <f t="shared" si="148"/>
        <v>24</v>
      </c>
      <c r="D1090" s="26">
        <f>MATCH(WEEKDAY(A1090),そのた定義!A:A,0)</f>
        <v>4</v>
      </c>
      <c r="E1090" s="26" t="str">
        <f t="shared" ca="1" si="149"/>
        <v>火</v>
      </c>
      <c r="F1090" s="26">
        <f t="shared" si="150"/>
        <v>0</v>
      </c>
      <c r="G1090" s="26">
        <f>IF(ISNA(MATCH(A1090,祝日定義!E:E,0)),0,1)</f>
        <v>0</v>
      </c>
      <c r="H1090" s="26">
        <f>IF(ISNA(MATCH(B1090&amp;"/"&amp;C1090,そのた定義!E:E,0)), 0, 1)</f>
        <v>0</v>
      </c>
      <c r="I1090" s="26" t="b">
        <f t="shared" si="151"/>
        <v>0</v>
      </c>
      <c r="J1090" s="26">
        <v>0</v>
      </c>
      <c r="K1090" s="26" t="b">
        <f t="shared" ref="K1090:K1153" si="155">AND(C1090&gt;25,DAY(A1090-J1090)&lt;=25)</f>
        <v>0</v>
      </c>
      <c r="L1090" s="26" t="b">
        <f t="shared" ref="L1090:L1153" si="156">C1090=25</f>
        <v>0</v>
      </c>
      <c r="M1090" t="b">
        <f t="shared" si="152"/>
        <v>0</v>
      </c>
      <c r="N1090" t="b">
        <f t="shared" si="153"/>
        <v>0</v>
      </c>
    </row>
    <row r="1091" spans="1:14">
      <c r="A1091" s="29">
        <v>45651</v>
      </c>
      <c r="B1091" s="30">
        <f t="shared" si="154"/>
        <v>12</v>
      </c>
      <c r="C1091" s="30">
        <f t="shared" ref="C1091:C1154" si="157">DAY(A1091)</f>
        <v>25</v>
      </c>
      <c r="D1091" s="26">
        <f>MATCH(WEEKDAY(A1091),そのた定義!A:A,0)</f>
        <v>5</v>
      </c>
      <c r="E1091" s="26" t="str">
        <f t="shared" ref="E1091:E1154" ca="1" si="158">INDIRECT("そのた定義!"&amp;"B"&amp;D1091)</f>
        <v>水</v>
      </c>
      <c r="F1091" s="26">
        <f t="shared" ref="F1091:F1154" si="159">IF(OR(D1091=8,D1091=2),1,0)</f>
        <v>0</v>
      </c>
      <c r="G1091" s="26">
        <f>IF(ISNA(MATCH(A1091,祝日定義!E:E,0)),0,1)</f>
        <v>0</v>
      </c>
      <c r="H1091" s="26">
        <f>IF(ISNA(MATCH(B1091&amp;"/"&amp;C1091,そのた定義!E:E,0)), 0, 1)</f>
        <v>0</v>
      </c>
      <c r="I1091" s="26" t="b">
        <f t="shared" ref="I1091:I1154" si="160">SUM(F1091:H1091)&gt;0</f>
        <v>0</v>
      </c>
      <c r="J1091" s="26">
        <v>0</v>
      </c>
      <c r="K1091" s="26" t="b">
        <f t="shared" si="155"/>
        <v>0</v>
      </c>
      <c r="L1091" s="23" t="b">
        <f t="shared" si="156"/>
        <v>1</v>
      </c>
      <c r="M1091" t="b">
        <f t="shared" ref="M1091:M1154" si="161">B1091&lt;&gt;MONTH(A1091-J1091)</f>
        <v>0</v>
      </c>
      <c r="N1091" t="b">
        <f t="shared" ref="N1091:N1154" si="162">B1091&lt;&gt;MONTH(A1091+1)</f>
        <v>0</v>
      </c>
    </row>
    <row r="1092" spans="1:14">
      <c r="A1092" s="29">
        <v>45652</v>
      </c>
      <c r="B1092" s="30">
        <f t="shared" si="154"/>
        <v>12</v>
      </c>
      <c r="C1092" s="30">
        <f t="shared" si="157"/>
        <v>26</v>
      </c>
      <c r="D1092" s="26">
        <f>MATCH(WEEKDAY(A1092),そのた定義!A:A,0)</f>
        <v>6</v>
      </c>
      <c r="E1092" s="26" t="str">
        <f t="shared" ca="1" si="158"/>
        <v>木</v>
      </c>
      <c r="F1092" s="26">
        <f t="shared" si="159"/>
        <v>0</v>
      </c>
      <c r="G1092" s="26">
        <f>IF(ISNA(MATCH(A1092,祝日定義!E:E,0)),0,1)</f>
        <v>0</v>
      </c>
      <c r="H1092" s="26">
        <f>IF(ISNA(MATCH(B1092&amp;"/"&amp;C1092,そのた定義!E:E,0)), 0, 1)</f>
        <v>0</v>
      </c>
      <c r="I1092" s="26" t="b">
        <f t="shared" si="160"/>
        <v>0</v>
      </c>
      <c r="J1092" s="26">
        <v>0</v>
      </c>
      <c r="K1092" s="26" t="b">
        <f t="shared" si="155"/>
        <v>0</v>
      </c>
      <c r="L1092" s="26" t="b">
        <f t="shared" si="156"/>
        <v>0</v>
      </c>
      <c r="M1092" t="b">
        <f t="shared" si="161"/>
        <v>0</v>
      </c>
      <c r="N1092" t="b">
        <f t="shared" si="162"/>
        <v>0</v>
      </c>
    </row>
    <row r="1093" spans="1:14">
      <c r="A1093" s="29">
        <v>45653</v>
      </c>
      <c r="B1093" s="30">
        <f t="shared" si="154"/>
        <v>12</v>
      </c>
      <c r="C1093" s="30">
        <f t="shared" si="157"/>
        <v>27</v>
      </c>
      <c r="D1093" s="26">
        <f>MATCH(WEEKDAY(A1093),そのた定義!A:A,0)</f>
        <v>7</v>
      </c>
      <c r="E1093" s="26" t="str">
        <f t="shared" ca="1" si="158"/>
        <v>金</v>
      </c>
      <c r="F1093" s="26">
        <f t="shared" si="159"/>
        <v>0</v>
      </c>
      <c r="G1093" s="26">
        <f>IF(ISNA(MATCH(A1093,祝日定義!E:E,0)),0,1)</f>
        <v>0</v>
      </c>
      <c r="H1093" s="26">
        <f>IF(ISNA(MATCH(B1093&amp;"/"&amp;C1093,そのた定義!E:E,0)), 0, 1)</f>
        <v>0</v>
      </c>
      <c r="I1093" s="26" t="b">
        <f t="shared" si="160"/>
        <v>0</v>
      </c>
      <c r="J1093" s="26">
        <v>0</v>
      </c>
      <c r="K1093" s="26" t="b">
        <f t="shared" si="155"/>
        <v>0</v>
      </c>
      <c r="L1093" s="26" t="b">
        <f t="shared" si="156"/>
        <v>0</v>
      </c>
      <c r="M1093" t="b">
        <f t="shared" si="161"/>
        <v>0</v>
      </c>
      <c r="N1093" t="b">
        <f t="shared" si="162"/>
        <v>0</v>
      </c>
    </row>
    <row r="1094" spans="1:14">
      <c r="A1094" s="29">
        <v>45654</v>
      </c>
      <c r="B1094" s="30">
        <f t="shared" si="154"/>
        <v>12</v>
      </c>
      <c r="C1094" s="30">
        <f t="shared" si="157"/>
        <v>28</v>
      </c>
      <c r="D1094" s="26">
        <f>MATCH(WEEKDAY(A1094),そのた定義!A:A,0)</f>
        <v>8</v>
      </c>
      <c r="E1094" s="33" t="str">
        <f t="shared" ca="1" si="158"/>
        <v>土</v>
      </c>
      <c r="F1094" s="26">
        <f t="shared" si="159"/>
        <v>1</v>
      </c>
      <c r="G1094" s="26">
        <f>IF(ISNA(MATCH(A1094,祝日定義!E:E,0)),0,1)</f>
        <v>0</v>
      </c>
      <c r="H1094" s="26">
        <f>IF(ISNA(MATCH(B1094&amp;"/"&amp;C1094,そのた定義!E:E,0)), 0, 1)</f>
        <v>0</v>
      </c>
      <c r="I1094" s="23" t="b">
        <f t="shared" si="160"/>
        <v>1</v>
      </c>
      <c r="J1094" s="26">
        <v>0</v>
      </c>
      <c r="K1094" s="26" t="b">
        <f t="shared" si="155"/>
        <v>0</v>
      </c>
      <c r="L1094" s="26" t="b">
        <f t="shared" si="156"/>
        <v>0</v>
      </c>
      <c r="M1094" t="b">
        <f t="shared" si="161"/>
        <v>0</v>
      </c>
      <c r="N1094" t="b">
        <f t="shared" si="162"/>
        <v>0</v>
      </c>
    </row>
    <row r="1095" spans="1:14">
      <c r="A1095" s="29">
        <v>45655</v>
      </c>
      <c r="B1095" s="30">
        <f t="shared" si="154"/>
        <v>12</v>
      </c>
      <c r="C1095" s="30">
        <f t="shared" si="157"/>
        <v>29</v>
      </c>
      <c r="D1095" s="26">
        <f>MATCH(WEEKDAY(A1095),そのた定義!A:A,0)</f>
        <v>2</v>
      </c>
      <c r="E1095" s="32" t="str">
        <f t="shared" ca="1" si="158"/>
        <v>日</v>
      </c>
      <c r="F1095" s="26">
        <f t="shared" si="159"/>
        <v>1</v>
      </c>
      <c r="G1095" s="26">
        <f>IF(ISNA(MATCH(A1095,祝日定義!E:E,0)),0,1)</f>
        <v>0</v>
      </c>
      <c r="H1095" s="26">
        <f>IF(ISNA(MATCH(B1095&amp;"/"&amp;C1095,そのた定義!E:E,0)), 0, 1)</f>
        <v>0</v>
      </c>
      <c r="I1095" s="23" t="b">
        <f t="shared" si="160"/>
        <v>1</v>
      </c>
      <c r="J1095" s="26">
        <v>0</v>
      </c>
      <c r="K1095" s="26" t="b">
        <f t="shared" si="155"/>
        <v>0</v>
      </c>
      <c r="L1095" s="26" t="b">
        <f t="shared" si="156"/>
        <v>0</v>
      </c>
      <c r="M1095" t="b">
        <f t="shared" si="161"/>
        <v>0</v>
      </c>
      <c r="N1095" t="b">
        <f t="shared" si="162"/>
        <v>0</v>
      </c>
    </row>
    <row r="1096" spans="1:14">
      <c r="A1096" s="29">
        <v>45656</v>
      </c>
      <c r="B1096" s="30">
        <f t="shared" si="154"/>
        <v>12</v>
      </c>
      <c r="C1096" s="30">
        <f t="shared" si="157"/>
        <v>30</v>
      </c>
      <c r="D1096" s="26">
        <f>MATCH(WEEKDAY(A1096),そのた定義!A:A,0)</f>
        <v>3</v>
      </c>
      <c r="E1096" s="31" t="str">
        <f t="shared" ca="1" si="158"/>
        <v>月</v>
      </c>
      <c r="F1096" s="26">
        <f t="shared" si="159"/>
        <v>0</v>
      </c>
      <c r="G1096" s="26">
        <f>IF(ISNA(MATCH(A1096,祝日定義!E:E,0)),0,1)</f>
        <v>0</v>
      </c>
      <c r="H1096" s="26">
        <f>IF(ISNA(MATCH(B1096&amp;"/"&amp;C1096,そのた定義!E:E,0)), 0, 1)</f>
        <v>1</v>
      </c>
      <c r="I1096" s="23" t="b">
        <f t="shared" si="160"/>
        <v>1</v>
      </c>
      <c r="J1096" s="26">
        <v>0</v>
      </c>
      <c r="K1096" s="26" t="b">
        <f t="shared" si="155"/>
        <v>0</v>
      </c>
      <c r="L1096" s="26" t="b">
        <f t="shared" si="156"/>
        <v>0</v>
      </c>
      <c r="M1096" t="b">
        <f t="shared" si="161"/>
        <v>0</v>
      </c>
      <c r="N1096" t="b">
        <f t="shared" si="162"/>
        <v>0</v>
      </c>
    </row>
    <row r="1097" spans="1:14">
      <c r="A1097" s="29">
        <v>45657</v>
      </c>
      <c r="B1097" s="30">
        <f t="shared" si="154"/>
        <v>12</v>
      </c>
      <c r="C1097" s="30">
        <f t="shared" si="157"/>
        <v>31</v>
      </c>
      <c r="D1097" s="26">
        <f>MATCH(WEEKDAY(A1097),そのた定義!A:A,0)</f>
        <v>4</v>
      </c>
      <c r="E1097" s="31" t="str">
        <f t="shared" ca="1" si="158"/>
        <v>火</v>
      </c>
      <c r="F1097" s="26">
        <f t="shared" si="159"/>
        <v>0</v>
      </c>
      <c r="G1097" s="26">
        <f>IF(ISNA(MATCH(A1097,祝日定義!E:E,0)),0,1)</f>
        <v>0</v>
      </c>
      <c r="H1097" s="26">
        <f>IF(ISNA(MATCH(B1097&amp;"/"&amp;C1097,そのた定義!E:E,0)), 0, 1)</f>
        <v>1</v>
      </c>
      <c r="I1097" s="23" t="b">
        <f t="shared" si="160"/>
        <v>1</v>
      </c>
      <c r="J1097" s="26">
        <v>0</v>
      </c>
      <c r="K1097" s="26" t="b">
        <f t="shared" si="155"/>
        <v>0</v>
      </c>
      <c r="L1097" s="26" t="b">
        <f t="shared" si="156"/>
        <v>0</v>
      </c>
      <c r="M1097" t="b">
        <f t="shared" si="161"/>
        <v>0</v>
      </c>
      <c r="N1097" t="b">
        <f t="shared" si="162"/>
        <v>1</v>
      </c>
    </row>
    <row r="1098" spans="1:14">
      <c r="A1098" s="29">
        <v>45658</v>
      </c>
      <c r="B1098" s="30">
        <f t="shared" si="154"/>
        <v>1</v>
      </c>
      <c r="C1098" s="30">
        <f t="shared" si="157"/>
        <v>1</v>
      </c>
      <c r="D1098" s="26">
        <f>MATCH(WEEKDAY(A1098),そのた定義!A:A,0)</f>
        <v>5</v>
      </c>
      <c r="E1098" s="31" t="str">
        <f t="shared" ca="1" si="158"/>
        <v>水</v>
      </c>
      <c r="F1098" s="26">
        <f t="shared" si="159"/>
        <v>0</v>
      </c>
      <c r="G1098" s="26">
        <f>IF(ISNA(MATCH(A1098,祝日定義!E:E,0)),0,1)</f>
        <v>1</v>
      </c>
      <c r="H1098" s="26">
        <f>IF(ISNA(MATCH(B1098&amp;"/"&amp;C1098,そのた定義!E:E,0)), 0, 1)</f>
        <v>1</v>
      </c>
      <c r="I1098" s="23" t="b">
        <f t="shared" si="160"/>
        <v>1</v>
      </c>
      <c r="J1098" s="26">
        <v>0</v>
      </c>
      <c r="K1098" s="26" t="b">
        <f t="shared" si="155"/>
        <v>0</v>
      </c>
      <c r="L1098" s="26" t="b">
        <f t="shared" si="156"/>
        <v>0</v>
      </c>
      <c r="M1098" t="b">
        <f t="shared" si="161"/>
        <v>0</v>
      </c>
      <c r="N1098" t="b">
        <f t="shared" si="162"/>
        <v>0</v>
      </c>
    </row>
    <row r="1099" spans="1:14">
      <c r="A1099" s="29">
        <v>45659</v>
      </c>
      <c r="B1099" s="30">
        <f t="shared" si="154"/>
        <v>1</v>
      </c>
      <c r="C1099" s="30">
        <f t="shared" si="157"/>
        <v>2</v>
      </c>
      <c r="D1099" s="26">
        <f>MATCH(WEEKDAY(A1099),そのた定義!A:A,0)</f>
        <v>6</v>
      </c>
      <c r="E1099" s="31" t="str">
        <f t="shared" ca="1" si="158"/>
        <v>木</v>
      </c>
      <c r="F1099" s="26">
        <f t="shared" si="159"/>
        <v>0</v>
      </c>
      <c r="G1099" s="26">
        <f>IF(ISNA(MATCH(A1099,祝日定義!E:E,0)),0,1)</f>
        <v>0</v>
      </c>
      <c r="H1099" s="26">
        <f>IF(ISNA(MATCH(B1099&amp;"/"&amp;C1099,そのた定義!E:E,0)), 0, 1)</f>
        <v>1</v>
      </c>
      <c r="I1099" s="23" t="b">
        <f t="shared" si="160"/>
        <v>1</v>
      </c>
      <c r="J1099" s="26">
        <v>0</v>
      </c>
      <c r="K1099" s="26" t="b">
        <f t="shared" si="155"/>
        <v>0</v>
      </c>
      <c r="L1099" s="26" t="b">
        <f t="shared" si="156"/>
        <v>0</v>
      </c>
      <c r="M1099" t="b">
        <f t="shared" si="161"/>
        <v>0</v>
      </c>
      <c r="N1099" t="b">
        <f t="shared" si="162"/>
        <v>0</v>
      </c>
    </row>
    <row r="1100" spans="1:14">
      <c r="A1100" s="29">
        <v>45660</v>
      </c>
      <c r="B1100" s="30">
        <f t="shared" si="154"/>
        <v>1</v>
      </c>
      <c r="C1100" s="30">
        <f t="shared" si="157"/>
        <v>3</v>
      </c>
      <c r="D1100" s="26">
        <f>MATCH(WEEKDAY(A1100),そのた定義!A:A,0)</f>
        <v>7</v>
      </c>
      <c r="E1100" s="31" t="str">
        <f t="shared" ca="1" si="158"/>
        <v>金</v>
      </c>
      <c r="F1100" s="26">
        <f t="shared" si="159"/>
        <v>0</v>
      </c>
      <c r="G1100" s="26">
        <f>IF(ISNA(MATCH(A1100,祝日定義!E:E,0)),0,1)</f>
        <v>0</v>
      </c>
      <c r="H1100" s="26">
        <f>IF(ISNA(MATCH(B1100&amp;"/"&amp;C1100,そのた定義!E:E,0)), 0, 1)</f>
        <v>1</v>
      </c>
      <c r="I1100" s="23" t="b">
        <f t="shared" si="160"/>
        <v>1</v>
      </c>
      <c r="J1100" s="26">
        <v>0</v>
      </c>
      <c r="K1100" s="26" t="b">
        <f t="shared" si="155"/>
        <v>0</v>
      </c>
      <c r="L1100" s="26" t="b">
        <f t="shared" si="156"/>
        <v>0</v>
      </c>
      <c r="M1100" t="b">
        <f t="shared" si="161"/>
        <v>0</v>
      </c>
      <c r="N1100" t="b">
        <f t="shared" si="162"/>
        <v>0</v>
      </c>
    </row>
    <row r="1101" spans="1:14">
      <c r="A1101" s="29">
        <v>45661</v>
      </c>
      <c r="B1101" s="30">
        <f t="shared" si="154"/>
        <v>1</v>
      </c>
      <c r="C1101" s="30">
        <f t="shared" si="157"/>
        <v>4</v>
      </c>
      <c r="D1101" s="26">
        <f>MATCH(WEEKDAY(A1101),そのた定義!A:A,0)</f>
        <v>8</v>
      </c>
      <c r="E1101" s="33" t="str">
        <f t="shared" ca="1" si="158"/>
        <v>土</v>
      </c>
      <c r="F1101" s="26">
        <f t="shared" si="159"/>
        <v>1</v>
      </c>
      <c r="G1101" s="26">
        <f>IF(ISNA(MATCH(A1101,祝日定義!E:E,0)),0,1)</f>
        <v>0</v>
      </c>
      <c r="H1101" s="26">
        <f>IF(ISNA(MATCH(B1101&amp;"/"&amp;C1101,そのた定義!E:E,0)), 0, 1)</f>
        <v>0</v>
      </c>
      <c r="I1101" s="23" t="b">
        <f t="shared" si="160"/>
        <v>1</v>
      </c>
      <c r="J1101" s="26">
        <v>0</v>
      </c>
      <c r="K1101" s="26" t="b">
        <f t="shared" si="155"/>
        <v>0</v>
      </c>
      <c r="L1101" s="26" t="b">
        <f t="shared" si="156"/>
        <v>0</v>
      </c>
      <c r="M1101" t="b">
        <f t="shared" si="161"/>
        <v>0</v>
      </c>
      <c r="N1101" t="b">
        <f t="shared" si="162"/>
        <v>0</v>
      </c>
    </row>
    <row r="1102" spans="1:14">
      <c r="A1102" s="29">
        <v>45662</v>
      </c>
      <c r="B1102" s="30">
        <f t="shared" si="154"/>
        <v>1</v>
      </c>
      <c r="C1102" s="30">
        <f t="shared" si="157"/>
        <v>5</v>
      </c>
      <c r="D1102" s="26">
        <f>MATCH(WEEKDAY(A1102),そのた定義!A:A,0)</f>
        <v>2</v>
      </c>
      <c r="E1102" s="32" t="str">
        <f t="shared" ca="1" si="158"/>
        <v>日</v>
      </c>
      <c r="F1102" s="26">
        <f t="shared" si="159"/>
        <v>1</v>
      </c>
      <c r="G1102" s="26">
        <f>IF(ISNA(MATCH(A1102,祝日定義!E:E,0)),0,1)</f>
        <v>0</v>
      </c>
      <c r="H1102" s="26">
        <f>IF(ISNA(MATCH(B1102&amp;"/"&amp;C1102,そのた定義!E:E,0)), 0, 1)</f>
        <v>0</v>
      </c>
      <c r="I1102" s="23" t="b">
        <f t="shared" si="160"/>
        <v>1</v>
      </c>
      <c r="J1102" s="26">
        <v>0</v>
      </c>
      <c r="K1102" s="26" t="b">
        <f t="shared" si="155"/>
        <v>0</v>
      </c>
      <c r="L1102" s="26" t="b">
        <f t="shared" si="156"/>
        <v>0</v>
      </c>
      <c r="M1102" t="b">
        <f t="shared" si="161"/>
        <v>0</v>
      </c>
      <c r="N1102" t="b">
        <f t="shared" si="162"/>
        <v>0</v>
      </c>
    </row>
    <row r="1103" spans="1:14">
      <c r="A1103" s="29">
        <v>45663</v>
      </c>
      <c r="B1103" s="30">
        <f t="shared" si="154"/>
        <v>1</v>
      </c>
      <c r="C1103" s="30">
        <f t="shared" si="157"/>
        <v>6</v>
      </c>
      <c r="D1103" s="26">
        <f>MATCH(WEEKDAY(A1103),そのた定義!A:A,0)</f>
        <v>3</v>
      </c>
      <c r="E1103" s="26" t="str">
        <f t="shared" ca="1" si="158"/>
        <v>月</v>
      </c>
      <c r="F1103" s="26">
        <f t="shared" si="159"/>
        <v>0</v>
      </c>
      <c r="G1103" s="26">
        <f>IF(ISNA(MATCH(A1103,祝日定義!E:E,0)),0,1)</f>
        <v>0</v>
      </c>
      <c r="H1103" s="26">
        <f>IF(ISNA(MATCH(B1103&amp;"/"&amp;C1103,そのた定義!E:E,0)), 0, 1)</f>
        <v>0</v>
      </c>
      <c r="I1103" s="26" t="b">
        <f t="shared" si="160"/>
        <v>0</v>
      </c>
      <c r="J1103" s="26">
        <v>9</v>
      </c>
      <c r="K1103" s="26" t="b">
        <f t="shared" si="155"/>
        <v>0</v>
      </c>
      <c r="L1103" s="26" t="b">
        <f t="shared" si="156"/>
        <v>0</v>
      </c>
      <c r="M1103" t="b">
        <f t="shared" si="161"/>
        <v>1</v>
      </c>
      <c r="N1103" t="b">
        <f t="shared" si="162"/>
        <v>0</v>
      </c>
    </row>
    <row r="1104" spans="1:14">
      <c r="A1104" s="29">
        <v>45664</v>
      </c>
      <c r="B1104" s="30">
        <f t="shared" si="154"/>
        <v>1</v>
      </c>
      <c r="C1104" s="30">
        <f t="shared" si="157"/>
        <v>7</v>
      </c>
      <c r="D1104" s="26">
        <f>MATCH(WEEKDAY(A1104),そのた定義!A:A,0)</f>
        <v>4</v>
      </c>
      <c r="E1104" s="26" t="str">
        <f t="shared" ca="1" si="158"/>
        <v>火</v>
      </c>
      <c r="F1104" s="26">
        <f t="shared" si="159"/>
        <v>0</v>
      </c>
      <c r="G1104" s="26">
        <f>IF(ISNA(MATCH(A1104,祝日定義!E:E,0)),0,1)</f>
        <v>0</v>
      </c>
      <c r="H1104" s="26">
        <f>IF(ISNA(MATCH(B1104&amp;"/"&amp;C1104,そのた定義!E:E,0)), 0, 1)</f>
        <v>0</v>
      </c>
      <c r="I1104" s="26" t="b">
        <f t="shared" si="160"/>
        <v>0</v>
      </c>
      <c r="J1104" s="26">
        <v>0</v>
      </c>
      <c r="K1104" s="26" t="b">
        <f t="shared" si="155"/>
        <v>0</v>
      </c>
      <c r="L1104" s="26" t="b">
        <f t="shared" si="156"/>
        <v>0</v>
      </c>
      <c r="M1104" t="b">
        <f t="shared" si="161"/>
        <v>0</v>
      </c>
      <c r="N1104" t="b">
        <f t="shared" si="162"/>
        <v>0</v>
      </c>
    </row>
    <row r="1105" spans="1:14">
      <c r="A1105" s="29">
        <v>45665</v>
      </c>
      <c r="B1105" s="30">
        <f t="shared" si="154"/>
        <v>1</v>
      </c>
      <c r="C1105" s="30">
        <f t="shared" si="157"/>
        <v>8</v>
      </c>
      <c r="D1105" s="26">
        <f>MATCH(WEEKDAY(A1105),そのた定義!A:A,0)</f>
        <v>5</v>
      </c>
      <c r="E1105" s="26" t="str">
        <f t="shared" ca="1" si="158"/>
        <v>水</v>
      </c>
      <c r="F1105" s="26">
        <f t="shared" si="159"/>
        <v>0</v>
      </c>
      <c r="G1105" s="26">
        <f>IF(ISNA(MATCH(A1105,祝日定義!E:E,0)),0,1)</f>
        <v>0</v>
      </c>
      <c r="H1105" s="26">
        <f>IF(ISNA(MATCH(B1105&amp;"/"&amp;C1105,そのた定義!E:E,0)), 0, 1)</f>
        <v>0</v>
      </c>
      <c r="I1105" s="26" t="b">
        <f t="shared" si="160"/>
        <v>0</v>
      </c>
      <c r="J1105" s="26">
        <v>0</v>
      </c>
      <c r="K1105" s="26" t="b">
        <f t="shared" si="155"/>
        <v>0</v>
      </c>
      <c r="L1105" s="26" t="b">
        <f t="shared" si="156"/>
        <v>0</v>
      </c>
      <c r="M1105" t="b">
        <f t="shared" si="161"/>
        <v>0</v>
      </c>
      <c r="N1105" t="b">
        <f t="shared" si="162"/>
        <v>0</v>
      </c>
    </row>
    <row r="1106" spans="1:14">
      <c r="A1106" s="29">
        <v>45666</v>
      </c>
      <c r="B1106" s="30">
        <f t="shared" si="154"/>
        <v>1</v>
      </c>
      <c r="C1106" s="30">
        <f t="shared" si="157"/>
        <v>9</v>
      </c>
      <c r="D1106" s="26">
        <f>MATCH(WEEKDAY(A1106),そのた定義!A:A,0)</f>
        <v>6</v>
      </c>
      <c r="E1106" s="26" t="str">
        <f t="shared" ca="1" si="158"/>
        <v>木</v>
      </c>
      <c r="F1106" s="26">
        <f t="shared" si="159"/>
        <v>0</v>
      </c>
      <c r="G1106" s="26">
        <f>IF(ISNA(MATCH(A1106,祝日定義!E:E,0)),0,1)</f>
        <v>0</v>
      </c>
      <c r="H1106" s="26">
        <f>IF(ISNA(MATCH(B1106&amp;"/"&amp;C1106,そのた定義!E:E,0)), 0, 1)</f>
        <v>0</v>
      </c>
      <c r="I1106" s="26" t="b">
        <f t="shared" si="160"/>
        <v>0</v>
      </c>
      <c r="J1106" s="26">
        <v>0</v>
      </c>
      <c r="K1106" s="26" t="b">
        <f t="shared" si="155"/>
        <v>0</v>
      </c>
      <c r="L1106" s="26" t="b">
        <f t="shared" si="156"/>
        <v>0</v>
      </c>
      <c r="M1106" t="b">
        <f t="shared" si="161"/>
        <v>0</v>
      </c>
      <c r="N1106" t="b">
        <f t="shared" si="162"/>
        <v>0</v>
      </c>
    </row>
    <row r="1107" spans="1:14">
      <c r="A1107" s="29">
        <v>45667</v>
      </c>
      <c r="B1107" s="30">
        <f t="shared" si="154"/>
        <v>1</v>
      </c>
      <c r="C1107" s="30">
        <f t="shared" si="157"/>
        <v>10</v>
      </c>
      <c r="D1107" s="26">
        <f>MATCH(WEEKDAY(A1107),そのた定義!A:A,0)</f>
        <v>7</v>
      </c>
      <c r="E1107" s="26" t="str">
        <f t="shared" ca="1" si="158"/>
        <v>金</v>
      </c>
      <c r="F1107" s="26">
        <f t="shared" si="159"/>
        <v>0</v>
      </c>
      <c r="G1107" s="26">
        <f>IF(ISNA(MATCH(A1107,祝日定義!E:E,0)),0,1)</f>
        <v>0</v>
      </c>
      <c r="H1107" s="26">
        <f>IF(ISNA(MATCH(B1107&amp;"/"&amp;C1107,そのた定義!E:E,0)), 0, 1)</f>
        <v>0</v>
      </c>
      <c r="I1107" s="26" t="b">
        <f t="shared" si="160"/>
        <v>0</v>
      </c>
      <c r="J1107" s="26">
        <v>0</v>
      </c>
      <c r="K1107" s="26" t="b">
        <f t="shared" si="155"/>
        <v>0</v>
      </c>
      <c r="L1107" s="26" t="b">
        <f t="shared" si="156"/>
        <v>0</v>
      </c>
      <c r="M1107" t="b">
        <f t="shared" si="161"/>
        <v>0</v>
      </c>
      <c r="N1107" t="b">
        <f t="shared" si="162"/>
        <v>0</v>
      </c>
    </row>
    <row r="1108" spans="1:14">
      <c r="A1108" s="29">
        <v>45668</v>
      </c>
      <c r="B1108" s="30">
        <f t="shared" si="154"/>
        <v>1</v>
      </c>
      <c r="C1108" s="30">
        <f t="shared" si="157"/>
        <v>11</v>
      </c>
      <c r="D1108" s="26">
        <f>MATCH(WEEKDAY(A1108),そのた定義!A:A,0)</f>
        <v>8</v>
      </c>
      <c r="E1108" s="33" t="str">
        <f t="shared" ca="1" si="158"/>
        <v>土</v>
      </c>
      <c r="F1108" s="26">
        <f t="shared" si="159"/>
        <v>1</v>
      </c>
      <c r="G1108" s="26">
        <f>IF(ISNA(MATCH(A1108,祝日定義!E:E,0)),0,1)</f>
        <v>0</v>
      </c>
      <c r="H1108" s="26">
        <f>IF(ISNA(MATCH(B1108&amp;"/"&amp;C1108,そのた定義!E:E,0)), 0, 1)</f>
        <v>0</v>
      </c>
      <c r="I1108" s="23" t="b">
        <f t="shared" si="160"/>
        <v>1</v>
      </c>
      <c r="J1108" s="26">
        <v>0</v>
      </c>
      <c r="K1108" s="26" t="b">
        <f t="shared" si="155"/>
        <v>0</v>
      </c>
      <c r="L1108" s="26" t="b">
        <f t="shared" si="156"/>
        <v>0</v>
      </c>
      <c r="M1108" t="b">
        <f t="shared" si="161"/>
        <v>0</v>
      </c>
      <c r="N1108" t="b">
        <f t="shared" si="162"/>
        <v>0</v>
      </c>
    </row>
    <row r="1109" spans="1:14">
      <c r="A1109" s="29">
        <v>45669</v>
      </c>
      <c r="B1109" s="30">
        <f t="shared" si="154"/>
        <v>1</v>
      </c>
      <c r="C1109" s="30">
        <f t="shared" si="157"/>
        <v>12</v>
      </c>
      <c r="D1109" s="26">
        <f>MATCH(WEEKDAY(A1109),そのた定義!A:A,0)</f>
        <v>2</v>
      </c>
      <c r="E1109" s="32" t="str">
        <f t="shared" ca="1" si="158"/>
        <v>日</v>
      </c>
      <c r="F1109" s="26">
        <f t="shared" si="159"/>
        <v>1</v>
      </c>
      <c r="G1109" s="26">
        <f>IF(ISNA(MATCH(A1109,祝日定義!E:E,0)),0,1)</f>
        <v>0</v>
      </c>
      <c r="H1109" s="26">
        <f>IF(ISNA(MATCH(B1109&amp;"/"&amp;C1109,そのた定義!E:E,0)), 0, 1)</f>
        <v>0</v>
      </c>
      <c r="I1109" s="23" t="b">
        <f t="shared" si="160"/>
        <v>1</v>
      </c>
      <c r="J1109" s="26">
        <v>0</v>
      </c>
      <c r="K1109" s="26" t="b">
        <f t="shared" si="155"/>
        <v>0</v>
      </c>
      <c r="L1109" s="26" t="b">
        <f t="shared" si="156"/>
        <v>0</v>
      </c>
      <c r="M1109" t="b">
        <f t="shared" si="161"/>
        <v>0</v>
      </c>
      <c r="N1109" t="b">
        <f t="shared" si="162"/>
        <v>0</v>
      </c>
    </row>
    <row r="1110" spans="1:14">
      <c r="A1110" s="29">
        <v>45670</v>
      </c>
      <c r="B1110" s="30">
        <f t="shared" si="154"/>
        <v>1</v>
      </c>
      <c r="C1110" s="30">
        <f t="shared" si="157"/>
        <v>13</v>
      </c>
      <c r="D1110" s="26">
        <f>MATCH(WEEKDAY(A1110),そのた定義!A:A,0)</f>
        <v>3</v>
      </c>
      <c r="E1110" s="31" t="str">
        <f t="shared" ca="1" si="158"/>
        <v>月</v>
      </c>
      <c r="F1110" s="26">
        <f t="shared" si="159"/>
        <v>0</v>
      </c>
      <c r="G1110" s="26">
        <f>IF(ISNA(MATCH(A1110,祝日定義!E:E,0)),0,1)</f>
        <v>1</v>
      </c>
      <c r="H1110" s="26">
        <f>IF(ISNA(MATCH(B1110&amp;"/"&amp;C1110,そのた定義!E:E,0)), 0, 1)</f>
        <v>0</v>
      </c>
      <c r="I1110" s="23" t="b">
        <f t="shared" si="160"/>
        <v>1</v>
      </c>
      <c r="J1110" s="26">
        <v>0</v>
      </c>
      <c r="K1110" s="26" t="b">
        <f t="shared" si="155"/>
        <v>0</v>
      </c>
      <c r="L1110" s="26" t="b">
        <f t="shared" si="156"/>
        <v>0</v>
      </c>
      <c r="M1110" t="b">
        <f t="shared" si="161"/>
        <v>0</v>
      </c>
      <c r="N1110" t="b">
        <f t="shared" si="162"/>
        <v>0</v>
      </c>
    </row>
    <row r="1111" spans="1:14">
      <c r="A1111" s="29">
        <v>45671</v>
      </c>
      <c r="B1111" s="30">
        <f t="shared" si="154"/>
        <v>1</v>
      </c>
      <c r="C1111" s="30">
        <f t="shared" si="157"/>
        <v>14</v>
      </c>
      <c r="D1111" s="26">
        <f>MATCH(WEEKDAY(A1111),そのた定義!A:A,0)</f>
        <v>4</v>
      </c>
      <c r="E1111" s="26" t="str">
        <f t="shared" ca="1" si="158"/>
        <v>火</v>
      </c>
      <c r="F1111" s="26">
        <f t="shared" si="159"/>
        <v>0</v>
      </c>
      <c r="G1111" s="26">
        <f>IF(ISNA(MATCH(A1111,祝日定義!E:E,0)),0,1)</f>
        <v>0</v>
      </c>
      <c r="H1111" s="26">
        <f>IF(ISNA(MATCH(B1111&amp;"/"&amp;C1111,そのた定義!E:E,0)), 0, 1)</f>
        <v>0</v>
      </c>
      <c r="I1111" s="26" t="b">
        <f t="shared" si="160"/>
        <v>0</v>
      </c>
      <c r="J1111" s="26">
        <v>3</v>
      </c>
      <c r="K1111" s="26" t="b">
        <f t="shared" si="155"/>
        <v>0</v>
      </c>
      <c r="L1111" s="26" t="b">
        <f t="shared" si="156"/>
        <v>0</v>
      </c>
      <c r="M1111" t="b">
        <f t="shared" si="161"/>
        <v>0</v>
      </c>
      <c r="N1111" t="b">
        <f t="shared" si="162"/>
        <v>0</v>
      </c>
    </row>
    <row r="1112" spans="1:14">
      <c r="A1112" s="29">
        <v>45672</v>
      </c>
      <c r="B1112" s="30">
        <f t="shared" si="154"/>
        <v>1</v>
      </c>
      <c r="C1112" s="30">
        <f t="shared" si="157"/>
        <v>15</v>
      </c>
      <c r="D1112" s="26">
        <f>MATCH(WEEKDAY(A1112),そのた定義!A:A,0)</f>
        <v>5</v>
      </c>
      <c r="E1112" s="26" t="str">
        <f t="shared" ca="1" si="158"/>
        <v>水</v>
      </c>
      <c r="F1112" s="26">
        <f t="shared" si="159"/>
        <v>0</v>
      </c>
      <c r="G1112" s="26">
        <f>IF(ISNA(MATCH(A1112,祝日定義!E:E,0)),0,1)</f>
        <v>0</v>
      </c>
      <c r="H1112" s="26">
        <f>IF(ISNA(MATCH(B1112&amp;"/"&amp;C1112,そのた定義!E:E,0)), 0, 1)</f>
        <v>0</v>
      </c>
      <c r="I1112" s="26" t="b">
        <f t="shared" si="160"/>
        <v>0</v>
      </c>
      <c r="J1112" s="26">
        <v>0</v>
      </c>
      <c r="K1112" s="26" t="b">
        <f t="shared" si="155"/>
        <v>0</v>
      </c>
      <c r="L1112" s="26" t="b">
        <f t="shared" si="156"/>
        <v>0</v>
      </c>
      <c r="M1112" t="b">
        <f t="shared" si="161"/>
        <v>0</v>
      </c>
      <c r="N1112" t="b">
        <f t="shared" si="162"/>
        <v>0</v>
      </c>
    </row>
    <row r="1113" spans="1:14">
      <c r="A1113" s="29">
        <v>45673</v>
      </c>
      <c r="B1113" s="30">
        <f t="shared" si="154"/>
        <v>1</v>
      </c>
      <c r="C1113" s="30">
        <f t="shared" si="157"/>
        <v>16</v>
      </c>
      <c r="D1113" s="26">
        <f>MATCH(WEEKDAY(A1113),そのた定義!A:A,0)</f>
        <v>6</v>
      </c>
      <c r="E1113" s="26" t="str">
        <f t="shared" ca="1" si="158"/>
        <v>木</v>
      </c>
      <c r="F1113" s="26">
        <f t="shared" si="159"/>
        <v>0</v>
      </c>
      <c r="G1113" s="26">
        <f>IF(ISNA(MATCH(A1113,祝日定義!E:E,0)),0,1)</f>
        <v>0</v>
      </c>
      <c r="H1113" s="26">
        <f>IF(ISNA(MATCH(B1113&amp;"/"&amp;C1113,そのた定義!E:E,0)), 0, 1)</f>
        <v>0</v>
      </c>
      <c r="I1113" s="26" t="b">
        <f t="shared" si="160"/>
        <v>0</v>
      </c>
      <c r="J1113" s="26">
        <v>0</v>
      </c>
      <c r="K1113" s="26" t="b">
        <f t="shared" si="155"/>
        <v>0</v>
      </c>
      <c r="L1113" s="26" t="b">
        <f t="shared" si="156"/>
        <v>0</v>
      </c>
      <c r="M1113" t="b">
        <f t="shared" si="161"/>
        <v>0</v>
      </c>
      <c r="N1113" t="b">
        <f t="shared" si="162"/>
        <v>0</v>
      </c>
    </row>
    <row r="1114" spans="1:14">
      <c r="A1114" s="29">
        <v>45674</v>
      </c>
      <c r="B1114" s="30">
        <f t="shared" si="154"/>
        <v>1</v>
      </c>
      <c r="C1114" s="30">
        <f t="shared" si="157"/>
        <v>17</v>
      </c>
      <c r="D1114" s="26">
        <f>MATCH(WEEKDAY(A1114),そのた定義!A:A,0)</f>
        <v>7</v>
      </c>
      <c r="E1114" s="26" t="str">
        <f t="shared" ca="1" si="158"/>
        <v>金</v>
      </c>
      <c r="F1114" s="26">
        <f t="shared" si="159"/>
        <v>0</v>
      </c>
      <c r="G1114" s="26">
        <f>IF(ISNA(MATCH(A1114,祝日定義!E:E,0)),0,1)</f>
        <v>0</v>
      </c>
      <c r="H1114" s="26">
        <f>IF(ISNA(MATCH(B1114&amp;"/"&amp;C1114,そのた定義!E:E,0)), 0, 1)</f>
        <v>0</v>
      </c>
      <c r="I1114" s="26" t="b">
        <f t="shared" si="160"/>
        <v>0</v>
      </c>
      <c r="J1114" s="26">
        <v>0</v>
      </c>
      <c r="K1114" s="26" t="b">
        <f t="shared" si="155"/>
        <v>0</v>
      </c>
      <c r="L1114" s="26" t="b">
        <f t="shared" si="156"/>
        <v>0</v>
      </c>
      <c r="M1114" t="b">
        <f t="shared" si="161"/>
        <v>0</v>
      </c>
      <c r="N1114" t="b">
        <f t="shared" si="162"/>
        <v>0</v>
      </c>
    </row>
    <row r="1115" spans="1:14">
      <c r="A1115" s="29">
        <v>45675</v>
      </c>
      <c r="B1115" s="30">
        <f t="shared" si="154"/>
        <v>1</v>
      </c>
      <c r="C1115" s="30">
        <f t="shared" si="157"/>
        <v>18</v>
      </c>
      <c r="D1115" s="26">
        <f>MATCH(WEEKDAY(A1115),そのた定義!A:A,0)</f>
        <v>8</v>
      </c>
      <c r="E1115" s="33" t="str">
        <f t="shared" ca="1" si="158"/>
        <v>土</v>
      </c>
      <c r="F1115" s="26">
        <f t="shared" si="159"/>
        <v>1</v>
      </c>
      <c r="G1115" s="26">
        <f>IF(ISNA(MATCH(A1115,祝日定義!E:E,0)),0,1)</f>
        <v>0</v>
      </c>
      <c r="H1115" s="26">
        <f>IF(ISNA(MATCH(B1115&amp;"/"&amp;C1115,そのた定義!E:E,0)), 0, 1)</f>
        <v>0</v>
      </c>
      <c r="I1115" s="23" t="b">
        <f t="shared" si="160"/>
        <v>1</v>
      </c>
      <c r="J1115" s="26">
        <v>0</v>
      </c>
      <c r="K1115" s="26" t="b">
        <f t="shared" si="155"/>
        <v>0</v>
      </c>
      <c r="L1115" s="26" t="b">
        <f t="shared" si="156"/>
        <v>0</v>
      </c>
      <c r="M1115" t="b">
        <f t="shared" si="161"/>
        <v>0</v>
      </c>
      <c r="N1115" t="b">
        <f t="shared" si="162"/>
        <v>0</v>
      </c>
    </row>
    <row r="1116" spans="1:14">
      <c r="A1116" s="29">
        <v>45676</v>
      </c>
      <c r="B1116" s="30">
        <f t="shared" si="154"/>
        <v>1</v>
      </c>
      <c r="C1116" s="30">
        <f t="shared" si="157"/>
        <v>19</v>
      </c>
      <c r="D1116" s="26">
        <f>MATCH(WEEKDAY(A1116),そのた定義!A:A,0)</f>
        <v>2</v>
      </c>
      <c r="E1116" s="32" t="str">
        <f t="shared" ca="1" si="158"/>
        <v>日</v>
      </c>
      <c r="F1116" s="26">
        <f t="shared" si="159"/>
        <v>1</v>
      </c>
      <c r="G1116" s="26">
        <f>IF(ISNA(MATCH(A1116,祝日定義!E:E,0)),0,1)</f>
        <v>0</v>
      </c>
      <c r="H1116" s="26">
        <f>IF(ISNA(MATCH(B1116&amp;"/"&amp;C1116,そのた定義!E:E,0)), 0, 1)</f>
        <v>0</v>
      </c>
      <c r="I1116" s="23" t="b">
        <f t="shared" si="160"/>
        <v>1</v>
      </c>
      <c r="J1116" s="26">
        <v>0</v>
      </c>
      <c r="K1116" s="26" t="b">
        <f t="shared" si="155"/>
        <v>0</v>
      </c>
      <c r="L1116" s="26" t="b">
        <f t="shared" si="156"/>
        <v>0</v>
      </c>
      <c r="M1116" t="b">
        <f t="shared" si="161"/>
        <v>0</v>
      </c>
      <c r="N1116" t="b">
        <f t="shared" si="162"/>
        <v>0</v>
      </c>
    </row>
    <row r="1117" spans="1:14">
      <c r="A1117" s="29">
        <v>45677</v>
      </c>
      <c r="B1117" s="30">
        <f t="shared" si="154"/>
        <v>1</v>
      </c>
      <c r="C1117" s="30">
        <f t="shared" si="157"/>
        <v>20</v>
      </c>
      <c r="D1117" s="26">
        <f>MATCH(WEEKDAY(A1117),そのた定義!A:A,0)</f>
        <v>3</v>
      </c>
      <c r="E1117" s="26" t="str">
        <f t="shared" ca="1" si="158"/>
        <v>月</v>
      </c>
      <c r="F1117" s="26">
        <f t="shared" si="159"/>
        <v>0</v>
      </c>
      <c r="G1117" s="26">
        <f>IF(ISNA(MATCH(A1117,祝日定義!E:E,0)),0,1)</f>
        <v>0</v>
      </c>
      <c r="H1117" s="26">
        <f>IF(ISNA(MATCH(B1117&amp;"/"&amp;C1117,そのた定義!E:E,0)), 0, 1)</f>
        <v>0</v>
      </c>
      <c r="I1117" s="26" t="b">
        <f t="shared" si="160"/>
        <v>0</v>
      </c>
      <c r="J1117" s="26">
        <v>2</v>
      </c>
      <c r="K1117" s="26" t="b">
        <f t="shared" si="155"/>
        <v>0</v>
      </c>
      <c r="L1117" s="26" t="b">
        <f t="shared" si="156"/>
        <v>0</v>
      </c>
      <c r="M1117" t="b">
        <f t="shared" si="161"/>
        <v>0</v>
      </c>
      <c r="N1117" t="b">
        <f t="shared" si="162"/>
        <v>0</v>
      </c>
    </row>
    <row r="1118" spans="1:14">
      <c r="A1118" s="29">
        <v>45678</v>
      </c>
      <c r="B1118" s="30">
        <f t="shared" si="154"/>
        <v>1</v>
      </c>
      <c r="C1118" s="30">
        <f t="shared" si="157"/>
        <v>21</v>
      </c>
      <c r="D1118" s="26">
        <f>MATCH(WEEKDAY(A1118),そのた定義!A:A,0)</f>
        <v>4</v>
      </c>
      <c r="E1118" s="26" t="str">
        <f t="shared" ca="1" si="158"/>
        <v>火</v>
      </c>
      <c r="F1118" s="26">
        <f t="shared" si="159"/>
        <v>0</v>
      </c>
      <c r="G1118" s="26">
        <f>IF(ISNA(MATCH(A1118,祝日定義!E:E,0)),0,1)</f>
        <v>0</v>
      </c>
      <c r="H1118" s="26">
        <f>IF(ISNA(MATCH(B1118&amp;"/"&amp;C1118,そのた定義!E:E,0)), 0, 1)</f>
        <v>0</v>
      </c>
      <c r="I1118" s="26" t="b">
        <f t="shared" si="160"/>
        <v>0</v>
      </c>
      <c r="J1118" s="26">
        <v>0</v>
      </c>
      <c r="K1118" s="26" t="b">
        <f t="shared" si="155"/>
        <v>0</v>
      </c>
      <c r="L1118" s="26" t="b">
        <f t="shared" si="156"/>
        <v>0</v>
      </c>
      <c r="M1118" t="b">
        <f t="shared" si="161"/>
        <v>0</v>
      </c>
      <c r="N1118" t="b">
        <f t="shared" si="162"/>
        <v>0</v>
      </c>
    </row>
    <row r="1119" spans="1:14">
      <c r="A1119" s="29">
        <v>45679</v>
      </c>
      <c r="B1119" s="30">
        <f t="shared" si="154"/>
        <v>1</v>
      </c>
      <c r="C1119" s="30">
        <f t="shared" si="157"/>
        <v>22</v>
      </c>
      <c r="D1119" s="26">
        <f>MATCH(WEEKDAY(A1119),そのた定義!A:A,0)</f>
        <v>5</v>
      </c>
      <c r="E1119" s="26" t="str">
        <f t="shared" ca="1" si="158"/>
        <v>水</v>
      </c>
      <c r="F1119" s="26">
        <f t="shared" si="159"/>
        <v>0</v>
      </c>
      <c r="G1119" s="26">
        <f>IF(ISNA(MATCH(A1119,祝日定義!E:E,0)),0,1)</f>
        <v>0</v>
      </c>
      <c r="H1119" s="26">
        <f>IF(ISNA(MATCH(B1119&amp;"/"&amp;C1119,そのた定義!E:E,0)), 0, 1)</f>
        <v>0</v>
      </c>
      <c r="I1119" s="26" t="b">
        <f t="shared" si="160"/>
        <v>0</v>
      </c>
      <c r="J1119" s="26">
        <v>0</v>
      </c>
      <c r="K1119" s="26" t="b">
        <f t="shared" si="155"/>
        <v>0</v>
      </c>
      <c r="L1119" s="26" t="b">
        <f t="shared" si="156"/>
        <v>0</v>
      </c>
      <c r="M1119" t="b">
        <f t="shared" si="161"/>
        <v>0</v>
      </c>
      <c r="N1119" t="b">
        <f t="shared" si="162"/>
        <v>0</v>
      </c>
    </row>
    <row r="1120" spans="1:14">
      <c r="A1120" s="29">
        <v>45680</v>
      </c>
      <c r="B1120" s="30">
        <f t="shared" si="154"/>
        <v>1</v>
      </c>
      <c r="C1120" s="30">
        <f t="shared" si="157"/>
        <v>23</v>
      </c>
      <c r="D1120" s="26">
        <f>MATCH(WEEKDAY(A1120),そのた定義!A:A,0)</f>
        <v>6</v>
      </c>
      <c r="E1120" s="26" t="str">
        <f t="shared" ca="1" si="158"/>
        <v>木</v>
      </c>
      <c r="F1120" s="26">
        <f t="shared" si="159"/>
        <v>0</v>
      </c>
      <c r="G1120" s="26">
        <f>IF(ISNA(MATCH(A1120,祝日定義!E:E,0)),0,1)</f>
        <v>0</v>
      </c>
      <c r="H1120" s="26">
        <f>IF(ISNA(MATCH(B1120&amp;"/"&amp;C1120,そのた定義!E:E,0)), 0, 1)</f>
        <v>0</v>
      </c>
      <c r="I1120" s="26" t="b">
        <f t="shared" si="160"/>
        <v>0</v>
      </c>
      <c r="J1120" s="26">
        <v>0</v>
      </c>
      <c r="K1120" s="26" t="b">
        <f t="shared" si="155"/>
        <v>0</v>
      </c>
      <c r="L1120" s="26" t="b">
        <f t="shared" si="156"/>
        <v>0</v>
      </c>
      <c r="M1120" t="b">
        <f t="shared" si="161"/>
        <v>0</v>
      </c>
      <c r="N1120" t="b">
        <f t="shared" si="162"/>
        <v>0</v>
      </c>
    </row>
    <row r="1121" spans="1:14">
      <c r="A1121" s="29">
        <v>45681</v>
      </c>
      <c r="B1121" s="30">
        <f t="shared" si="154"/>
        <v>1</v>
      </c>
      <c r="C1121" s="30">
        <f t="shared" si="157"/>
        <v>24</v>
      </c>
      <c r="D1121" s="26">
        <f>MATCH(WEEKDAY(A1121),そのた定義!A:A,0)</f>
        <v>7</v>
      </c>
      <c r="E1121" s="26" t="str">
        <f t="shared" ca="1" si="158"/>
        <v>金</v>
      </c>
      <c r="F1121" s="26">
        <f t="shared" si="159"/>
        <v>0</v>
      </c>
      <c r="G1121" s="26">
        <f>IF(ISNA(MATCH(A1121,祝日定義!E:E,0)),0,1)</f>
        <v>0</v>
      </c>
      <c r="H1121" s="26">
        <f>IF(ISNA(MATCH(B1121&amp;"/"&amp;C1121,そのた定義!E:E,0)), 0, 1)</f>
        <v>0</v>
      </c>
      <c r="I1121" s="26" t="b">
        <f t="shared" si="160"/>
        <v>0</v>
      </c>
      <c r="J1121" s="26">
        <v>0</v>
      </c>
      <c r="K1121" s="26" t="b">
        <f t="shared" si="155"/>
        <v>0</v>
      </c>
      <c r="L1121" s="26" t="b">
        <f t="shared" si="156"/>
        <v>0</v>
      </c>
      <c r="M1121" t="b">
        <f t="shared" si="161"/>
        <v>0</v>
      </c>
      <c r="N1121" t="b">
        <f t="shared" si="162"/>
        <v>0</v>
      </c>
    </row>
    <row r="1122" spans="1:14">
      <c r="A1122" s="29">
        <v>45682</v>
      </c>
      <c r="B1122" s="30">
        <f t="shared" si="154"/>
        <v>1</v>
      </c>
      <c r="C1122" s="30">
        <f t="shared" si="157"/>
        <v>25</v>
      </c>
      <c r="D1122" s="26">
        <f>MATCH(WEEKDAY(A1122),そのた定義!A:A,0)</f>
        <v>8</v>
      </c>
      <c r="E1122" s="33" t="str">
        <f t="shared" ca="1" si="158"/>
        <v>土</v>
      </c>
      <c r="F1122" s="26">
        <f t="shared" si="159"/>
        <v>1</v>
      </c>
      <c r="G1122" s="26">
        <f>IF(ISNA(MATCH(A1122,祝日定義!E:E,0)),0,1)</f>
        <v>0</v>
      </c>
      <c r="H1122" s="26">
        <f>IF(ISNA(MATCH(B1122&amp;"/"&amp;C1122,そのた定義!E:E,0)), 0, 1)</f>
        <v>0</v>
      </c>
      <c r="I1122" s="23" t="b">
        <f t="shared" si="160"/>
        <v>1</v>
      </c>
      <c r="J1122" s="26">
        <v>0</v>
      </c>
      <c r="K1122" s="26" t="b">
        <f t="shared" si="155"/>
        <v>0</v>
      </c>
      <c r="L1122" s="23" t="b">
        <f t="shared" si="156"/>
        <v>1</v>
      </c>
      <c r="M1122" t="b">
        <f t="shared" si="161"/>
        <v>0</v>
      </c>
      <c r="N1122" t="b">
        <f t="shared" si="162"/>
        <v>0</v>
      </c>
    </row>
    <row r="1123" spans="1:14">
      <c r="A1123" s="29">
        <v>45683</v>
      </c>
      <c r="B1123" s="30">
        <f t="shared" si="154"/>
        <v>1</v>
      </c>
      <c r="C1123" s="30">
        <f t="shared" si="157"/>
        <v>26</v>
      </c>
      <c r="D1123" s="26">
        <f>MATCH(WEEKDAY(A1123),そのた定義!A:A,0)</f>
        <v>2</v>
      </c>
      <c r="E1123" s="32" t="str">
        <f t="shared" ca="1" si="158"/>
        <v>日</v>
      </c>
      <c r="F1123" s="26">
        <f t="shared" si="159"/>
        <v>1</v>
      </c>
      <c r="G1123" s="26">
        <f>IF(ISNA(MATCH(A1123,祝日定義!E:E,0)),0,1)</f>
        <v>0</v>
      </c>
      <c r="H1123" s="26">
        <f>IF(ISNA(MATCH(B1123&amp;"/"&amp;C1123,そのた定義!E:E,0)), 0, 1)</f>
        <v>0</v>
      </c>
      <c r="I1123" s="23" t="b">
        <f t="shared" si="160"/>
        <v>1</v>
      </c>
      <c r="J1123" s="26">
        <v>0</v>
      </c>
      <c r="K1123" s="26" t="b">
        <f t="shared" si="155"/>
        <v>0</v>
      </c>
      <c r="L1123" s="26" t="b">
        <f t="shared" si="156"/>
        <v>0</v>
      </c>
      <c r="M1123" t="b">
        <f t="shared" si="161"/>
        <v>0</v>
      </c>
      <c r="N1123" t="b">
        <f t="shared" si="162"/>
        <v>0</v>
      </c>
    </row>
    <row r="1124" spans="1:14">
      <c r="A1124" s="29">
        <v>45684</v>
      </c>
      <c r="B1124" s="30">
        <f t="shared" si="154"/>
        <v>1</v>
      </c>
      <c r="C1124" s="30">
        <f t="shared" si="157"/>
        <v>27</v>
      </c>
      <c r="D1124" s="26">
        <f>MATCH(WEEKDAY(A1124),そのた定義!A:A,0)</f>
        <v>3</v>
      </c>
      <c r="E1124" s="26" t="str">
        <f t="shared" ca="1" si="158"/>
        <v>月</v>
      </c>
      <c r="F1124" s="26">
        <f t="shared" si="159"/>
        <v>0</v>
      </c>
      <c r="G1124" s="26">
        <f>IF(ISNA(MATCH(A1124,祝日定義!E:E,0)),0,1)</f>
        <v>0</v>
      </c>
      <c r="H1124" s="26">
        <f>IF(ISNA(MATCH(B1124&amp;"/"&amp;C1124,そのた定義!E:E,0)), 0, 1)</f>
        <v>0</v>
      </c>
      <c r="I1124" s="26" t="b">
        <f t="shared" si="160"/>
        <v>0</v>
      </c>
      <c r="J1124" s="26">
        <v>2</v>
      </c>
      <c r="K1124" s="23" t="b">
        <f t="shared" si="155"/>
        <v>1</v>
      </c>
      <c r="L1124" s="26" t="b">
        <f t="shared" si="156"/>
        <v>0</v>
      </c>
      <c r="M1124" t="b">
        <f t="shared" si="161"/>
        <v>0</v>
      </c>
      <c r="N1124" t="b">
        <f t="shared" si="162"/>
        <v>0</v>
      </c>
    </row>
    <row r="1125" spans="1:14">
      <c r="A1125" s="29">
        <v>45685</v>
      </c>
      <c r="B1125" s="30">
        <f t="shared" si="154"/>
        <v>1</v>
      </c>
      <c r="C1125" s="30">
        <f t="shared" si="157"/>
        <v>28</v>
      </c>
      <c r="D1125" s="26">
        <f>MATCH(WEEKDAY(A1125),そのた定義!A:A,0)</f>
        <v>4</v>
      </c>
      <c r="E1125" s="26" t="str">
        <f t="shared" ca="1" si="158"/>
        <v>火</v>
      </c>
      <c r="F1125" s="26">
        <f t="shared" si="159"/>
        <v>0</v>
      </c>
      <c r="G1125" s="26">
        <f>IF(ISNA(MATCH(A1125,祝日定義!E:E,0)),0,1)</f>
        <v>0</v>
      </c>
      <c r="H1125" s="26">
        <f>IF(ISNA(MATCH(B1125&amp;"/"&amp;C1125,そのた定義!E:E,0)), 0, 1)</f>
        <v>0</v>
      </c>
      <c r="I1125" s="26" t="b">
        <f t="shared" si="160"/>
        <v>0</v>
      </c>
      <c r="J1125" s="26">
        <v>0</v>
      </c>
      <c r="K1125" s="26" t="b">
        <f t="shared" si="155"/>
        <v>0</v>
      </c>
      <c r="L1125" s="26" t="b">
        <f t="shared" si="156"/>
        <v>0</v>
      </c>
      <c r="M1125" t="b">
        <f t="shared" si="161"/>
        <v>0</v>
      </c>
      <c r="N1125" t="b">
        <f t="shared" si="162"/>
        <v>0</v>
      </c>
    </row>
    <row r="1126" spans="1:14">
      <c r="A1126" s="29">
        <v>45686</v>
      </c>
      <c r="B1126" s="30">
        <f t="shared" si="154"/>
        <v>1</v>
      </c>
      <c r="C1126" s="30">
        <f t="shared" si="157"/>
        <v>29</v>
      </c>
      <c r="D1126" s="26">
        <f>MATCH(WEEKDAY(A1126),そのた定義!A:A,0)</f>
        <v>5</v>
      </c>
      <c r="E1126" s="26" t="str">
        <f t="shared" ca="1" si="158"/>
        <v>水</v>
      </c>
      <c r="F1126" s="26">
        <f t="shared" si="159"/>
        <v>0</v>
      </c>
      <c r="G1126" s="26">
        <f>IF(ISNA(MATCH(A1126,祝日定義!E:E,0)),0,1)</f>
        <v>0</v>
      </c>
      <c r="H1126" s="26">
        <f>IF(ISNA(MATCH(B1126&amp;"/"&amp;C1126,そのた定義!E:E,0)), 0, 1)</f>
        <v>0</v>
      </c>
      <c r="I1126" s="26" t="b">
        <f t="shared" si="160"/>
        <v>0</v>
      </c>
      <c r="J1126" s="26">
        <v>0</v>
      </c>
      <c r="K1126" s="26" t="b">
        <f t="shared" si="155"/>
        <v>0</v>
      </c>
      <c r="L1126" s="26" t="b">
        <f t="shared" si="156"/>
        <v>0</v>
      </c>
      <c r="M1126" t="b">
        <f t="shared" si="161"/>
        <v>0</v>
      </c>
      <c r="N1126" t="b">
        <f t="shared" si="162"/>
        <v>0</v>
      </c>
    </row>
    <row r="1127" spans="1:14">
      <c r="A1127" s="29">
        <v>45687</v>
      </c>
      <c r="B1127" s="30">
        <f t="shared" si="154"/>
        <v>1</v>
      </c>
      <c r="C1127" s="30">
        <f t="shared" si="157"/>
        <v>30</v>
      </c>
      <c r="D1127" s="26">
        <f>MATCH(WEEKDAY(A1127),そのた定義!A:A,0)</f>
        <v>6</v>
      </c>
      <c r="E1127" s="26" t="str">
        <f t="shared" ca="1" si="158"/>
        <v>木</v>
      </c>
      <c r="F1127" s="26">
        <f t="shared" si="159"/>
        <v>0</v>
      </c>
      <c r="G1127" s="26">
        <f>IF(ISNA(MATCH(A1127,祝日定義!E:E,0)),0,1)</f>
        <v>0</v>
      </c>
      <c r="H1127" s="26">
        <f>IF(ISNA(MATCH(B1127&amp;"/"&amp;C1127,そのた定義!E:E,0)), 0, 1)</f>
        <v>0</v>
      </c>
      <c r="I1127" s="26" t="b">
        <f t="shared" si="160"/>
        <v>0</v>
      </c>
      <c r="J1127" s="26">
        <v>0</v>
      </c>
      <c r="K1127" s="26" t="b">
        <f t="shared" si="155"/>
        <v>0</v>
      </c>
      <c r="L1127" s="26" t="b">
        <f t="shared" si="156"/>
        <v>0</v>
      </c>
      <c r="M1127" t="b">
        <f t="shared" si="161"/>
        <v>0</v>
      </c>
      <c r="N1127" t="b">
        <f t="shared" si="162"/>
        <v>0</v>
      </c>
    </row>
    <row r="1128" spans="1:14">
      <c r="A1128" s="29">
        <v>45688</v>
      </c>
      <c r="B1128" s="30">
        <f t="shared" si="154"/>
        <v>1</v>
      </c>
      <c r="C1128" s="30">
        <f t="shared" si="157"/>
        <v>31</v>
      </c>
      <c r="D1128" s="26">
        <f>MATCH(WEEKDAY(A1128),そのた定義!A:A,0)</f>
        <v>7</v>
      </c>
      <c r="E1128" s="26" t="str">
        <f t="shared" ca="1" si="158"/>
        <v>金</v>
      </c>
      <c r="F1128" s="26">
        <f t="shared" si="159"/>
        <v>0</v>
      </c>
      <c r="G1128" s="26">
        <f>IF(ISNA(MATCH(A1128,祝日定義!E:E,0)),0,1)</f>
        <v>0</v>
      </c>
      <c r="H1128" s="26">
        <f>IF(ISNA(MATCH(B1128&amp;"/"&amp;C1128,そのた定義!E:E,0)), 0, 1)</f>
        <v>0</v>
      </c>
      <c r="I1128" s="26" t="b">
        <f t="shared" si="160"/>
        <v>0</v>
      </c>
      <c r="J1128" s="26">
        <v>0</v>
      </c>
      <c r="K1128" s="26" t="b">
        <f t="shared" si="155"/>
        <v>0</v>
      </c>
      <c r="L1128" s="26" t="b">
        <f t="shared" si="156"/>
        <v>0</v>
      </c>
      <c r="M1128" t="b">
        <f t="shared" si="161"/>
        <v>0</v>
      </c>
      <c r="N1128" t="b">
        <f t="shared" si="162"/>
        <v>1</v>
      </c>
    </row>
    <row r="1129" spans="1:14">
      <c r="A1129" s="29">
        <v>45689</v>
      </c>
      <c r="B1129" s="30">
        <f t="shared" si="154"/>
        <v>2</v>
      </c>
      <c r="C1129" s="30">
        <f t="shared" si="157"/>
        <v>1</v>
      </c>
      <c r="D1129" s="26">
        <f>MATCH(WEEKDAY(A1129),そのた定義!A:A,0)</f>
        <v>8</v>
      </c>
      <c r="E1129" s="33" t="str">
        <f t="shared" ca="1" si="158"/>
        <v>土</v>
      </c>
      <c r="F1129" s="26">
        <f t="shared" si="159"/>
        <v>1</v>
      </c>
      <c r="G1129" s="26">
        <f>IF(ISNA(MATCH(A1129,祝日定義!E:E,0)),0,1)</f>
        <v>0</v>
      </c>
      <c r="H1129" s="26">
        <f>IF(ISNA(MATCH(B1129&amp;"/"&amp;C1129,そのた定義!E:E,0)), 0, 1)</f>
        <v>0</v>
      </c>
      <c r="I1129" s="23" t="b">
        <f t="shared" si="160"/>
        <v>1</v>
      </c>
      <c r="J1129" s="26">
        <v>0</v>
      </c>
      <c r="K1129" s="26" t="b">
        <f t="shared" si="155"/>
        <v>0</v>
      </c>
      <c r="L1129" s="26" t="b">
        <f t="shared" si="156"/>
        <v>0</v>
      </c>
      <c r="M1129" t="b">
        <f t="shared" si="161"/>
        <v>0</v>
      </c>
      <c r="N1129" t="b">
        <f t="shared" si="162"/>
        <v>0</v>
      </c>
    </row>
    <row r="1130" spans="1:14">
      <c r="A1130" s="29">
        <v>45690</v>
      </c>
      <c r="B1130" s="30">
        <f t="shared" si="154"/>
        <v>2</v>
      </c>
      <c r="C1130" s="30">
        <f t="shared" si="157"/>
        <v>2</v>
      </c>
      <c r="D1130" s="26">
        <f>MATCH(WEEKDAY(A1130),そのた定義!A:A,0)</f>
        <v>2</v>
      </c>
      <c r="E1130" s="32" t="str">
        <f t="shared" ca="1" si="158"/>
        <v>日</v>
      </c>
      <c r="F1130" s="26">
        <f t="shared" si="159"/>
        <v>1</v>
      </c>
      <c r="G1130" s="26">
        <f>IF(ISNA(MATCH(A1130,祝日定義!E:E,0)),0,1)</f>
        <v>0</v>
      </c>
      <c r="H1130" s="26">
        <f>IF(ISNA(MATCH(B1130&amp;"/"&amp;C1130,そのた定義!E:E,0)), 0, 1)</f>
        <v>0</v>
      </c>
      <c r="I1130" s="23" t="b">
        <f t="shared" si="160"/>
        <v>1</v>
      </c>
      <c r="J1130" s="26">
        <v>0</v>
      </c>
      <c r="K1130" s="26" t="b">
        <f t="shared" si="155"/>
        <v>0</v>
      </c>
      <c r="L1130" s="26" t="b">
        <f t="shared" si="156"/>
        <v>0</v>
      </c>
      <c r="M1130" t="b">
        <f t="shared" si="161"/>
        <v>0</v>
      </c>
      <c r="N1130" t="b">
        <f t="shared" si="162"/>
        <v>0</v>
      </c>
    </row>
    <row r="1131" spans="1:14">
      <c r="A1131" s="29">
        <v>45691</v>
      </c>
      <c r="B1131" s="30">
        <f t="shared" si="154"/>
        <v>2</v>
      </c>
      <c r="C1131" s="30">
        <f t="shared" si="157"/>
        <v>3</v>
      </c>
      <c r="D1131" s="26">
        <f>MATCH(WEEKDAY(A1131),そのた定義!A:A,0)</f>
        <v>3</v>
      </c>
      <c r="E1131" s="26" t="str">
        <f t="shared" ca="1" si="158"/>
        <v>月</v>
      </c>
      <c r="F1131" s="26">
        <f t="shared" si="159"/>
        <v>0</v>
      </c>
      <c r="G1131" s="26">
        <f>IF(ISNA(MATCH(A1131,祝日定義!E:E,0)),0,1)</f>
        <v>0</v>
      </c>
      <c r="H1131" s="26">
        <f>IF(ISNA(MATCH(B1131&amp;"/"&amp;C1131,そのた定義!E:E,0)), 0, 1)</f>
        <v>0</v>
      </c>
      <c r="I1131" s="26" t="b">
        <f t="shared" si="160"/>
        <v>0</v>
      </c>
      <c r="J1131" s="26">
        <v>2</v>
      </c>
      <c r="K1131" s="26" t="b">
        <f t="shared" si="155"/>
        <v>0</v>
      </c>
      <c r="L1131" s="26" t="b">
        <f t="shared" si="156"/>
        <v>0</v>
      </c>
      <c r="M1131" t="b">
        <f t="shared" si="161"/>
        <v>0</v>
      </c>
      <c r="N1131" t="b">
        <f t="shared" si="162"/>
        <v>0</v>
      </c>
    </row>
    <row r="1132" spans="1:14">
      <c r="A1132" s="29">
        <v>45692</v>
      </c>
      <c r="B1132" s="30">
        <f t="shared" si="154"/>
        <v>2</v>
      </c>
      <c r="C1132" s="30">
        <f t="shared" si="157"/>
        <v>4</v>
      </c>
      <c r="D1132" s="26">
        <f>MATCH(WEEKDAY(A1132),そのた定義!A:A,0)</f>
        <v>4</v>
      </c>
      <c r="E1132" s="26" t="str">
        <f t="shared" ca="1" si="158"/>
        <v>火</v>
      </c>
      <c r="F1132" s="26">
        <f t="shared" si="159"/>
        <v>0</v>
      </c>
      <c r="G1132" s="26">
        <f>IF(ISNA(MATCH(A1132,祝日定義!E:E,0)),0,1)</f>
        <v>0</v>
      </c>
      <c r="H1132" s="26">
        <f>IF(ISNA(MATCH(B1132&amp;"/"&amp;C1132,そのた定義!E:E,0)), 0, 1)</f>
        <v>0</v>
      </c>
      <c r="I1132" s="26" t="b">
        <f t="shared" si="160"/>
        <v>0</v>
      </c>
      <c r="J1132" s="26">
        <v>0</v>
      </c>
      <c r="K1132" s="26" t="b">
        <f t="shared" si="155"/>
        <v>0</v>
      </c>
      <c r="L1132" s="26" t="b">
        <f t="shared" si="156"/>
        <v>0</v>
      </c>
      <c r="M1132" t="b">
        <f t="shared" si="161"/>
        <v>0</v>
      </c>
      <c r="N1132" t="b">
        <f t="shared" si="162"/>
        <v>0</v>
      </c>
    </row>
    <row r="1133" spans="1:14">
      <c r="A1133" s="29">
        <v>45693</v>
      </c>
      <c r="B1133" s="30">
        <f t="shared" si="154"/>
        <v>2</v>
      </c>
      <c r="C1133" s="30">
        <f t="shared" si="157"/>
        <v>5</v>
      </c>
      <c r="D1133" s="26">
        <f>MATCH(WEEKDAY(A1133),そのた定義!A:A,0)</f>
        <v>5</v>
      </c>
      <c r="E1133" s="26" t="str">
        <f t="shared" ca="1" si="158"/>
        <v>水</v>
      </c>
      <c r="F1133" s="26">
        <f t="shared" si="159"/>
        <v>0</v>
      </c>
      <c r="G1133" s="26">
        <f>IF(ISNA(MATCH(A1133,祝日定義!E:E,0)),0,1)</f>
        <v>0</v>
      </c>
      <c r="H1133" s="26">
        <f>IF(ISNA(MATCH(B1133&amp;"/"&amp;C1133,そのた定義!E:E,0)), 0, 1)</f>
        <v>0</v>
      </c>
      <c r="I1133" s="26" t="b">
        <f t="shared" si="160"/>
        <v>0</v>
      </c>
      <c r="J1133" s="26">
        <v>0</v>
      </c>
      <c r="K1133" s="26" t="b">
        <f t="shared" si="155"/>
        <v>0</v>
      </c>
      <c r="L1133" s="26" t="b">
        <f t="shared" si="156"/>
        <v>0</v>
      </c>
      <c r="M1133" t="b">
        <f t="shared" si="161"/>
        <v>0</v>
      </c>
      <c r="N1133" t="b">
        <f t="shared" si="162"/>
        <v>0</v>
      </c>
    </row>
    <row r="1134" spans="1:14">
      <c r="A1134" s="29">
        <v>45694</v>
      </c>
      <c r="B1134" s="30">
        <f t="shared" si="154"/>
        <v>2</v>
      </c>
      <c r="C1134" s="30">
        <f t="shared" si="157"/>
        <v>6</v>
      </c>
      <c r="D1134" s="26">
        <f>MATCH(WEEKDAY(A1134),そのた定義!A:A,0)</f>
        <v>6</v>
      </c>
      <c r="E1134" s="26" t="str">
        <f t="shared" ca="1" si="158"/>
        <v>木</v>
      </c>
      <c r="F1134" s="26">
        <f t="shared" si="159"/>
        <v>0</v>
      </c>
      <c r="G1134" s="26">
        <f>IF(ISNA(MATCH(A1134,祝日定義!E:E,0)),0,1)</f>
        <v>0</v>
      </c>
      <c r="H1134" s="26">
        <f>IF(ISNA(MATCH(B1134&amp;"/"&amp;C1134,そのた定義!E:E,0)), 0, 1)</f>
        <v>0</v>
      </c>
      <c r="I1134" s="26" t="b">
        <f t="shared" si="160"/>
        <v>0</v>
      </c>
      <c r="J1134" s="26">
        <v>0</v>
      </c>
      <c r="K1134" s="26" t="b">
        <f t="shared" si="155"/>
        <v>0</v>
      </c>
      <c r="L1134" s="26" t="b">
        <f t="shared" si="156"/>
        <v>0</v>
      </c>
      <c r="M1134" t="b">
        <f t="shared" si="161"/>
        <v>0</v>
      </c>
      <c r="N1134" t="b">
        <f t="shared" si="162"/>
        <v>0</v>
      </c>
    </row>
    <row r="1135" spans="1:14">
      <c r="A1135" s="29">
        <v>45695</v>
      </c>
      <c r="B1135" s="30">
        <f t="shared" si="154"/>
        <v>2</v>
      </c>
      <c r="C1135" s="30">
        <f t="shared" si="157"/>
        <v>7</v>
      </c>
      <c r="D1135" s="26">
        <f>MATCH(WEEKDAY(A1135),そのた定義!A:A,0)</f>
        <v>7</v>
      </c>
      <c r="E1135" s="26" t="str">
        <f t="shared" ca="1" si="158"/>
        <v>金</v>
      </c>
      <c r="F1135" s="26">
        <f t="shared" si="159"/>
        <v>0</v>
      </c>
      <c r="G1135" s="26">
        <f>IF(ISNA(MATCH(A1135,祝日定義!E:E,0)),0,1)</f>
        <v>0</v>
      </c>
      <c r="H1135" s="26">
        <f>IF(ISNA(MATCH(B1135&amp;"/"&amp;C1135,そのた定義!E:E,0)), 0, 1)</f>
        <v>0</v>
      </c>
      <c r="I1135" s="26" t="b">
        <f t="shared" si="160"/>
        <v>0</v>
      </c>
      <c r="J1135" s="26">
        <v>0</v>
      </c>
      <c r="K1135" s="26" t="b">
        <f t="shared" si="155"/>
        <v>0</v>
      </c>
      <c r="L1135" s="26" t="b">
        <f t="shared" si="156"/>
        <v>0</v>
      </c>
      <c r="M1135" t="b">
        <f t="shared" si="161"/>
        <v>0</v>
      </c>
      <c r="N1135" t="b">
        <f t="shared" si="162"/>
        <v>0</v>
      </c>
    </row>
    <row r="1136" spans="1:14">
      <c r="A1136" s="29">
        <v>45696</v>
      </c>
      <c r="B1136" s="30">
        <f t="shared" si="154"/>
        <v>2</v>
      </c>
      <c r="C1136" s="30">
        <f t="shared" si="157"/>
        <v>8</v>
      </c>
      <c r="D1136" s="26">
        <f>MATCH(WEEKDAY(A1136),そのた定義!A:A,0)</f>
        <v>8</v>
      </c>
      <c r="E1136" s="33" t="str">
        <f t="shared" ca="1" si="158"/>
        <v>土</v>
      </c>
      <c r="F1136" s="26">
        <f t="shared" si="159"/>
        <v>1</v>
      </c>
      <c r="G1136" s="26">
        <f>IF(ISNA(MATCH(A1136,祝日定義!E:E,0)),0,1)</f>
        <v>0</v>
      </c>
      <c r="H1136" s="26">
        <f>IF(ISNA(MATCH(B1136&amp;"/"&amp;C1136,そのた定義!E:E,0)), 0, 1)</f>
        <v>0</v>
      </c>
      <c r="I1136" s="23" t="b">
        <f t="shared" si="160"/>
        <v>1</v>
      </c>
      <c r="J1136" s="26">
        <v>0</v>
      </c>
      <c r="K1136" s="26" t="b">
        <f t="shared" si="155"/>
        <v>0</v>
      </c>
      <c r="L1136" s="26" t="b">
        <f t="shared" si="156"/>
        <v>0</v>
      </c>
      <c r="M1136" t="b">
        <f t="shared" si="161"/>
        <v>0</v>
      </c>
      <c r="N1136" t="b">
        <f t="shared" si="162"/>
        <v>0</v>
      </c>
    </row>
    <row r="1137" spans="1:14">
      <c r="A1137" s="29">
        <v>45697</v>
      </c>
      <c r="B1137" s="30">
        <f t="shared" si="154"/>
        <v>2</v>
      </c>
      <c r="C1137" s="30">
        <f t="shared" si="157"/>
        <v>9</v>
      </c>
      <c r="D1137" s="26">
        <f>MATCH(WEEKDAY(A1137),そのた定義!A:A,0)</f>
        <v>2</v>
      </c>
      <c r="E1137" s="32" t="str">
        <f t="shared" ca="1" si="158"/>
        <v>日</v>
      </c>
      <c r="F1137" s="26">
        <f t="shared" si="159"/>
        <v>1</v>
      </c>
      <c r="G1137" s="26">
        <f>IF(ISNA(MATCH(A1137,祝日定義!E:E,0)),0,1)</f>
        <v>0</v>
      </c>
      <c r="H1137" s="26">
        <f>IF(ISNA(MATCH(B1137&amp;"/"&amp;C1137,そのた定義!E:E,0)), 0, 1)</f>
        <v>0</v>
      </c>
      <c r="I1137" s="23" t="b">
        <f t="shared" si="160"/>
        <v>1</v>
      </c>
      <c r="J1137" s="26">
        <v>0</v>
      </c>
      <c r="K1137" s="26" t="b">
        <f t="shared" si="155"/>
        <v>0</v>
      </c>
      <c r="L1137" s="26" t="b">
        <f t="shared" si="156"/>
        <v>0</v>
      </c>
      <c r="M1137" t="b">
        <f t="shared" si="161"/>
        <v>0</v>
      </c>
      <c r="N1137" t="b">
        <f t="shared" si="162"/>
        <v>0</v>
      </c>
    </row>
    <row r="1138" spans="1:14">
      <c r="A1138" s="29">
        <v>45698</v>
      </c>
      <c r="B1138" s="30">
        <f t="shared" si="154"/>
        <v>2</v>
      </c>
      <c r="C1138" s="30">
        <f t="shared" si="157"/>
        <v>10</v>
      </c>
      <c r="D1138" s="26">
        <f>MATCH(WEEKDAY(A1138),そのた定義!A:A,0)</f>
        <v>3</v>
      </c>
      <c r="E1138" s="26" t="str">
        <f t="shared" ca="1" si="158"/>
        <v>月</v>
      </c>
      <c r="F1138" s="26">
        <f t="shared" si="159"/>
        <v>0</v>
      </c>
      <c r="G1138" s="26">
        <f>IF(ISNA(MATCH(A1138,祝日定義!E:E,0)),0,1)</f>
        <v>0</v>
      </c>
      <c r="H1138" s="26">
        <f>IF(ISNA(MATCH(B1138&amp;"/"&amp;C1138,そのた定義!E:E,0)), 0, 1)</f>
        <v>0</v>
      </c>
      <c r="I1138" s="26" t="b">
        <f t="shared" si="160"/>
        <v>0</v>
      </c>
      <c r="J1138" s="26">
        <v>2</v>
      </c>
      <c r="K1138" s="26" t="b">
        <f t="shared" si="155"/>
        <v>0</v>
      </c>
      <c r="L1138" s="26" t="b">
        <f t="shared" si="156"/>
        <v>0</v>
      </c>
      <c r="M1138" t="b">
        <f t="shared" si="161"/>
        <v>0</v>
      </c>
      <c r="N1138" t="b">
        <f t="shared" si="162"/>
        <v>0</v>
      </c>
    </row>
    <row r="1139" spans="1:14">
      <c r="A1139" s="29">
        <v>45699</v>
      </c>
      <c r="B1139" s="30">
        <f t="shared" si="154"/>
        <v>2</v>
      </c>
      <c r="C1139" s="30">
        <f t="shared" si="157"/>
        <v>11</v>
      </c>
      <c r="D1139" s="26">
        <f>MATCH(WEEKDAY(A1139),そのた定義!A:A,0)</f>
        <v>4</v>
      </c>
      <c r="E1139" s="31" t="str">
        <f t="shared" ca="1" si="158"/>
        <v>火</v>
      </c>
      <c r="F1139" s="26">
        <f t="shared" si="159"/>
        <v>0</v>
      </c>
      <c r="G1139" s="26">
        <f>IF(ISNA(MATCH(A1139,祝日定義!E:E,0)),0,1)</f>
        <v>1</v>
      </c>
      <c r="H1139" s="26">
        <f>IF(ISNA(MATCH(B1139&amp;"/"&amp;C1139,そのた定義!E:E,0)), 0, 1)</f>
        <v>0</v>
      </c>
      <c r="I1139" s="23" t="b">
        <f t="shared" si="160"/>
        <v>1</v>
      </c>
      <c r="J1139" s="26">
        <v>0</v>
      </c>
      <c r="K1139" s="26" t="b">
        <f t="shared" si="155"/>
        <v>0</v>
      </c>
      <c r="L1139" s="26" t="b">
        <f t="shared" si="156"/>
        <v>0</v>
      </c>
      <c r="M1139" t="b">
        <f t="shared" si="161"/>
        <v>0</v>
      </c>
      <c r="N1139" t="b">
        <f t="shared" si="162"/>
        <v>0</v>
      </c>
    </row>
    <row r="1140" spans="1:14">
      <c r="A1140" s="29">
        <v>45700</v>
      </c>
      <c r="B1140" s="30">
        <f t="shared" si="154"/>
        <v>2</v>
      </c>
      <c r="C1140" s="30">
        <f t="shared" si="157"/>
        <v>12</v>
      </c>
      <c r="D1140" s="26">
        <f>MATCH(WEEKDAY(A1140),そのた定義!A:A,0)</f>
        <v>5</v>
      </c>
      <c r="E1140" s="26" t="str">
        <f t="shared" ca="1" si="158"/>
        <v>水</v>
      </c>
      <c r="F1140" s="26">
        <f t="shared" si="159"/>
        <v>0</v>
      </c>
      <c r="G1140" s="26">
        <f>IF(ISNA(MATCH(A1140,祝日定義!E:E,0)),0,1)</f>
        <v>0</v>
      </c>
      <c r="H1140" s="26">
        <f>IF(ISNA(MATCH(B1140&amp;"/"&amp;C1140,そのた定義!E:E,0)), 0, 1)</f>
        <v>0</v>
      </c>
      <c r="I1140" s="26" t="b">
        <f t="shared" si="160"/>
        <v>0</v>
      </c>
      <c r="J1140" s="26">
        <v>1</v>
      </c>
      <c r="K1140" s="26" t="b">
        <f t="shared" si="155"/>
        <v>0</v>
      </c>
      <c r="L1140" s="26" t="b">
        <f t="shared" si="156"/>
        <v>0</v>
      </c>
      <c r="M1140" t="b">
        <f t="shared" si="161"/>
        <v>0</v>
      </c>
      <c r="N1140" t="b">
        <f t="shared" si="162"/>
        <v>0</v>
      </c>
    </row>
    <row r="1141" spans="1:14">
      <c r="A1141" s="29">
        <v>45701</v>
      </c>
      <c r="B1141" s="30">
        <f t="shared" si="154"/>
        <v>2</v>
      </c>
      <c r="C1141" s="30">
        <f t="shared" si="157"/>
        <v>13</v>
      </c>
      <c r="D1141" s="26">
        <f>MATCH(WEEKDAY(A1141),そのた定義!A:A,0)</f>
        <v>6</v>
      </c>
      <c r="E1141" s="26" t="str">
        <f t="shared" ca="1" si="158"/>
        <v>木</v>
      </c>
      <c r="F1141" s="26">
        <f t="shared" si="159"/>
        <v>0</v>
      </c>
      <c r="G1141" s="26">
        <f>IF(ISNA(MATCH(A1141,祝日定義!E:E,0)),0,1)</f>
        <v>0</v>
      </c>
      <c r="H1141" s="26">
        <f>IF(ISNA(MATCH(B1141&amp;"/"&amp;C1141,そのた定義!E:E,0)), 0, 1)</f>
        <v>0</v>
      </c>
      <c r="I1141" s="26" t="b">
        <f t="shared" si="160"/>
        <v>0</v>
      </c>
      <c r="J1141" s="26">
        <v>0</v>
      </c>
      <c r="K1141" s="26" t="b">
        <f t="shared" si="155"/>
        <v>0</v>
      </c>
      <c r="L1141" s="26" t="b">
        <f t="shared" si="156"/>
        <v>0</v>
      </c>
      <c r="M1141" t="b">
        <f t="shared" si="161"/>
        <v>0</v>
      </c>
      <c r="N1141" t="b">
        <f t="shared" si="162"/>
        <v>0</v>
      </c>
    </row>
    <row r="1142" spans="1:14">
      <c r="A1142" s="29">
        <v>45702</v>
      </c>
      <c r="B1142" s="30">
        <f t="shared" si="154"/>
        <v>2</v>
      </c>
      <c r="C1142" s="30">
        <f t="shared" si="157"/>
        <v>14</v>
      </c>
      <c r="D1142" s="26">
        <f>MATCH(WEEKDAY(A1142),そのた定義!A:A,0)</f>
        <v>7</v>
      </c>
      <c r="E1142" s="26" t="str">
        <f t="shared" ca="1" si="158"/>
        <v>金</v>
      </c>
      <c r="F1142" s="26">
        <f t="shared" si="159"/>
        <v>0</v>
      </c>
      <c r="G1142" s="26">
        <f>IF(ISNA(MATCH(A1142,祝日定義!E:E,0)),0,1)</f>
        <v>0</v>
      </c>
      <c r="H1142" s="26">
        <f>IF(ISNA(MATCH(B1142&amp;"/"&amp;C1142,そのた定義!E:E,0)), 0, 1)</f>
        <v>0</v>
      </c>
      <c r="I1142" s="26" t="b">
        <f t="shared" si="160"/>
        <v>0</v>
      </c>
      <c r="J1142" s="26">
        <v>0</v>
      </c>
      <c r="K1142" s="26" t="b">
        <f t="shared" si="155"/>
        <v>0</v>
      </c>
      <c r="L1142" s="26" t="b">
        <f t="shared" si="156"/>
        <v>0</v>
      </c>
      <c r="M1142" t="b">
        <f t="shared" si="161"/>
        <v>0</v>
      </c>
      <c r="N1142" t="b">
        <f t="shared" si="162"/>
        <v>0</v>
      </c>
    </row>
    <row r="1143" spans="1:14">
      <c r="A1143" s="29">
        <v>45703</v>
      </c>
      <c r="B1143" s="30">
        <f t="shared" si="154"/>
        <v>2</v>
      </c>
      <c r="C1143" s="30">
        <f t="shared" si="157"/>
        <v>15</v>
      </c>
      <c r="D1143" s="26">
        <f>MATCH(WEEKDAY(A1143),そのた定義!A:A,0)</f>
        <v>8</v>
      </c>
      <c r="E1143" s="33" t="str">
        <f t="shared" ca="1" si="158"/>
        <v>土</v>
      </c>
      <c r="F1143" s="26">
        <f t="shared" si="159"/>
        <v>1</v>
      </c>
      <c r="G1143" s="26">
        <f>IF(ISNA(MATCH(A1143,祝日定義!E:E,0)),0,1)</f>
        <v>0</v>
      </c>
      <c r="H1143" s="26">
        <f>IF(ISNA(MATCH(B1143&amp;"/"&amp;C1143,そのた定義!E:E,0)), 0, 1)</f>
        <v>0</v>
      </c>
      <c r="I1143" s="23" t="b">
        <f t="shared" si="160"/>
        <v>1</v>
      </c>
      <c r="J1143" s="26">
        <v>0</v>
      </c>
      <c r="K1143" s="26" t="b">
        <f t="shared" si="155"/>
        <v>0</v>
      </c>
      <c r="L1143" s="26" t="b">
        <f t="shared" si="156"/>
        <v>0</v>
      </c>
      <c r="M1143" t="b">
        <f t="shared" si="161"/>
        <v>0</v>
      </c>
      <c r="N1143" t="b">
        <f t="shared" si="162"/>
        <v>0</v>
      </c>
    </row>
    <row r="1144" spans="1:14">
      <c r="A1144" s="29">
        <v>45704</v>
      </c>
      <c r="B1144" s="30">
        <f t="shared" si="154"/>
        <v>2</v>
      </c>
      <c r="C1144" s="30">
        <f t="shared" si="157"/>
        <v>16</v>
      </c>
      <c r="D1144" s="26">
        <f>MATCH(WEEKDAY(A1144),そのた定義!A:A,0)</f>
        <v>2</v>
      </c>
      <c r="E1144" s="32" t="str">
        <f t="shared" ca="1" si="158"/>
        <v>日</v>
      </c>
      <c r="F1144" s="26">
        <f t="shared" si="159"/>
        <v>1</v>
      </c>
      <c r="G1144" s="26">
        <f>IF(ISNA(MATCH(A1144,祝日定義!E:E,0)),0,1)</f>
        <v>0</v>
      </c>
      <c r="H1144" s="26">
        <f>IF(ISNA(MATCH(B1144&amp;"/"&amp;C1144,そのた定義!E:E,0)), 0, 1)</f>
        <v>0</v>
      </c>
      <c r="I1144" s="23" t="b">
        <f t="shared" si="160"/>
        <v>1</v>
      </c>
      <c r="J1144" s="26">
        <v>0</v>
      </c>
      <c r="K1144" s="26" t="b">
        <f t="shared" si="155"/>
        <v>0</v>
      </c>
      <c r="L1144" s="26" t="b">
        <f t="shared" si="156"/>
        <v>0</v>
      </c>
      <c r="M1144" t="b">
        <f t="shared" si="161"/>
        <v>0</v>
      </c>
      <c r="N1144" t="b">
        <f t="shared" si="162"/>
        <v>0</v>
      </c>
    </row>
    <row r="1145" spans="1:14">
      <c r="A1145" s="29">
        <v>45705</v>
      </c>
      <c r="B1145" s="30">
        <f t="shared" si="154"/>
        <v>2</v>
      </c>
      <c r="C1145" s="30">
        <f t="shared" si="157"/>
        <v>17</v>
      </c>
      <c r="D1145" s="26">
        <f>MATCH(WEEKDAY(A1145),そのた定義!A:A,0)</f>
        <v>3</v>
      </c>
      <c r="E1145" s="26" t="str">
        <f t="shared" ca="1" si="158"/>
        <v>月</v>
      </c>
      <c r="F1145" s="26">
        <f t="shared" si="159"/>
        <v>0</v>
      </c>
      <c r="G1145" s="26">
        <f>IF(ISNA(MATCH(A1145,祝日定義!E:E,0)),0,1)</f>
        <v>0</v>
      </c>
      <c r="H1145" s="26">
        <f>IF(ISNA(MATCH(B1145&amp;"/"&amp;C1145,そのた定義!E:E,0)), 0, 1)</f>
        <v>0</v>
      </c>
      <c r="I1145" s="26" t="b">
        <f t="shared" si="160"/>
        <v>0</v>
      </c>
      <c r="J1145" s="26">
        <v>2</v>
      </c>
      <c r="K1145" s="26" t="b">
        <f t="shared" si="155"/>
        <v>0</v>
      </c>
      <c r="L1145" s="26" t="b">
        <f t="shared" si="156"/>
        <v>0</v>
      </c>
      <c r="M1145" t="b">
        <f t="shared" si="161"/>
        <v>0</v>
      </c>
      <c r="N1145" t="b">
        <f t="shared" si="162"/>
        <v>0</v>
      </c>
    </row>
    <row r="1146" spans="1:14">
      <c r="A1146" s="29">
        <v>45706</v>
      </c>
      <c r="B1146" s="30">
        <f t="shared" si="154"/>
        <v>2</v>
      </c>
      <c r="C1146" s="30">
        <f t="shared" si="157"/>
        <v>18</v>
      </c>
      <c r="D1146" s="26">
        <f>MATCH(WEEKDAY(A1146),そのた定義!A:A,0)</f>
        <v>4</v>
      </c>
      <c r="E1146" s="26" t="str">
        <f t="shared" ca="1" si="158"/>
        <v>火</v>
      </c>
      <c r="F1146" s="26">
        <f t="shared" si="159"/>
        <v>0</v>
      </c>
      <c r="G1146" s="26">
        <f>IF(ISNA(MATCH(A1146,祝日定義!E:E,0)),0,1)</f>
        <v>0</v>
      </c>
      <c r="H1146" s="26">
        <f>IF(ISNA(MATCH(B1146&amp;"/"&amp;C1146,そのた定義!E:E,0)), 0, 1)</f>
        <v>0</v>
      </c>
      <c r="I1146" s="26" t="b">
        <f t="shared" si="160"/>
        <v>0</v>
      </c>
      <c r="J1146" s="26">
        <v>0</v>
      </c>
      <c r="K1146" s="26" t="b">
        <f t="shared" si="155"/>
        <v>0</v>
      </c>
      <c r="L1146" s="26" t="b">
        <f t="shared" si="156"/>
        <v>0</v>
      </c>
      <c r="M1146" t="b">
        <f t="shared" si="161"/>
        <v>0</v>
      </c>
      <c r="N1146" t="b">
        <f t="shared" si="162"/>
        <v>0</v>
      </c>
    </row>
    <row r="1147" spans="1:14">
      <c r="A1147" s="29">
        <v>45707</v>
      </c>
      <c r="B1147" s="30">
        <f t="shared" si="154"/>
        <v>2</v>
      </c>
      <c r="C1147" s="30">
        <f t="shared" si="157"/>
        <v>19</v>
      </c>
      <c r="D1147" s="26">
        <f>MATCH(WEEKDAY(A1147),そのた定義!A:A,0)</f>
        <v>5</v>
      </c>
      <c r="E1147" s="26" t="str">
        <f t="shared" ca="1" si="158"/>
        <v>水</v>
      </c>
      <c r="F1147" s="26">
        <f t="shared" si="159"/>
        <v>0</v>
      </c>
      <c r="G1147" s="26">
        <f>IF(ISNA(MATCH(A1147,祝日定義!E:E,0)),0,1)</f>
        <v>0</v>
      </c>
      <c r="H1147" s="26">
        <f>IF(ISNA(MATCH(B1147&amp;"/"&amp;C1147,そのた定義!E:E,0)), 0, 1)</f>
        <v>0</v>
      </c>
      <c r="I1147" s="26" t="b">
        <f t="shared" si="160"/>
        <v>0</v>
      </c>
      <c r="J1147" s="26">
        <v>0</v>
      </c>
      <c r="K1147" s="26" t="b">
        <f t="shared" si="155"/>
        <v>0</v>
      </c>
      <c r="L1147" s="26" t="b">
        <f t="shared" si="156"/>
        <v>0</v>
      </c>
      <c r="M1147" t="b">
        <f t="shared" si="161"/>
        <v>0</v>
      </c>
      <c r="N1147" t="b">
        <f t="shared" si="162"/>
        <v>0</v>
      </c>
    </row>
    <row r="1148" spans="1:14">
      <c r="A1148" s="29">
        <v>45708</v>
      </c>
      <c r="B1148" s="30">
        <f t="shared" si="154"/>
        <v>2</v>
      </c>
      <c r="C1148" s="30">
        <f t="shared" si="157"/>
        <v>20</v>
      </c>
      <c r="D1148" s="26">
        <f>MATCH(WEEKDAY(A1148),そのた定義!A:A,0)</f>
        <v>6</v>
      </c>
      <c r="E1148" s="26" t="str">
        <f t="shared" ca="1" si="158"/>
        <v>木</v>
      </c>
      <c r="F1148" s="26">
        <f t="shared" si="159"/>
        <v>0</v>
      </c>
      <c r="G1148" s="26">
        <f>IF(ISNA(MATCH(A1148,祝日定義!E:E,0)),0,1)</f>
        <v>0</v>
      </c>
      <c r="H1148" s="26">
        <f>IF(ISNA(MATCH(B1148&amp;"/"&amp;C1148,そのた定義!E:E,0)), 0, 1)</f>
        <v>0</v>
      </c>
      <c r="I1148" s="26" t="b">
        <f t="shared" si="160"/>
        <v>0</v>
      </c>
      <c r="J1148" s="26">
        <v>0</v>
      </c>
      <c r="K1148" s="26" t="b">
        <f t="shared" si="155"/>
        <v>0</v>
      </c>
      <c r="L1148" s="26" t="b">
        <f t="shared" si="156"/>
        <v>0</v>
      </c>
      <c r="M1148" t="b">
        <f t="shared" si="161"/>
        <v>0</v>
      </c>
      <c r="N1148" t="b">
        <f t="shared" si="162"/>
        <v>0</v>
      </c>
    </row>
    <row r="1149" spans="1:14">
      <c r="A1149" s="29">
        <v>45709</v>
      </c>
      <c r="B1149" s="30">
        <f t="shared" si="154"/>
        <v>2</v>
      </c>
      <c r="C1149" s="30">
        <f t="shared" si="157"/>
        <v>21</v>
      </c>
      <c r="D1149" s="26">
        <f>MATCH(WEEKDAY(A1149),そのた定義!A:A,0)</f>
        <v>7</v>
      </c>
      <c r="E1149" s="26" t="str">
        <f t="shared" ca="1" si="158"/>
        <v>金</v>
      </c>
      <c r="F1149" s="26">
        <f t="shared" si="159"/>
        <v>0</v>
      </c>
      <c r="G1149" s="26">
        <f>IF(ISNA(MATCH(A1149,祝日定義!E:E,0)),0,1)</f>
        <v>0</v>
      </c>
      <c r="H1149" s="26">
        <f>IF(ISNA(MATCH(B1149&amp;"/"&amp;C1149,そのた定義!E:E,0)), 0, 1)</f>
        <v>0</v>
      </c>
      <c r="I1149" s="26" t="b">
        <f t="shared" si="160"/>
        <v>0</v>
      </c>
      <c r="J1149" s="26">
        <v>0</v>
      </c>
      <c r="K1149" s="26" t="b">
        <f t="shared" si="155"/>
        <v>0</v>
      </c>
      <c r="L1149" s="26" t="b">
        <f t="shared" si="156"/>
        <v>0</v>
      </c>
      <c r="M1149" t="b">
        <f t="shared" si="161"/>
        <v>0</v>
      </c>
      <c r="N1149" t="b">
        <f t="shared" si="162"/>
        <v>0</v>
      </c>
    </row>
    <row r="1150" spans="1:14">
      <c r="A1150" s="29">
        <v>45710</v>
      </c>
      <c r="B1150" s="30">
        <f t="shared" si="154"/>
        <v>2</v>
      </c>
      <c r="C1150" s="30">
        <f t="shared" si="157"/>
        <v>22</v>
      </c>
      <c r="D1150" s="26">
        <f>MATCH(WEEKDAY(A1150),そのた定義!A:A,0)</f>
        <v>8</v>
      </c>
      <c r="E1150" s="33" t="str">
        <f t="shared" ca="1" si="158"/>
        <v>土</v>
      </c>
      <c r="F1150" s="26">
        <f t="shared" si="159"/>
        <v>1</v>
      </c>
      <c r="G1150" s="26">
        <f>IF(ISNA(MATCH(A1150,祝日定義!E:E,0)),0,1)</f>
        <v>0</v>
      </c>
      <c r="H1150" s="26">
        <f>IF(ISNA(MATCH(B1150&amp;"/"&amp;C1150,そのた定義!E:E,0)), 0, 1)</f>
        <v>0</v>
      </c>
      <c r="I1150" s="23" t="b">
        <f t="shared" si="160"/>
        <v>1</v>
      </c>
      <c r="J1150" s="26">
        <v>0</v>
      </c>
      <c r="K1150" s="26" t="b">
        <f t="shared" si="155"/>
        <v>0</v>
      </c>
      <c r="L1150" s="26" t="b">
        <f t="shared" si="156"/>
        <v>0</v>
      </c>
      <c r="M1150" t="b">
        <f t="shared" si="161"/>
        <v>0</v>
      </c>
      <c r="N1150" t="b">
        <f t="shared" si="162"/>
        <v>0</v>
      </c>
    </row>
    <row r="1151" spans="1:14">
      <c r="A1151" s="29">
        <v>45711</v>
      </c>
      <c r="B1151" s="30">
        <f t="shared" si="154"/>
        <v>2</v>
      </c>
      <c r="C1151" s="30">
        <f t="shared" si="157"/>
        <v>23</v>
      </c>
      <c r="D1151" s="26">
        <f>MATCH(WEEKDAY(A1151),そのた定義!A:A,0)</f>
        <v>2</v>
      </c>
      <c r="E1151" s="32" t="str">
        <f t="shared" ca="1" si="158"/>
        <v>日</v>
      </c>
      <c r="F1151" s="26">
        <f t="shared" si="159"/>
        <v>1</v>
      </c>
      <c r="G1151" s="26">
        <f>IF(ISNA(MATCH(A1151,祝日定義!E:E,0)),0,1)</f>
        <v>1</v>
      </c>
      <c r="H1151" s="26">
        <f>IF(ISNA(MATCH(B1151&amp;"/"&amp;C1151,そのた定義!E:E,0)), 0, 1)</f>
        <v>0</v>
      </c>
      <c r="I1151" s="23" t="b">
        <f t="shared" si="160"/>
        <v>1</v>
      </c>
      <c r="J1151" s="26">
        <v>0</v>
      </c>
      <c r="K1151" s="26" t="b">
        <f t="shared" si="155"/>
        <v>0</v>
      </c>
      <c r="L1151" s="26" t="b">
        <f t="shared" si="156"/>
        <v>0</v>
      </c>
      <c r="M1151" t="b">
        <f t="shared" si="161"/>
        <v>0</v>
      </c>
      <c r="N1151" t="b">
        <f t="shared" si="162"/>
        <v>0</v>
      </c>
    </row>
    <row r="1152" spans="1:14">
      <c r="A1152" s="29">
        <v>45712</v>
      </c>
      <c r="B1152" s="30">
        <f t="shared" si="154"/>
        <v>2</v>
      </c>
      <c r="C1152" s="30">
        <f t="shared" si="157"/>
        <v>24</v>
      </c>
      <c r="D1152" s="26">
        <f>MATCH(WEEKDAY(A1152),そのた定義!A:A,0)</f>
        <v>3</v>
      </c>
      <c r="E1152" s="31" t="str">
        <f t="shared" ca="1" si="158"/>
        <v>月</v>
      </c>
      <c r="F1152" s="26">
        <f t="shared" si="159"/>
        <v>0</v>
      </c>
      <c r="G1152" s="26">
        <f>IF(ISNA(MATCH(A1152,祝日定義!E:E,0)),0,1)</f>
        <v>1</v>
      </c>
      <c r="H1152" s="26">
        <f>IF(ISNA(MATCH(B1152&amp;"/"&amp;C1152,そのた定義!E:E,0)), 0, 1)</f>
        <v>0</v>
      </c>
      <c r="I1152" s="23" t="b">
        <f t="shared" si="160"/>
        <v>1</v>
      </c>
      <c r="J1152" s="26">
        <v>0</v>
      </c>
      <c r="K1152" s="26" t="b">
        <f t="shared" si="155"/>
        <v>0</v>
      </c>
      <c r="L1152" s="26" t="b">
        <f t="shared" si="156"/>
        <v>0</v>
      </c>
      <c r="M1152" t="b">
        <f t="shared" si="161"/>
        <v>0</v>
      </c>
      <c r="N1152" t="b">
        <f t="shared" si="162"/>
        <v>0</v>
      </c>
    </row>
    <row r="1153" spans="1:14">
      <c r="A1153" s="29">
        <v>45713</v>
      </c>
      <c r="B1153" s="30">
        <f t="shared" si="154"/>
        <v>2</v>
      </c>
      <c r="C1153" s="30">
        <f t="shared" si="157"/>
        <v>25</v>
      </c>
      <c r="D1153" s="26">
        <f>MATCH(WEEKDAY(A1153),そのた定義!A:A,0)</f>
        <v>4</v>
      </c>
      <c r="E1153" s="26" t="str">
        <f t="shared" ca="1" si="158"/>
        <v>火</v>
      </c>
      <c r="F1153" s="26">
        <f t="shared" si="159"/>
        <v>0</v>
      </c>
      <c r="G1153" s="26">
        <f>IF(ISNA(MATCH(A1153,祝日定義!E:E,0)),0,1)</f>
        <v>0</v>
      </c>
      <c r="H1153" s="26">
        <f>IF(ISNA(MATCH(B1153&amp;"/"&amp;C1153,そのた定義!E:E,0)), 0, 1)</f>
        <v>0</v>
      </c>
      <c r="I1153" s="26" t="b">
        <f t="shared" si="160"/>
        <v>0</v>
      </c>
      <c r="J1153" s="26">
        <v>3</v>
      </c>
      <c r="K1153" s="26" t="b">
        <f t="shared" si="155"/>
        <v>0</v>
      </c>
      <c r="L1153" s="23" t="b">
        <f t="shared" si="156"/>
        <v>1</v>
      </c>
      <c r="M1153" t="b">
        <f t="shared" si="161"/>
        <v>0</v>
      </c>
      <c r="N1153" t="b">
        <f t="shared" si="162"/>
        <v>0</v>
      </c>
    </row>
    <row r="1154" spans="1:14">
      <c r="A1154" s="29">
        <v>45714</v>
      </c>
      <c r="B1154" s="30">
        <f t="shared" ref="B1154:B1217" si="163">MONTH(A1154)</f>
        <v>2</v>
      </c>
      <c r="C1154" s="30">
        <f t="shared" si="157"/>
        <v>26</v>
      </c>
      <c r="D1154" s="26">
        <f>MATCH(WEEKDAY(A1154),そのた定義!A:A,0)</f>
        <v>5</v>
      </c>
      <c r="E1154" s="26" t="str">
        <f t="shared" ca="1" si="158"/>
        <v>水</v>
      </c>
      <c r="F1154" s="26">
        <f t="shared" si="159"/>
        <v>0</v>
      </c>
      <c r="G1154" s="26">
        <f>IF(ISNA(MATCH(A1154,祝日定義!E:E,0)),0,1)</f>
        <v>0</v>
      </c>
      <c r="H1154" s="26">
        <f>IF(ISNA(MATCH(B1154&amp;"/"&amp;C1154,そのた定義!E:E,0)), 0, 1)</f>
        <v>0</v>
      </c>
      <c r="I1154" s="26" t="b">
        <f t="shared" si="160"/>
        <v>0</v>
      </c>
      <c r="J1154" s="26">
        <v>0</v>
      </c>
      <c r="K1154" s="26" t="b">
        <f t="shared" ref="K1154:K1217" si="164">AND(C1154&gt;25,DAY(A1154-J1154)&lt;=25)</f>
        <v>0</v>
      </c>
      <c r="L1154" s="26" t="b">
        <f t="shared" ref="L1154:L1217" si="165">C1154=25</f>
        <v>0</v>
      </c>
      <c r="M1154" t="b">
        <f t="shared" si="161"/>
        <v>0</v>
      </c>
      <c r="N1154" t="b">
        <f t="shared" si="162"/>
        <v>0</v>
      </c>
    </row>
    <row r="1155" spans="1:14">
      <c r="A1155" s="29">
        <v>45715</v>
      </c>
      <c r="B1155" s="30">
        <f t="shared" si="163"/>
        <v>2</v>
      </c>
      <c r="C1155" s="30">
        <f t="shared" ref="C1155:C1218" si="166">DAY(A1155)</f>
        <v>27</v>
      </c>
      <c r="D1155" s="26">
        <f>MATCH(WEEKDAY(A1155),そのた定義!A:A,0)</f>
        <v>6</v>
      </c>
      <c r="E1155" s="26" t="str">
        <f t="shared" ref="E1155:E1218" ca="1" si="167">INDIRECT("そのた定義!"&amp;"B"&amp;D1155)</f>
        <v>木</v>
      </c>
      <c r="F1155" s="26">
        <f t="shared" ref="F1155:F1218" si="168">IF(OR(D1155=8,D1155=2),1,0)</f>
        <v>0</v>
      </c>
      <c r="G1155" s="26">
        <f>IF(ISNA(MATCH(A1155,祝日定義!E:E,0)),0,1)</f>
        <v>0</v>
      </c>
      <c r="H1155" s="26">
        <f>IF(ISNA(MATCH(B1155&amp;"/"&amp;C1155,そのた定義!E:E,0)), 0, 1)</f>
        <v>0</v>
      </c>
      <c r="I1155" s="26" t="b">
        <f t="shared" ref="I1155:I1218" si="169">SUM(F1155:H1155)&gt;0</f>
        <v>0</v>
      </c>
      <c r="J1155" s="26">
        <v>0</v>
      </c>
      <c r="K1155" s="26" t="b">
        <f t="shared" si="164"/>
        <v>0</v>
      </c>
      <c r="L1155" s="26" t="b">
        <f t="shared" si="165"/>
        <v>0</v>
      </c>
      <c r="M1155" t="b">
        <f t="shared" ref="M1155:M1218" si="170">B1155&lt;&gt;MONTH(A1155-J1155)</f>
        <v>0</v>
      </c>
      <c r="N1155" t="b">
        <f t="shared" ref="N1155:N1218" si="171">B1155&lt;&gt;MONTH(A1155+1)</f>
        <v>0</v>
      </c>
    </row>
    <row r="1156" spans="1:14">
      <c r="A1156" s="29">
        <v>45716</v>
      </c>
      <c r="B1156" s="30">
        <f t="shared" si="163"/>
        <v>2</v>
      </c>
      <c r="C1156" s="30">
        <f t="shared" si="166"/>
        <v>28</v>
      </c>
      <c r="D1156" s="26">
        <f>MATCH(WEEKDAY(A1156),そのた定義!A:A,0)</f>
        <v>7</v>
      </c>
      <c r="E1156" s="26" t="str">
        <f t="shared" ca="1" si="167"/>
        <v>金</v>
      </c>
      <c r="F1156" s="26">
        <f t="shared" si="168"/>
        <v>0</v>
      </c>
      <c r="G1156" s="26">
        <f>IF(ISNA(MATCH(A1156,祝日定義!E:E,0)),0,1)</f>
        <v>0</v>
      </c>
      <c r="H1156" s="26">
        <f>IF(ISNA(MATCH(B1156&amp;"/"&amp;C1156,そのた定義!E:E,0)), 0, 1)</f>
        <v>0</v>
      </c>
      <c r="I1156" s="26" t="b">
        <f t="shared" si="169"/>
        <v>0</v>
      </c>
      <c r="J1156" s="26">
        <v>0</v>
      </c>
      <c r="K1156" s="26" t="b">
        <f t="shared" si="164"/>
        <v>0</v>
      </c>
      <c r="L1156" s="26" t="b">
        <f t="shared" si="165"/>
        <v>0</v>
      </c>
      <c r="M1156" t="b">
        <f t="shared" si="170"/>
        <v>0</v>
      </c>
      <c r="N1156" t="b">
        <f t="shared" si="171"/>
        <v>1</v>
      </c>
    </row>
    <row r="1157" spans="1:14">
      <c r="A1157" s="29">
        <v>45717</v>
      </c>
      <c r="B1157" s="30">
        <f t="shared" si="163"/>
        <v>3</v>
      </c>
      <c r="C1157" s="30">
        <f t="shared" si="166"/>
        <v>1</v>
      </c>
      <c r="D1157" s="26">
        <f>MATCH(WEEKDAY(A1157),そのた定義!A:A,0)</f>
        <v>8</v>
      </c>
      <c r="E1157" s="33" t="str">
        <f t="shared" ca="1" si="167"/>
        <v>土</v>
      </c>
      <c r="F1157" s="26">
        <f t="shared" si="168"/>
        <v>1</v>
      </c>
      <c r="G1157" s="26">
        <f>IF(ISNA(MATCH(A1157,祝日定義!E:E,0)),0,1)</f>
        <v>0</v>
      </c>
      <c r="H1157" s="26">
        <f>IF(ISNA(MATCH(B1157&amp;"/"&amp;C1157,そのた定義!E:E,0)), 0, 1)</f>
        <v>0</v>
      </c>
      <c r="I1157" s="23" t="b">
        <f t="shared" si="169"/>
        <v>1</v>
      </c>
      <c r="J1157" s="26">
        <v>0</v>
      </c>
      <c r="K1157" s="26" t="b">
        <f t="shared" si="164"/>
        <v>0</v>
      </c>
      <c r="L1157" s="26" t="b">
        <f t="shared" si="165"/>
        <v>0</v>
      </c>
      <c r="M1157" t="b">
        <f t="shared" si="170"/>
        <v>0</v>
      </c>
      <c r="N1157" t="b">
        <f t="shared" si="171"/>
        <v>0</v>
      </c>
    </row>
    <row r="1158" spans="1:14">
      <c r="A1158" s="29">
        <v>45718</v>
      </c>
      <c r="B1158" s="30">
        <f t="shared" si="163"/>
        <v>3</v>
      </c>
      <c r="C1158" s="30">
        <f t="shared" si="166"/>
        <v>2</v>
      </c>
      <c r="D1158" s="26">
        <f>MATCH(WEEKDAY(A1158),そのた定義!A:A,0)</f>
        <v>2</v>
      </c>
      <c r="E1158" s="32" t="str">
        <f t="shared" ca="1" si="167"/>
        <v>日</v>
      </c>
      <c r="F1158" s="26">
        <f t="shared" si="168"/>
        <v>1</v>
      </c>
      <c r="G1158" s="26">
        <f>IF(ISNA(MATCH(A1158,祝日定義!E:E,0)),0,1)</f>
        <v>0</v>
      </c>
      <c r="H1158" s="26">
        <f>IF(ISNA(MATCH(B1158&amp;"/"&amp;C1158,そのた定義!E:E,0)), 0, 1)</f>
        <v>0</v>
      </c>
      <c r="I1158" s="23" t="b">
        <f t="shared" si="169"/>
        <v>1</v>
      </c>
      <c r="J1158" s="26">
        <v>0</v>
      </c>
      <c r="K1158" s="26" t="b">
        <f t="shared" si="164"/>
        <v>0</v>
      </c>
      <c r="L1158" s="26" t="b">
        <f t="shared" si="165"/>
        <v>0</v>
      </c>
      <c r="M1158" t="b">
        <f t="shared" si="170"/>
        <v>0</v>
      </c>
      <c r="N1158" t="b">
        <f t="shared" si="171"/>
        <v>0</v>
      </c>
    </row>
    <row r="1159" spans="1:14">
      <c r="A1159" s="29">
        <v>45719</v>
      </c>
      <c r="B1159" s="30">
        <f t="shared" si="163"/>
        <v>3</v>
      </c>
      <c r="C1159" s="30">
        <f t="shared" si="166"/>
        <v>3</v>
      </c>
      <c r="D1159" s="26">
        <f>MATCH(WEEKDAY(A1159),そのた定義!A:A,0)</f>
        <v>3</v>
      </c>
      <c r="E1159" s="26" t="str">
        <f t="shared" ca="1" si="167"/>
        <v>月</v>
      </c>
      <c r="F1159" s="26">
        <f t="shared" si="168"/>
        <v>0</v>
      </c>
      <c r="G1159" s="26">
        <f>IF(ISNA(MATCH(A1159,祝日定義!E:E,0)),0,1)</f>
        <v>0</v>
      </c>
      <c r="H1159" s="26">
        <f>IF(ISNA(MATCH(B1159&amp;"/"&amp;C1159,そのた定義!E:E,0)), 0, 1)</f>
        <v>0</v>
      </c>
      <c r="I1159" s="26" t="b">
        <f t="shared" si="169"/>
        <v>0</v>
      </c>
      <c r="J1159" s="26">
        <v>2</v>
      </c>
      <c r="K1159" s="26" t="b">
        <f t="shared" si="164"/>
        <v>0</v>
      </c>
      <c r="L1159" s="26" t="b">
        <f t="shared" si="165"/>
        <v>0</v>
      </c>
      <c r="M1159" t="b">
        <f t="shared" si="170"/>
        <v>0</v>
      </c>
      <c r="N1159" t="b">
        <f t="shared" si="171"/>
        <v>0</v>
      </c>
    </row>
    <row r="1160" spans="1:14">
      <c r="A1160" s="29">
        <v>45720</v>
      </c>
      <c r="B1160" s="30">
        <f t="shared" si="163"/>
        <v>3</v>
      </c>
      <c r="C1160" s="30">
        <f t="shared" si="166"/>
        <v>4</v>
      </c>
      <c r="D1160" s="26">
        <f>MATCH(WEEKDAY(A1160),そのた定義!A:A,0)</f>
        <v>4</v>
      </c>
      <c r="E1160" s="26" t="str">
        <f t="shared" ca="1" si="167"/>
        <v>火</v>
      </c>
      <c r="F1160" s="26">
        <f t="shared" si="168"/>
        <v>0</v>
      </c>
      <c r="G1160" s="26">
        <f>IF(ISNA(MATCH(A1160,祝日定義!E:E,0)),0,1)</f>
        <v>0</v>
      </c>
      <c r="H1160" s="26">
        <f>IF(ISNA(MATCH(B1160&amp;"/"&amp;C1160,そのた定義!E:E,0)), 0, 1)</f>
        <v>0</v>
      </c>
      <c r="I1160" s="26" t="b">
        <f t="shared" si="169"/>
        <v>0</v>
      </c>
      <c r="J1160" s="26">
        <v>0</v>
      </c>
      <c r="K1160" s="26" t="b">
        <f t="shared" si="164"/>
        <v>0</v>
      </c>
      <c r="L1160" s="26" t="b">
        <f t="shared" si="165"/>
        <v>0</v>
      </c>
      <c r="M1160" t="b">
        <f t="shared" si="170"/>
        <v>0</v>
      </c>
      <c r="N1160" t="b">
        <f t="shared" si="171"/>
        <v>0</v>
      </c>
    </row>
    <row r="1161" spans="1:14">
      <c r="A1161" s="29">
        <v>45721</v>
      </c>
      <c r="B1161" s="30">
        <f t="shared" si="163"/>
        <v>3</v>
      </c>
      <c r="C1161" s="30">
        <f t="shared" si="166"/>
        <v>5</v>
      </c>
      <c r="D1161" s="26">
        <f>MATCH(WEEKDAY(A1161),そのた定義!A:A,0)</f>
        <v>5</v>
      </c>
      <c r="E1161" s="26" t="str">
        <f t="shared" ca="1" si="167"/>
        <v>水</v>
      </c>
      <c r="F1161" s="26">
        <f t="shared" si="168"/>
        <v>0</v>
      </c>
      <c r="G1161" s="26">
        <f>IF(ISNA(MATCH(A1161,祝日定義!E:E,0)),0,1)</f>
        <v>0</v>
      </c>
      <c r="H1161" s="26">
        <f>IF(ISNA(MATCH(B1161&amp;"/"&amp;C1161,そのた定義!E:E,0)), 0, 1)</f>
        <v>0</v>
      </c>
      <c r="I1161" s="26" t="b">
        <f t="shared" si="169"/>
        <v>0</v>
      </c>
      <c r="J1161" s="26">
        <v>0</v>
      </c>
      <c r="K1161" s="26" t="b">
        <f t="shared" si="164"/>
        <v>0</v>
      </c>
      <c r="L1161" s="26" t="b">
        <f t="shared" si="165"/>
        <v>0</v>
      </c>
      <c r="M1161" t="b">
        <f t="shared" si="170"/>
        <v>0</v>
      </c>
      <c r="N1161" t="b">
        <f t="shared" si="171"/>
        <v>0</v>
      </c>
    </row>
    <row r="1162" spans="1:14">
      <c r="A1162" s="29">
        <v>45722</v>
      </c>
      <c r="B1162" s="30">
        <f t="shared" si="163"/>
        <v>3</v>
      </c>
      <c r="C1162" s="30">
        <f t="shared" si="166"/>
        <v>6</v>
      </c>
      <c r="D1162" s="26">
        <f>MATCH(WEEKDAY(A1162),そのた定義!A:A,0)</f>
        <v>6</v>
      </c>
      <c r="E1162" s="26" t="str">
        <f t="shared" ca="1" si="167"/>
        <v>木</v>
      </c>
      <c r="F1162" s="26">
        <f t="shared" si="168"/>
        <v>0</v>
      </c>
      <c r="G1162" s="26">
        <f>IF(ISNA(MATCH(A1162,祝日定義!E:E,0)),0,1)</f>
        <v>0</v>
      </c>
      <c r="H1162" s="26">
        <f>IF(ISNA(MATCH(B1162&amp;"/"&amp;C1162,そのた定義!E:E,0)), 0, 1)</f>
        <v>0</v>
      </c>
      <c r="I1162" s="26" t="b">
        <f t="shared" si="169"/>
        <v>0</v>
      </c>
      <c r="J1162" s="26">
        <v>0</v>
      </c>
      <c r="K1162" s="26" t="b">
        <f t="shared" si="164"/>
        <v>0</v>
      </c>
      <c r="L1162" s="26" t="b">
        <f t="shared" si="165"/>
        <v>0</v>
      </c>
      <c r="M1162" t="b">
        <f t="shared" si="170"/>
        <v>0</v>
      </c>
      <c r="N1162" t="b">
        <f t="shared" si="171"/>
        <v>0</v>
      </c>
    </row>
    <row r="1163" spans="1:14">
      <c r="A1163" s="29">
        <v>45723</v>
      </c>
      <c r="B1163" s="30">
        <f t="shared" si="163"/>
        <v>3</v>
      </c>
      <c r="C1163" s="30">
        <f t="shared" si="166"/>
        <v>7</v>
      </c>
      <c r="D1163" s="26">
        <f>MATCH(WEEKDAY(A1163),そのた定義!A:A,0)</f>
        <v>7</v>
      </c>
      <c r="E1163" s="26" t="str">
        <f t="shared" ca="1" si="167"/>
        <v>金</v>
      </c>
      <c r="F1163" s="26">
        <f t="shared" si="168"/>
        <v>0</v>
      </c>
      <c r="G1163" s="26">
        <f>IF(ISNA(MATCH(A1163,祝日定義!E:E,0)),0,1)</f>
        <v>0</v>
      </c>
      <c r="H1163" s="26">
        <f>IF(ISNA(MATCH(B1163&amp;"/"&amp;C1163,そのた定義!E:E,0)), 0, 1)</f>
        <v>0</v>
      </c>
      <c r="I1163" s="26" t="b">
        <f t="shared" si="169"/>
        <v>0</v>
      </c>
      <c r="J1163" s="26">
        <v>0</v>
      </c>
      <c r="K1163" s="26" t="b">
        <f t="shared" si="164"/>
        <v>0</v>
      </c>
      <c r="L1163" s="26" t="b">
        <f t="shared" si="165"/>
        <v>0</v>
      </c>
      <c r="M1163" t="b">
        <f t="shared" si="170"/>
        <v>0</v>
      </c>
      <c r="N1163" t="b">
        <f t="shared" si="171"/>
        <v>0</v>
      </c>
    </row>
    <row r="1164" spans="1:14">
      <c r="A1164" s="29">
        <v>45724</v>
      </c>
      <c r="B1164" s="30">
        <f t="shared" si="163"/>
        <v>3</v>
      </c>
      <c r="C1164" s="30">
        <f t="shared" si="166"/>
        <v>8</v>
      </c>
      <c r="D1164" s="26">
        <f>MATCH(WEEKDAY(A1164),そのた定義!A:A,0)</f>
        <v>8</v>
      </c>
      <c r="E1164" s="33" t="str">
        <f t="shared" ca="1" si="167"/>
        <v>土</v>
      </c>
      <c r="F1164" s="26">
        <f t="shared" si="168"/>
        <v>1</v>
      </c>
      <c r="G1164" s="26">
        <f>IF(ISNA(MATCH(A1164,祝日定義!E:E,0)),0,1)</f>
        <v>0</v>
      </c>
      <c r="H1164" s="26">
        <f>IF(ISNA(MATCH(B1164&amp;"/"&amp;C1164,そのた定義!E:E,0)), 0, 1)</f>
        <v>0</v>
      </c>
      <c r="I1164" s="23" t="b">
        <f t="shared" si="169"/>
        <v>1</v>
      </c>
      <c r="J1164" s="26">
        <v>0</v>
      </c>
      <c r="K1164" s="26" t="b">
        <f t="shared" si="164"/>
        <v>0</v>
      </c>
      <c r="L1164" s="26" t="b">
        <f t="shared" si="165"/>
        <v>0</v>
      </c>
      <c r="M1164" t="b">
        <f t="shared" si="170"/>
        <v>0</v>
      </c>
      <c r="N1164" t="b">
        <f t="shared" si="171"/>
        <v>0</v>
      </c>
    </row>
    <row r="1165" spans="1:14">
      <c r="A1165" s="29">
        <v>45725</v>
      </c>
      <c r="B1165" s="30">
        <f t="shared" si="163"/>
        <v>3</v>
      </c>
      <c r="C1165" s="30">
        <f t="shared" si="166"/>
        <v>9</v>
      </c>
      <c r="D1165" s="26">
        <f>MATCH(WEEKDAY(A1165),そのた定義!A:A,0)</f>
        <v>2</v>
      </c>
      <c r="E1165" s="32" t="str">
        <f t="shared" ca="1" si="167"/>
        <v>日</v>
      </c>
      <c r="F1165" s="26">
        <f t="shared" si="168"/>
        <v>1</v>
      </c>
      <c r="G1165" s="26">
        <f>IF(ISNA(MATCH(A1165,祝日定義!E:E,0)),0,1)</f>
        <v>0</v>
      </c>
      <c r="H1165" s="26">
        <f>IF(ISNA(MATCH(B1165&amp;"/"&amp;C1165,そのた定義!E:E,0)), 0, 1)</f>
        <v>0</v>
      </c>
      <c r="I1165" s="23" t="b">
        <f t="shared" si="169"/>
        <v>1</v>
      </c>
      <c r="J1165" s="26">
        <v>0</v>
      </c>
      <c r="K1165" s="26" t="b">
        <f t="shared" si="164"/>
        <v>0</v>
      </c>
      <c r="L1165" s="26" t="b">
        <f t="shared" si="165"/>
        <v>0</v>
      </c>
      <c r="M1165" t="b">
        <f t="shared" si="170"/>
        <v>0</v>
      </c>
      <c r="N1165" t="b">
        <f t="shared" si="171"/>
        <v>0</v>
      </c>
    </row>
    <row r="1166" spans="1:14">
      <c r="A1166" s="29">
        <v>45726</v>
      </c>
      <c r="B1166" s="30">
        <f t="shared" si="163"/>
        <v>3</v>
      </c>
      <c r="C1166" s="30">
        <f t="shared" si="166"/>
        <v>10</v>
      </c>
      <c r="D1166" s="26">
        <f>MATCH(WEEKDAY(A1166),そのた定義!A:A,0)</f>
        <v>3</v>
      </c>
      <c r="E1166" s="26" t="str">
        <f t="shared" ca="1" si="167"/>
        <v>月</v>
      </c>
      <c r="F1166" s="26">
        <f t="shared" si="168"/>
        <v>0</v>
      </c>
      <c r="G1166" s="26">
        <f>IF(ISNA(MATCH(A1166,祝日定義!E:E,0)),0,1)</f>
        <v>0</v>
      </c>
      <c r="H1166" s="26">
        <f>IF(ISNA(MATCH(B1166&amp;"/"&amp;C1166,そのた定義!E:E,0)), 0, 1)</f>
        <v>0</v>
      </c>
      <c r="I1166" s="26" t="b">
        <f t="shared" si="169"/>
        <v>0</v>
      </c>
      <c r="J1166" s="26">
        <v>2</v>
      </c>
      <c r="K1166" s="26" t="b">
        <f t="shared" si="164"/>
        <v>0</v>
      </c>
      <c r="L1166" s="26" t="b">
        <f t="shared" si="165"/>
        <v>0</v>
      </c>
      <c r="M1166" t="b">
        <f t="shared" si="170"/>
        <v>0</v>
      </c>
      <c r="N1166" t="b">
        <f t="shared" si="171"/>
        <v>0</v>
      </c>
    </row>
    <row r="1167" spans="1:14">
      <c r="A1167" s="29">
        <v>45727</v>
      </c>
      <c r="B1167" s="30">
        <f t="shared" si="163"/>
        <v>3</v>
      </c>
      <c r="C1167" s="30">
        <f t="shared" si="166"/>
        <v>11</v>
      </c>
      <c r="D1167" s="26">
        <f>MATCH(WEEKDAY(A1167),そのた定義!A:A,0)</f>
        <v>4</v>
      </c>
      <c r="E1167" s="26" t="str">
        <f t="shared" ca="1" si="167"/>
        <v>火</v>
      </c>
      <c r="F1167" s="26">
        <f t="shared" si="168"/>
        <v>0</v>
      </c>
      <c r="G1167" s="26">
        <f>IF(ISNA(MATCH(A1167,祝日定義!E:E,0)),0,1)</f>
        <v>0</v>
      </c>
      <c r="H1167" s="26">
        <f>IF(ISNA(MATCH(B1167&amp;"/"&amp;C1167,そのた定義!E:E,0)), 0, 1)</f>
        <v>0</v>
      </c>
      <c r="I1167" s="26" t="b">
        <f t="shared" si="169"/>
        <v>0</v>
      </c>
      <c r="J1167" s="26">
        <v>0</v>
      </c>
      <c r="K1167" s="26" t="b">
        <f t="shared" si="164"/>
        <v>0</v>
      </c>
      <c r="L1167" s="26" t="b">
        <f t="shared" si="165"/>
        <v>0</v>
      </c>
      <c r="M1167" t="b">
        <f t="shared" si="170"/>
        <v>0</v>
      </c>
      <c r="N1167" t="b">
        <f t="shared" si="171"/>
        <v>0</v>
      </c>
    </row>
    <row r="1168" spans="1:14">
      <c r="A1168" s="29">
        <v>45728</v>
      </c>
      <c r="B1168" s="30">
        <f t="shared" si="163"/>
        <v>3</v>
      </c>
      <c r="C1168" s="30">
        <f t="shared" si="166"/>
        <v>12</v>
      </c>
      <c r="D1168" s="26">
        <f>MATCH(WEEKDAY(A1168),そのた定義!A:A,0)</f>
        <v>5</v>
      </c>
      <c r="E1168" s="26" t="str">
        <f t="shared" ca="1" si="167"/>
        <v>水</v>
      </c>
      <c r="F1168" s="26">
        <f t="shared" si="168"/>
        <v>0</v>
      </c>
      <c r="G1168" s="26">
        <f>IF(ISNA(MATCH(A1168,祝日定義!E:E,0)),0,1)</f>
        <v>0</v>
      </c>
      <c r="H1168" s="26">
        <f>IF(ISNA(MATCH(B1168&amp;"/"&amp;C1168,そのた定義!E:E,0)), 0, 1)</f>
        <v>0</v>
      </c>
      <c r="I1168" s="26" t="b">
        <f t="shared" si="169"/>
        <v>0</v>
      </c>
      <c r="J1168" s="26">
        <v>0</v>
      </c>
      <c r="K1168" s="26" t="b">
        <f t="shared" si="164"/>
        <v>0</v>
      </c>
      <c r="L1168" s="26" t="b">
        <f t="shared" si="165"/>
        <v>0</v>
      </c>
      <c r="M1168" t="b">
        <f t="shared" si="170"/>
        <v>0</v>
      </c>
      <c r="N1168" t="b">
        <f t="shared" si="171"/>
        <v>0</v>
      </c>
    </row>
    <row r="1169" spans="1:14">
      <c r="A1169" s="29">
        <v>45729</v>
      </c>
      <c r="B1169" s="30">
        <f t="shared" si="163"/>
        <v>3</v>
      </c>
      <c r="C1169" s="30">
        <f t="shared" si="166"/>
        <v>13</v>
      </c>
      <c r="D1169" s="26">
        <f>MATCH(WEEKDAY(A1169),そのた定義!A:A,0)</f>
        <v>6</v>
      </c>
      <c r="E1169" s="26" t="str">
        <f t="shared" ca="1" si="167"/>
        <v>木</v>
      </c>
      <c r="F1169" s="26">
        <f t="shared" si="168"/>
        <v>0</v>
      </c>
      <c r="G1169" s="26">
        <f>IF(ISNA(MATCH(A1169,祝日定義!E:E,0)),0,1)</f>
        <v>0</v>
      </c>
      <c r="H1169" s="26">
        <f>IF(ISNA(MATCH(B1169&amp;"/"&amp;C1169,そのた定義!E:E,0)), 0, 1)</f>
        <v>0</v>
      </c>
      <c r="I1169" s="26" t="b">
        <f t="shared" si="169"/>
        <v>0</v>
      </c>
      <c r="J1169" s="26">
        <v>0</v>
      </c>
      <c r="K1169" s="26" t="b">
        <f t="shared" si="164"/>
        <v>0</v>
      </c>
      <c r="L1169" s="26" t="b">
        <f t="shared" si="165"/>
        <v>0</v>
      </c>
      <c r="M1169" t="b">
        <f t="shared" si="170"/>
        <v>0</v>
      </c>
      <c r="N1169" t="b">
        <f t="shared" si="171"/>
        <v>0</v>
      </c>
    </row>
    <row r="1170" spans="1:14">
      <c r="A1170" s="29">
        <v>45730</v>
      </c>
      <c r="B1170" s="30">
        <f t="shared" si="163"/>
        <v>3</v>
      </c>
      <c r="C1170" s="30">
        <f t="shared" si="166"/>
        <v>14</v>
      </c>
      <c r="D1170" s="26">
        <f>MATCH(WEEKDAY(A1170),そのた定義!A:A,0)</f>
        <v>7</v>
      </c>
      <c r="E1170" s="26" t="str">
        <f t="shared" ca="1" si="167"/>
        <v>金</v>
      </c>
      <c r="F1170" s="26">
        <f t="shared" si="168"/>
        <v>0</v>
      </c>
      <c r="G1170" s="26">
        <f>IF(ISNA(MATCH(A1170,祝日定義!E:E,0)),0,1)</f>
        <v>0</v>
      </c>
      <c r="H1170" s="26">
        <f>IF(ISNA(MATCH(B1170&amp;"/"&amp;C1170,そのた定義!E:E,0)), 0, 1)</f>
        <v>0</v>
      </c>
      <c r="I1170" s="26" t="b">
        <f t="shared" si="169"/>
        <v>0</v>
      </c>
      <c r="J1170" s="26">
        <v>0</v>
      </c>
      <c r="K1170" s="26" t="b">
        <f t="shared" si="164"/>
        <v>0</v>
      </c>
      <c r="L1170" s="26" t="b">
        <f t="shared" si="165"/>
        <v>0</v>
      </c>
      <c r="M1170" t="b">
        <f t="shared" si="170"/>
        <v>0</v>
      </c>
      <c r="N1170" t="b">
        <f t="shared" si="171"/>
        <v>0</v>
      </c>
    </row>
    <row r="1171" spans="1:14">
      <c r="A1171" s="29">
        <v>45731</v>
      </c>
      <c r="B1171" s="30">
        <f t="shared" si="163"/>
        <v>3</v>
      </c>
      <c r="C1171" s="30">
        <f t="shared" si="166"/>
        <v>15</v>
      </c>
      <c r="D1171" s="26">
        <f>MATCH(WEEKDAY(A1171),そのた定義!A:A,0)</f>
        <v>8</v>
      </c>
      <c r="E1171" s="33" t="str">
        <f t="shared" ca="1" si="167"/>
        <v>土</v>
      </c>
      <c r="F1171" s="26">
        <f t="shared" si="168"/>
        <v>1</v>
      </c>
      <c r="G1171" s="26">
        <f>IF(ISNA(MATCH(A1171,祝日定義!E:E,0)),0,1)</f>
        <v>0</v>
      </c>
      <c r="H1171" s="26">
        <f>IF(ISNA(MATCH(B1171&amp;"/"&amp;C1171,そのた定義!E:E,0)), 0, 1)</f>
        <v>0</v>
      </c>
      <c r="I1171" s="23" t="b">
        <f t="shared" si="169"/>
        <v>1</v>
      </c>
      <c r="J1171" s="26">
        <v>0</v>
      </c>
      <c r="K1171" s="26" t="b">
        <f t="shared" si="164"/>
        <v>0</v>
      </c>
      <c r="L1171" s="26" t="b">
        <f t="shared" si="165"/>
        <v>0</v>
      </c>
      <c r="M1171" t="b">
        <f t="shared" si="170"/>
        <v>0</v>
      </c>
      <c r="N1171" t="b">
        <f t="shared" si="171"/>
        <v>0</v>
      </c>
    </row>
    <row r="1172" spans="1:14">
      <c r="A1172" s="29">
        <v>45732</v>
      </c>
      <c r="B1172" s="30">
        <f t="shared" si="163"/>
        <v>3</v>
      </c>
      <c r="C1172" s="30">
        <f t="shared" si="166"/>
        <v>16</v>
      </c>
      <c r="D1172" s="26">
        <f>MATCH(WEEKDAY(A1172),そのた定義!A:A,0)</f>
        <v>2</v>
      </c>
      <c r="E1172" s="32" t="str">
        <f t="shared" ca="1" si="167"/>
        <v>日</v>
      </c>
      <c r="F1172" s="26">
        <f t="shared" si="168"/>
        <v>1</v>
      </c>
      <c r="G1172" s="26">
        <f>IF(ISNA(MATCH(A1172,祝日定義!E:E,0)),0,1)</f>
        <v>0</v>
      </c>
      <c r="H1172" s="26">
        <f>IF(ISNA(MATCH(B1172&amp;"/"&amp;C1172,そのた定義!E:E,0)), 0, 1)</f>
        <v>0</v>
      </c>
      <c r="I1172" s="23" t="b">
        <f t="shared" si="169"/>
        <v>1</v>
      </c>
      <c r="J1172" s="26">
        <v>0</v>
      </c>
      <c r="K1172" s="26" t="b">
        <f t="shared" si="164"/>
        <v>0</v>
      </c>
      <c r="L1172" s="26" t="b">
        <f t="shared" si="165"/>
        <v>0</v>
      </c>
      <c r="M1172" t="b">
        <f t="shared" si="170"/>
        <v>0</v>
      </c>
      <c r="N1172" t="b">
        <f t="shared" si="171"/>
        <v>0</v>
      </c>
    </row>
    <row r="1173" spans="1:14">
      <c r="A1173" s="29">
        <v>45733</v>
      </c>
      <c r="B1173" s="30">
        <f t="shared" si="163"/>
        <v>3</v>
      </c>
      <c r="C1173" s="30">
        <f t="shared" si="166"/>
        <v>17</v>
      </c>
      <c r="D1173" s="26">
        <f>MATCH(WEEKDAY(A1173),そのた定義!A:A,0)</f>
        <v>3</v>
      </c>
      <c r="E1173" s="26" t="str">
        <f t="shared" ca="1" si="167"/>
        <v>月</v>
      </c>
      <c r="F1173" s="26">
        <f t="shared" si="168"/>
        <v>0</v>
      </c>
      <c r="G1173" s="26">
        <f>IF(ISNA(MATCH(A1173,祝日定義!E:E,0)),0,1)</f>
        <v>0</v>
      </c>
      <c r="H1173" s="26">
        <f>IF(ISNA(MATCH(B1173&amp;"/"&amp;C1173,そのた定義!E:E,0)), 0, 1)</f>
        <v>0</v>
      </c>
      <c r="I1173" s="26" t="b">
        <f t="shared" si="169"/>
        <v>0</v>
      </c>
      <c r="J1173" s="26">
        <v>2</v>
      </c>
      <c r="K1173" s="26" t="b">
        <f t="shared" si="164"/>
        <v>0</v>
      </c>
      <c r="L1173" s="26" t="b">
        <f t="shared" si="165"/>
        <v>0</v>
      </c>
      <c r="M1173" t="b">
        <f t="shared" si="170"/>
        <v>0</v>
      </c>
      <c r="N1173" t="b">
        <f t="shared" si="171"/>
        <v>0</v>
      </c>
    </row>
    <row r="1174" spans="1:14">
      <c r="A1174" s="29">
        <v>45734</v>
      </c>
      <c r="B1174" s="30">
        <f t="shared" si="163"/>
        <v>3</v>
      </c>
      <c r="C1174" s="30">
        <f t="shared" si="166"/>
        <v>18</v>
      </c>
      <c r="D1174" s="26">
        <f>MATCH(WEEKDAY(A1174),そのた定義!A:A,0)</f>
        <v>4</v>
      </c>
      <c r="E1174" s="26" t="str">
        <f t="shared" ca="1" si="167"/>
        <v>火</v>
      </c>
      <c r="F1174" s="26">
        <f t="shared" si="168"/>
        <v>0</v>
      </c>
      <c r="G1174" s="26">
        <f>IF(ISNA(MATCH(A1174,祝日定義!E:E,0)),0,1)</f>
        <v>0</v>
      </c>
      <c r="H1174" s="26">
        <f>IF(ISNA(MATCH(B1174&amp;"/"&amp;C1174,そのた定義!E:E,0)), 0, 1)</f>
        <v>0</v>
      </c>
      <c r="I1174" s="26" t="b">
        <f t="shared" si="169"/>
        <v>0</v>
      </c>
      <c r="J1174" s="26">
        <v>0</v>
      </c>
      <c r="K1174" s="26" t="b">
        <f t="shared" si="164"/>
        <v>0</v>
      </c>
      <c r="L1174" s="26" t="b">
        <f t="shared" si="165"/>
        <v>0</v>
      </c>
      <c r="M1174" t="b">
        <f t="shared" si="170"/>
        <v>0</v>
      </c>
      <c r="N1174" t="b">
        <f t="shared" si="171"/>
        <v>0</v>
      </c>
    </row>
    <row r="1175" spans="1:14">
      <c r="A1175" s="29">
        <v>45735</v>
      </c>
      <c r="B1175" s="30">
        <f t="shared" si="163"/>
        <v>3</v>
      </c>
      <c r="C1175" s="30">
        <f t="shared" si="166"/>
        <v>19</v>
      </c>
      <c r="D1175" s="26">
        <f>MATCH(WEEKDAY(A1175),そのた定義!A:A,0)</f>
        <v>5</v>
      </c>
      <c r="E1175" s="26" t="str">
        <f t="shared" ca="1" si="167"/>
        <v>水</v>
      </c>
      <c r="F1175" s="26">
        <f t="shared" si="168"/>
        <v>0</v>
      </c>
      <c r="G1175" s="26">
        <f>IF(ISNA(MATCH(A1175,祝日定義!E:E,0)),0,1)</f>
        <v>0</v>
      </c>
      <c r="H1175" s="26">
        <f>IF(ISNA(MATCH(B1175&amp;"/"&amp;C1175,そのた定義!E:E,0)), 0, 1)</f>
        <v>0</v>
      </c>
      <c r="I1175" s="26" t="b">
        <f t="shared" si="169"/>
        <v>0</v>
      </c>
      <c r="J1175" s="26">
        <v>0</v>
      </c>
      <c r="K1175" s="26" t="b">
        <f t="shared" si="164"/>
        <v>0</v>
      </c>
      <c r="L1175" s="26" t="b">
        <f t="shared" si="165"/>
        <v>0</v>
      </c>
      <c r="M1175" t="b">
        <f t="shared" si="170"/>
        <v>0</v>
      </c>
      <c r="N1175" t="b">
        <f t="shared" si="171"/>
        <v>0</v>
      </c>
    </row>
    <row r="1176" spans="1:14">
      <c r="A1176" s="29">
        <v>45736</v>
      </c>
      <c r="B1176" s="30">
        <f t="shared" si="163"/>
        <v>3</v>
      </c>
      <c r="C1176" s="30">
        <f t="shared" si="166"/>
        <v>20</v>
      </c>
      <c r="D1176" s="26">
        <f>MATCH(WEEKDAY(A1176),そのた定義!A:A,0)</f>
        <v>6</v>
      </c>
      <c r="E1176" s="31" t="str">
        <f t="shared" ca="1" si="167"/>
        <v>木</v>
      </c>
      <c r="F1176" s="26">
        <f t="shared" si="168"/>
        <v>0</v>
      </c>
      <c r="G1176" s="26">
        <f>IF(ISNA(MATCH(A1176,祝日定義!E:E,0)),0,1)</f>
        <v>1</v>
      </c>
      <c r="H1176" s="26">
        <f>IF(ISNA(MATCH(B1176&amp;"/"&amp;C1176,そのた定義!E:E,0)), 0, 1)</f>
        <v>0</v>
      </c>
      <c r="I1176" s="23" t="b">
        <f t="shared" si="169"/>
        <v>1</v>
      </c>
      <c r="J1176" s="26">
        <v>0</v>
      </c>
      <c r="K1176" s="26" t="b">
        <f t="shared" si="164"/>
        <v>0</v>
      </c>
      <c r="L1176" s="26" t="b">
        <f t="shared" si="165"/>
        <v>0</v>
      </c>
      <c r="M1176" t="b">
        <f t="shared" si="170"/>
        <v>0</v>
      </c>
      <c r="N1176" t="b">
        <f t="shared" si="171"/>
        <v>0</v>
      </c>
    </row>
    <row r="1177" spans="1:14">
      <c r="A1177" s="29">
        <v>45737</v>
      </c>
      <c r="B1177" s="30">
        <f t="shared" si="163"/>
        <v>3</v>
      </c>
      <c r="C1177" s="30">
        <f t="shared" si="166"/>
        <v>21</v>
      </c>
      <c r="D1177" s="26">
        <f>MATCH(WEEKDAY(A1177),そのた定義!A:A,0)</f>
        <v>7</v>
      </c>
      <c r="E1177" s="26" t="str">
        <f t="shared" ca="1" si="167"/>
        <v>金</v>
      </c>
      <c r="F1177" s="26">
        <f t="shared" si="168"/>
        <v>0</v>
      </c>
      <c r="G1177" s="26">
        <f>IF(ISNA(MATCH(A1177,祝日定義!E:E,0)),0,1)</f>
        <v>0</v>
      </c>
      <c r="H1177" s="26">
        <f>IF(ISNA(MATCH(B1177&amp;"/"&amp;C1177,そのた定義!E:E,0)), 0, 1)</f>
        <v>0</v>
      </c>
      <c r="I1177" s="26" t="b">
        <f t="shared" si="169"/>
        <v>0</v>
      </c>
      <c r="J1177" s="26">
        <v>1</v>
      </c>
      <c r="K1177" s="26" t="b">
        <f t="shared" si="164"/>
        <v>0</v>
      </c>
      <c r="L1177" s="26" t="b">
        <f t="shared" si="165"/>
        <v>0</v>
      </c>
      <c r="M1177" t="b">
        <f t="shared" si="170"/>
        <v>0</v>
      </c>
      <c r="N1177" t="b">
        <f t="shared" si="171"/>
        <v>0</v>
      </c>
    </row>
    <row r="1178" spans="1:14">
      <c r="A1178" s="29">
        <v>45738</v>
      </c>
      <c r="B1178" s="30">
        <f t="shared" si="163"/>
        <v>3</v>
      </c>
      <c r="C1178" s="30">
        <f t="shared" si="166"/>
        <v>22</v>
      </c>
      <c r="D1178" s="26">
        <f>MATCH(WEEKDAY(A1178),そのた定義!A:A,0)</f>
        <v>8</v>
      </c>
      <c r="E1178" s="33" t="str">
        <f t="shared" ca="1" si="167"/>
        <v>土</v>
      </c>
      <c r="F1178" s="26">
        <f t="shared" si="168"/>
        <v>1</v>
      </c>
      <c r="G1178" s="26">
        <f>IF(ISNA(MATCH(A1178,祝日定義!E:E,0)),0,1)</f>
        <v>0</v>
      </c>
      <c r="H1178" s="26">
        <f>IF(ISNA(MATCH(B1178&amp;"/"&amp;C1178,そのた定義!E:E,0)), 0, 1)</f>
        <v>0</v>
      </c>
      <c r="I1178" s="23" t="b">
        <f t="shared" si="169"/>
        <v>1</v>
      </c>
      <c r="J1178" s="26">
        <v>0</v>
      </c>
      <c r="K1178" s="26" t="b">
        <f t="shared" si="164"/>
        <v>0</v>
      </c>
      <c r="L1178" s="26" t="b">
        <f t="shared" si="165"/>
        <v>0</v>
      </c>
      <c r="M1178" t="b">
        <f t="shared" si="170"/>
        <v>0</v>
      </c>
      <c r="N1178" t="b">
        <f t="shared" si="171"/>
        <v>0</v>
      </c>
    </row>
    <row r="1179" spans="1:14">
      <c r="A1179" s="29">
        <v>45739</v>
      </c>
      <c r="B1179" s="30">
        <f t="shared" si="163"/>
        <v>3</v>
      </c>
      <c r="C1179" s="30">
        <f t="shared" si="166"/>
        <v>23</v>
      </c>
      <c r="D1179" s="26">
        <f>MATCH(WEEKDAY(A1179),そのた定義!A:A,0)</f>
        <v>2</v>
      </c>
      <c r="E1179" s="32" t="str">
        <f t="shared" ca="1" si="167"/>
        <v>日</v>
      </c>
      <c r="F1179" s="26">
        <f t="shared" si="168"/>
        <v>1</v>
      </c>
      <c r="G1179" s="26">
        <f>IF(ISNA(MATCH(A1179,祝日定義!E:E,0)),0,1)</f>
        <v>0</v>
      </c>
      <c r="H1179" s="26">
        <f>IF(ISNA(MATCH(B1179&amp;"/"&amp;C1179,そのた定義!E:E,0)), 0, 1)</f>
        <v>0</v>
      </c>
      <c r="I1179" s="23" t="b">
        <f t="shared" si="169"/>
        <v>1</v>
      </c>
      <c r="J1179" s="26">
        <v>0</v>
      </c>
      <c r="K1179" s="26" t="b">
        <f t="shared" si="164"/>
        <v>0</v>
      </c>
      <c r="L1179" s="26" t="b">
        <f t="shared" si="165"/>
        <v>0</v>
      </c>
      <c r="M1179" t="b">
        <f t="shared" si="170"/>
        <v>0</v>
      </c>
      <c r="N1179" t="b">
        <f t="shared" si="171"/>
        <v>0</v>
      </c>
    </row>
    <row r="1180" spans="1:14">
      <c r="A1180" s="29">
        <v>45740</v>
      </c>
      <c r="B1180" s="30">
        <f t="shared" si="163"/>
        <v>3</v>
      </c>
      <c r="C1180" s="30">
        <f t="shared" si="166"/>
        <v>24</v>
      </c>
      <c r="D1180" s="26">
        <f>MATCH(WEEKDAY(A1180),そのた定義!A:A,0)</f>
        <v>3</v>
      </c>
      <c r="E1180" s="26" t="str">
        <f t="shared" ca="1" si="167"/>
        <v>月</v>
      </c>
      <c r="F1180" s="26">
        <f t="shared" si="168"/>
        <v>0</v>
      </c>
      <c r="G1180" s="26">
        <f>IF(ISNA(MATCH(A1180,祝日定義!E:E,0)),0,1)</f>
        <v>0</v>
      </c>
      <c r="H1180" s="26">
        <f>IF(ISNA(MATCH(B1180&amp;"/"&amp;C1180,そのた定義!E:E,0)), 0, 1)</f>
        <v>0</v>
      </c>
      <c r="I1180" s="26" t="b">
        <f t="shared" si="169"/>
        <v>0</v>
      </c>
      <c r="J1180" s="26">
        <v>2</v>
      </c>
      <c r="K1180" s="26" t="b">
        <f t="shared" si="164"/>
        <v>0</v>
      </c>
      <c r="L1180" s="26" t="b">
        <f t="shared" si="165"/>
        <v>0</v>
      </c>
      <c r="M1180" t="b">
        <f t="shared" si="170"/>
        <v>0</v>
      </c>
      <c r="N1180" t="b">
        <f t="shared" si="171"/>
        <v>0</v>
      </c>
    </row>
    <row r="1181" spans="1:14">
      <c r="A1181" s="29">
        <v>45741</v>
      </c>
      <c r="B1181" s="30">
        <f t="shared" si="163"/>
        <v>3</v>
      </c>
      <c r="C1181" s="30">
        <f t="shared" si="166"/>
        <v>25</v>
      </c>
      <c r="D1181" s="26">
        <f>MATCH(WEEKDAY(A1181),そのた定義!A:A,0)</f>
        <v>4</v>
      </c>
      <c r="E1181" s="26" t="str">
        <f t="shared" ca="1" si="167"/>
        <v>火</v>
      </c>
      <c r="F1181" s="26">
        <f t="shared" si="168"/>
        <v>0</v>
      </c>
      <c r="G1181" s="26">
        <f>IF(ISNA(MATCH(A1181,祝日定義!E:E,0)),0,1)</f>
        <v>0</v>
      </c>
      <c r="H1181" s="26">
        <f>IF(ISNA(MATCH(B1181&amp;"/"&amp;C1181,そのた定義!E:E,0)), 0, 1)</f>
        <v>0</v>
      </c>
      <c r="I1181" s="26" t="b">
        <f t="shared" si="169"/>
        <v>0</v>
      </c>
      <c r="J1181" s="26">
        <v>0</v>
      </c>
      <c r="K1181" s="26" t="b">
        <f t="shared" si="164"/>
        <v>0</v>
      </c>
      <c r="L1181" s="23" t="b">
        <f t="shared" si="165"/>
        <v>1</v>
      </c>
      <c r="M1181" t="b">
        <f t="shared" si="170"/>
        <v>0</v>
      </c>
      <c r="N1181" t="b">
        <f t="shared" si="171"/>
        <v>0</v>
      </c>
    </row>
    <row r="1182" spans="1:14">
      <c r="A1182" s="29">
        <v>45742</v>
      </c>
      <c r="B1182" s="30">
        <f t="shared" si="163"/>
        <v>3</v>
      </c>
      <c r="C1182" s="30">
        <f t="shared" si="166"/>
        <v>26</v>
      </c>
      <c r="D1182" s="26">
        <f>MATCH(WEEKDAY(A1182),そのた定義!A:A,0)</f>
        <v>5</v>
      </c>
      <c r="E1182" s="26" t="str">
        <f t="shared" ca="1" si="167"/>
        <v>水</v>
      </c>
      <c r="F1182" s="26">
        <f t="shared" si="168"/>
        <v>0</v>
      </c>
      <c r="G1182" s="26">
        <f>IF(ISNA(MATCH(A1182,祝日定義!E:E,0)),0,1)</f>
        <v>0</v>
      </c>
      <c r="H1182" s="26">
        <f>IF(ISNA(MATCH(B1182&amp;"/"&amp;C1182,そのた定義!E:E,0)), 0, 1)</f>
        <v>0</v>
      </c>
      <c r="I1182" s="26" t="b">
        <f t="shared" si="169"/>
        <v>0</v>
      </c>
      <c r="J1182" s="26">
        <v>0</v>
      </c>
      <c r="K1182" s="26" t="b">
        <f t="shared" si="164"/>
        <v>0</v>
      </c>
      <c r="L1182" s="26" t="b">
        <f t="shared" si="165"/>
        <v>0</v>
      </c>
      <c r="M1182" t="b">
        <f t="shared" si="170"/>
        <v>0</v>
      </c>
      <c r="N1182" t="b">
        <f t="shared" si="171"/>
        <v>0</v>
      </c>
    </row>
    <row r="1183" spans="1:14">
      <c r="A1183" s="29">
        <v>45743</v>
      </c>
      <c r="B1183" s="30">
        <f t="shared" si="163"/>
        <v>3</v>
      </c>
      <c r="C1183" s="30">
        <f t="shared" si="166"/>
        <v>27</v>
      </c>
      <c r="D1183" s="26">
        <f>MATCH(WEEKDAY(A1183),そのた定義!A:A,0)</f>
        <v>6</v>
      </c>
      <c r="E1183" s="26" t="str">
        <f t="shared" ca="1" si="167"/>
        <v>木</v>
      </c>
      <c r="F1183" s="26">
        <f t="shared" si="168"/>
        <v>0</v>
      </c>
      <c r="G1183" s="26">
        <f>IF(ISNA(MATCH(A1183,祝日定義!E:E,0)),0,1)</f>
        <v>0</v>
      </c>
      <c r="H1183" s="26">
        <f>IF(ISNA(MATCH(B1183&amp;"/"&amp;C1183,そのた定義!E:E,0)), 0, 1)</f>
        <v>0</v>
      </c>
      <c r="I1183" s="26" t="b">
        <f t="shared" si="169"/>
        <v>0</v>
      </c>
      <c r="J1183" s="26">
        <v>0</v>
      </c>
      <c r="K1183" s="26" t="b">
        <f t="shared" si="164"/>
        <v>0</v>
      </c>
      <c r="L1183" s="26" t="b">
        <f t="shared" si="165"/>
        <v>0</v>
      </c>
      <c r="M1183" t="b">
        <f t="shared" si="170"/>
        <v>0</v>
      </c>
      <c r="N1183" t="b">
        <f t="shared" si="171"/>
        <v>0</v>
      </c>
    </row>
    <row r="1184" spans="1:14">
      <c r="A1184" s="29">
        <v>45744</v>
      </c>
      <c r="B1184" s="30">
        <f t="shared" si="163"/>
        <v>3</v>
      </c>
      <c r="C1184" s="30">
        <f t="shared" si="166"/>
        <v>28</v>
      </c>
      <c r="D1184" s="26">
        <f>MATCH(WEEKDAY(A1184),そのた定義!A:A,0)</f>
        <v>7</v>
      </c>
      <c r="E1184" s="26" t="str">
        <f t="shared" ca="1" si="167"/>
        <v>金</v>
      </c>
      <c r="F1184" s="26">
        <f t="shared" si="168"/>
        <v>0</v>
      </c>
      <c r="G1184" s="26">
        <f>IF(ISNA(MATCH(A1184,祝日定義!E:E,0)),0,1)</f>
        <v>0</v>
      </c>
      <c r="H1184" s="26">
        <f>IF(ISNA(MATCH(B1184&amp;"/"&amp;C1184,そのた定義!E:E,0)), 0, 1)</f>
        <v>0</v>
      </c>
      <c r="I1184" s="26" t="b">
        <f t="shared" si="169"/>
        <v>0</v>
      </c>
      <c r="J1184" s="26">
        <v>0</v>
      </c>
      <c r="K1184" s="26" t="b">
        <f t="shared" si="164"/>
        <v>0</v>
      </c>
      <c r="L1184" s="26" t="b">
        <f t="shared" si="165"/>
        <v>0</v>
      </c>
      <c r="M1184" t="b">
        <f t="shared" si="170"/>
        <v>0</v>
      </c>
      <c r="N1184" t="b">
        <f t="shared" si="171"/>
        <v>0</v>
      </c>
    </row>
    <row r="1185" spans="1:14">
      <c r="A1185" s="29">
        <v>45745</v>
      </c>
      <c r="B1185" s="30">
        <f t="shared" si="163"/>
        <v>3</v>
      </c>
      <c r="C1185" s="30">
        <f t="shared" si="166"/>
        <v>29</v>
      </c>
      <c r="D1185" s="26">
        <f>MATCH(WEEKDAY(A1185),そのた定義!A:A,0)</f>
        <v>8</v>
      </c>
      <c r="E1185" s="33" t="str">
        <f t="shared" ca="1" si="167"/>
        <v>土</v>
      </c>
      <c r="F1185" s="26">
        <f t="shared" si="168"/>
        <v>1</v>
      </c>
      <c r="G1185" s="26">
        <f>IF(ISNA(MATCH(A1185,祝日定義!E:E,0)),0,1)</f>
        <v>0</v>
      </c>
      <c r="H1185" s="26">
        <f>IF(ISNA(MATCH(B1185&amp;"/"&amp;C1185,そのた定義!E:E,0)), 0, 1)</f>
        <v>0</v>
      </c>
      <c r="I1185" s="23" t="b">
        <f t="shared" si="169"/>
        <v>1</v>
      </c>
      <c r="J1185" s="26">
        <v>0</v>
      </c>
      <c r="K1185" s="26" t="b">
        <f t="shared" si="164"/>
        <v>0</v>
      </c>
      <c r="L1185" s="26" t="b">
        <f t="shared" si="165"/>
        <v>0</v>
      </c>
      <c r="M1185" t="b">
        <f t="shared" si="170"/>
        <v>0</v>
      </c>
      <c r="N1185" t="b">
        <f t="shared" si="171"/>
        <v>0</v>
      </c>
    </row>
    <row r="1186" spans="1:14">
      <c r="A1186" s="29">
        <v>45746</v>
      </c>
      <c r="B1186" s="30">
        <f t="shared" si="163"/>
        <v>3</v>
      </c>
      <c r="C1186" s="30">
        <f t="shared" si="166"/>
        <v>30</v>
      </c>
      <c r="D1186" s="26">
        <f>MATCH(WEEKDAY(A1186),そのた定義!A:A,0)</f>
        <v>2</v>
      </c>
      <c r="E1186" s="32" t="str">
        <f t="shared" ca="1" si="167"/>
        <v>日</v>
      </c>
      <c r="F1186" s="26">
        <f t="shared" si="168"/>
        <v>1</v>
      </c>
      <c r="G1186" s="26">
        <f>IF(ISNA(MATCH(A1186,祝日定義!E:E,0)),0,1)</f>
        <v>0</v>
      </c>
      <c r="H1186" s="26">
        <f>IF(ISNA(MATCH(B1186&amp;"/"&amp;C1186,そのた定義!E:E,0)), 0, 1)</f>
        <v>0</v>
      </c>
      <c r="I1186" s="23" t="b">
        <f t="shared" si="169"/>
        <v>1</v>
      </c>
      <c r="J1186" s="26">
        <v>0</v>
      </c>
      <c r="K1186" s="26" t="b">
        <f t="shared" si="164"/>
        <v>0</v>
      </c>
      <c r="L1186" s="26" t="b">
        <f t="shared" si="165"/>
        <v>0</v>
      </c>
      <c r="M1186" t="b">
        <f t="shared" si="170"/>
        <v>0</v>
      </c>
      <c r="N1186" t="b">
        <f t="shared" si="171"/>
        <v>0</v>
      </c>
    </row>
    <row r="1187" spans="1:14">
      <c r="A1187" s="29">
        <v>45747</v>
      </c>
      <c r="B1187" s="30">
        <f t="shared" si="163"/>
        <v>3</v>
      </c>
      <c r="C1187" s="30">
        <f t="shared" si="166"/>
        <v>31</v>
      </c>
      <c r="D1187" s="26">
        <f>MATCH(WEEKDAY(A1187),そのた定義!A:A,0)</f>
        <v>3</v>
      </c>
      <c r="E1187" s="26" t="str">
        <f t="shared" ca="1" si="167"/>
        <v>月</v>
      </c>
      <c r="F1187" s="26">
        <f t="shared" si="168"/>
        <v>0</v>
      </c>
      <c r="G1187" s="26">
        <f>IF(ISNA(MATCH(A1187,祝日定義!E:E,0)),0,1)</f>
        <v>0</v>
      </c>
      <c r="H1187" s="26">
        <f>IF(ISNA(MATCH(B1187&amp;"/"&amp;C1187,そのた定義!E:E,0)), 0, 1)</f>
        <v>0</v>
      </c>
      <c r="I1187" s="26" t="b">
        <f t="shared" si="169"/>
        <v>0</v>
      </c>
      <c r="J1187" s="26">
        <v>2</v>
      </c>
      <c r="K1187" s="26" t="b">
        <f t="shared" si="164"/>
        <v>0</v>
      </c>
      <c r="L1187" s="26" t="b">
        <f t="shared" si="165"/>
        <v>0</v>
      </c>
      <c r="M1187" t="b">
        <f t="shared" si="170"/>
        <v>0</v>
      </c>
      <c r="N1187" t="b">
        <f t="shared" si="171"/>
        <v>1</v>
      </c>
    </row>
    <row r="1188" spans="1:14">
      <c r="A1188" s="29">
        <v>45748</v>
      </c>
      <c r="B1188" s="30">
        <f t="shared" si="163"/>
        <v>4</v>
      </c>
      <c r="C1188" s="30">
        <f t="shared" si="166"/>
        <v>1</v>
      </c>
      <c r="D1188" s="26">
        <f>MATCH(WEEKDAY(A1188),そのた定義!A:A,0)</f>
        <v>4</v>
      </c>
      <c r="E1188" s="26" t="str">
        <f t="shared" ca="1" si="167"/>
        <v>火</v>
      </c>
      <c r="F1188" s="26">
        <f t="shared" si="168"/>
        <v>0</v>
      </c>
      <c r="G1188" s="26">
        <f>IF(ISNA(MATCH(A1188,祝日定義!E:E,0)),0,1)</f>
        <v>0</v>
      </c>
      <c r="H1188" s="26">
        <f>IF(ISNA(MATCH(B1188&amp;"/"&amp;C1188,そのた定義!E:E,0)), 0, 1)</f>
        <v>0</v>
      </c>
      <c r="I1188" s="26" t="b">
        <f t="shared" si="169"/>
        <v>0</v>
      </c>
      <c r="J1188" s="26">
        <v>0</v>
      </c>
      <c r="K1188" s="26" t="b">
        <f t="shared" si="164"/>
        <v>0</v>
      </c>
      <c r="L1188" s="26" t="b">
        <f t="shared" si="165"/>
        <v>0</v>
      </c>
      <c r="M1188" t="b">
        <f t="shared" si="170"/>
        <v>0</v>
      </c>
      <c r="N1188" t="b">
        <f t="shared" si="171"/>
        <v>0</v>
      </c>
    </row>
    <row r="1189" spans="1:14">
      <c r="A1189" s="29">
        <v>45749</v>
      </c>
      <c r="B1189" s="30">
        <f t="shared" si="163"/>
        <v>4</v>
      </c>
      <c r="C1189" s="30">
        <f t="shared" si="166"/>
        <v>2</v>
      </c>
      <c r="D1189" s="26">
        <f>MATCH(WEEKDAY(A1189),そのた定義!A:A,0)</f>
        <v>5</v>
      </c>
      <c r="E1189" s="26" t="str">
        <f t="shared" ca="1" si="167"/>
        <v>水</v>
      </c>
      <c r="F1189" s="26">
        <f t="shared" si="168"/>
        <v>0</v>
      </c>
      <c r="G1189" s="26">
        <f>IF(ISNA(MATCH(A1189,祝日定義!E:E,0)),0,1)</f>
        <v>0</v>
      </c>
      <c r="H1189" s="26">
        <f>IF(ISNA(MATCH(B1189&amp;"/"&amp;C1189,そのた定義!E:E,0)), 0, 1)</f>
        <v>0</v>
      </c>
      <c r="I1189" s="26" t="b">
        <f t="shared" si="169"/>
        <v>0</v>
      </c>
      <c r="J1189" s="26">
        <v>0</v>
      </c>
      <c r="K1189" s="26" t="b">
        <f t="shared" si="164"/>
        <v>0</v>
      </c>
      <c r="L1189" s="26" t="b">
        <f t="shared" si="165"/>
        <v>0</v>
      </c>
      <c r="M1189" t="b">
        <f t="shared" si="170"/>
        <v>0</v>
      </c>
      <c r="N1189" t="b">
        <f t="shared" si="171"/>
        <v>0</v>
      </c>
    </row>
    <row r="1190" spans="1:14">
      <c r="A1190" s="29">
        <v>45750</v>
      </c>
      <c r="B1190" s="30">
        <f t="shared" si="163"/>
        <v>4</v>
      </c>
      <c r="C1190" s="30">
        <f t="shared" si="166"/>
        <v>3</v>
      </c>
      <c r="D1190" s="26">
        <f>MATCH(WEEKDAY(A1190),そのた定義!A:A,0)</f>
        <v>6</v>
      </c>
      <c r="E1190" s="26" t="str">
        <f t="shared" ca="1" si="167"/>
        <v>木</v>
      </c>
      <c r="F1190" s="26">
        <f t="shared" si="168"/>
        <v>0</v>
      </c>
      <c r="G1190" s="26">
        <f>IF(ISNA(MATCH(A1190,祝日定義!E:E,0)),0,1)</f>
        <v>0</v>
      </c>
      <c r="H1190" s="26">
        <f>IF(ISNA(MATCH(B1190&amp;"/"&amp;C1190,そのた定義!E:E,0)), 0, 1)</f>
        <v>0</v>
      </c>
      <c r="I1190" s="26" t="b">
        <f t="shared" si="169"/>
        <v>0</v>
      </c>
      <c r="J1190" s="26">
        <v>0</v>
      </c>
      <c r="K1190" s="26" t="b">
        <f t="shared" si="164"/>
        <v>0</v>
      </c>
      <c r="L1190" s="26" t="b">
        <f t="shared" si="165"/>
        <v>0</v>
      </c>
      <c r="M1190" t="b">
        <f t="shared" si="170"/>
        <v>0</v>
      </c>
      <c r="N1190" t="b">
        <f t="shared" si="171"/>
        <v>0</v>
      </c>
    </row>
    <row r="1191" spans="1:14">
      <c r="A1191" s="29">
        <v>45751</v>
      </c>
      <c r="B1191" s="30">
        <f t="shared" si="163"/>
        <v>4</v>
      </c>
      <c r="C1191" s="30">
        <f t="shared" si="166"/>
        <v>4</v>
      </c>
      <c r="D1191" s="26">
        <f>MATCH(WEEKDAY(A1191),そのた定義!A:A,0)</f>
        <v>7</v>
      </c>
      <c r="E1191" s="26" t="str">
        <f t="shared" ca="1" si="167"/>
        <v>金</v>
      </c>
      <c r="F1191" s="26">
        <f t="shared" si="168"/>
        <v>0</v>
      </c>
      <c r="G1191" s="26">
        <f>IF(ISNA(MATCH(A1191,祝日定義!E:E,0)),0,1)</f>
        <v>0</v>
      </c>
      <c r="H1191" s="26">
        <f>IF(ISNA(MATCH(B1191&amp;"/"&amp;C1191,そのた定義!E:E,0)), 0, 1)</f>
        <v>0</v>
      </c>
      <c r="I1191" s="26" t="b">
        <f t="shared" si="169"/>
        <v>0</v>
      </c>
      <c r="J1191" s="26">
        <v>0</v>
      </c>
      <c r="K1191" s="26" t="b">
        <f t="shared" si="164"/>
        <v>0</v>
      </c>
      <c r="L1191" s="26" t="b">
        <f t="shared" si="165"/>
        <v>0</v>
      </c>
      <c r="M1191" t="b">
        <f t="shared" si="170"/>
        <v>0</v>
      </c>
      <c r="N1191" t="b">
        <f t="shared" si="171"/>
        <v>0</v>
      </c>
    </row>
    <row r="1192" spans="1:14">
      <c r="A1192" s="29">
        <v>45752</v>
      </c>
      <c r="B1192" s="30">
        <f t="shared" si="163"/>
        <v>4</v>
      </c>
      <c r="C1192" s="30">
        <f t="shared" si="166"/>
        <v>5</v>
      </c>
      <c r="D1192" s="26">
        <f>MATCH(WEEKDAY(A1192),そのた定義!A:A,0)</f>
        <v>8</v>
      </c>
      <c r="E1192" s="33" t="str">
        <f t="shared" ca="1" si="167"/>
        <v>土</v>
      </c>
      <c r="F1192" s="26">
        <f t="shared" si="168"/>
        <v>1</v>
      </c>
      <c r="G1192" s="26">
        <f>IF(ISNA(MATCH(A1192,祝日定義!E:E,0)),0,1)</f>
        <v>0</v>
      </c>
      <c r="H1192" s="26">
        <f>IF(ISNA(MATCH(B1192&amp;"/"&amp;C1192,そのた定義!E:E,0)), 0, 1)</f>
        <v>0</v>
      </c>
      <c r="I1192" s="23" t="b">
        <f t="shared" si="169"/>
        <v>1</v>
      </c>
      <c r="J1192" s="26">
        <v>0</v>
      </c>
      <c r="K1192" s="26" t="b">
        <f t="shared" si="164"/>
        <v>0</v>
      </c>
      <c r="L1192" s="26" t="b">
        <f t="shared" si="165"/>
        <v>0</v>
      </c>
      <c r="M1192" t="b">
        <f t="shared" si="170"/>
        <v>0</v>
      </c>
      <c r="N1192" t="b">
        <f t="shared" si="171"/>
        <v>0</v>
      </c>
    </row>
    <row r="1193" spans="1:14">
      <c r="A1193" s="29">
        <v>45753</v>
      </c>
      <c r="B1193" s="30">
        <f t="shared" si="163"/>
        <v>4</v>
      </c>
      <c r="C1193" s="30">
        <f t="shared" si="166"/>
        <v>6</v>
      </c>
      <c r="D1193" s="26">
        <f>MATCH(WEEKDAY(A1193),そのた定義!A:A,0)</f>
        <v>2</v>
      </c>
      <c r="E1193" s="32" t="str">
        <f t="shared" ca="1" si="167"/>
        <v>日</v>
      </c>
      <c r="F1193" s="26">
        <f t="shared" si="168"/>
        <v>1</v>
      </c>
      <c r="G1193" s="26">
        <f>IF(ISNA(MATCH(A1193,祝日定義!E:E,0)),0,1)</f>
        <v>0</v>
      </c>
      <c r="H1193" s="26">
        <f>IF(ISNA(MATCH(B1193&amp;"/"&amp;C1193,そのた定義!E:E,0)), 0, 1)</f>
        <v>0</v>
      </c>
      <c r="I1193" s="23" t="b">
        <f t="shared" si="169"/>
        <v>1</v>
      </c>
      <c r="J1193" s="26">
        <v>0</v>
      </c>
      <c r="K1193" s="26" t="b">
        <f t="shared" si="164"/>
        <v>0</v>
      </c>
      <c r="L1193" s="26" t="b">
        <f t="shared" si="165"/>
        <v>0</v>
      </c>
      <c r="M1193" t="b">
        <f t="shared" si="170"/>
        <v>0</v>
      </c>
      <c r="N1193" t="b">
        <f t="shared" si="171"/>
        <v>0</v>
      </c>
    </row>
    <row r="1194" spans="1:14">
      <c r="A1194" s="29">
        <v>45754</v>
      </c>
      <c r="B1194" s="30">
        <f t="shared" si="163"/>
        <v>4</v>
      </c>
      <c r="C1194" s="30">
        <f t="shared" si="166"/>
        <v>7</v>
      </c>
      <c r="D1194" s="26">
        <f>MATCH(WEEKDAY(A1194),そのた定義!A:A,0)</f>
        <v>3</v>
      </c>
      <c r="E1194" s="26" t="str">
        <f t="shared" ca="1" si="167"/>
        <v>月</v>
      </c>
      <c r="F1194" s="26">
        <f t="shared" si="168"/>
        <v>0</v>
      </c>
      <c r="G1194" s="26">
        <f>IF(ISNA(MATCH(A1194,祝日定義!E:E,0)),0,1)</f>
        <v>0</v>
      </c>
      <c r="H1194" s="26">
        <f>IF(ISNA(MATCH(B1194&amp;"/"&amp;C1194,そのた定義!E:E,0)), 0, 1)</f>
        <v>0</v>
      </c>
      <c r="I1194" s="26" t="b">
        <f t="shared" si="169"/>
        <v>0</v>
      </c>
      <c r="J1194" s="26">
        <v>2</v>
      </c>
      <c r="K1194" s="26" t="b">
        <f t="shared" si="164"/>
        <v>0</v>
      </c>
      <c r="L1194" s="26" t="b">
        <f t="shared" si="165"/>
        <v>0</v>
      </c>
      <c r="M1194" t="b">
        <f t="shared" si="170"/>
        <v>0</v>
      </c>
      <c r="N1194" t="b">
        <f t="shared" si="171"/>
        <v>0</v>
      </c>
    </row>
    <row r="1195" spans="1:14">
      <c r="A1195" s="29">
        <v>45755</v>
      </c>
      <c r="B1195" s="30">
        <f t="shared" si="163"/>
        <v>4</v>
      </c>
      <c r="C1195" s="30">
        <f t="shared" si="166"/>
        <v>8</v>
      </c>
      <c r="D1195" s="26">
        <f>MATCH(WEEKDAY(A1195),そのた定義!A:A,0)</f>
        <v>4</v>
      </c>
      <c r="E1195" s="26" t="str">
        <f t="shared" ca="1" si="167"/>
        <v>火</v>
      </c>
      <c r="F1195" s="26">
        <f t="shared" si="168"/>
        <v>0</v>
      </c>
      <c r="G1195" s="26">
        <f>IF(ISNA(MATCH(A1195,祝日定義!E:E,0)),0,1)</f>
        <v>0</v>
      </c>
      <c r="H1195" s="26">
        <f>IF(ISNA(MATCH(B1195&amp;"/"&amp;C1195,そのた定義!E:E,0)), 0, 1)</f>
        <v>0</v>
      </c>
      <c r="I1195" s="26" t="b">
        <f t="shared" si="169"/>
        <v>0</v>
      </c>
      <c r="J1195" s="26">
        <v>0</v>
      </c>
      <c r="K1195" s="26" t="b">
        <f t="shared" si="164"/>
        <v>0</v>
      </c>
      <c r="L1195" s="26" t="b">
        <f t="shared" si="165"/>
        <v>0</v>
      </c>
      <c r="M1195" t="b">
        <f t="shared" si="170"/>
        <v>0</v>
      </c>
      <c r="N1195" t="b">
        <f t="shared" si="171"/>
        <v>0</v>
      </c>
    </row>
    <row r="1196" spans="1:14">
      <c r="A1196" s="29">
        <v>45756</v>
      </c>
      <c r="B1196" s="30">
        <f t="shared" si="163"/>
        <v>4</v>
      </c>
      <c r="C1196" s="30">
        <f t="shared" si="166"/>
        <v>9</v>
      </c>
      <c r="D1196" s="26">
        <f>MATCH(WEEKDAY(A1196),そのた定義!A:A,0)</f>
        <v>5</v>
      </c>
      <c r="E1196" s="26" t="str">
        <f t="shared" ca="1" si="167"/>
        <v>水</v>
      </c>
      <c r="F1196" s="26">
        <f t="shared" si="168"/>
        <v>0</v>
      </c>
      <c r="G1196" s="26">
        <f>IF(ISNA(MATCH(A1196,祝日定義!E:E,0)),0,1)</f>
        <v>0</v>
      </c>
      <c r="H1196" s="26">
        <f>IF(ISNA(MATCH(B1196&amp;"/"&amp;C1196,そのた定義!E:E,0)), 0, 1)</f>
        <v>0</v>
      </c>
      <c r="I1196" s="26" t="b">
        <f t="shared" si="169"/>
        <v>0</v>
      </c>
      <c r="J1196" s="26">
        <v>0</v>
      </c>
      <c r="K1196" s="26" t="b">
        <f t="shared" si="164"/>
        <v>0</v>
      </c>
      <c r="L1196" s="26" t="b">
        <f t="shared" si="165"/>
        <v>0</v>
      </c>
      <c r="M1196" t="b">
        <f t="shared" si="170"/>
        <v>0</v>
      </c>
      <c r="N1196" t="b">
        <f t="shared" si="171"/>
        <v>0</v>
      </c>
    </row>
    <row r="1197" spans="1:14">
      <c r="A1197" s="29">
        <v>45757</v>
      </c>
      <c r="B1197" s="30">
        <f t="shared" si="163"/>
        <v>4</v>
      </c>
      <c r="C1197" s="30">
        <f t="shared" si="166"/>
        <v>10</v>
      </c>
      <c r="D1197" s="26">
        <f>MATCH(WEEKDAY(A1197),そのた定義!A:A,0)</f>
        <v>6</v>
      </c>
      <c r="E1197" s="26" t="str">
        <f t="shared" ca="1" si="167"/>
        <v>木</v>
      </c>
      <c r="F1197" s="26">
        <f t="shared" si="168"/>
        <v>0</v>
      </c>
      <c r="G1197" s="26">
        <f>IF(ISNA(MATCH(A1197,祝日定義!E:E,0)),0,1)</f>
        <v>0</v>
      </c>
      <c r="H1197" s="26">
        <f>IF(ISNA(MATCH(B1197&amp;"/"&amp;C1197,そのた定義!E:E,0)), 0, 1)</f>
        <v>0</v>
      </c>
      <c r="I1197" s="26" t="b">
        <f t="shared" si="169"/>
        <v>0</v>
      </c>
      <c r="J1197" s="26">
        <v>0</v>
      </c>
      <c r="K1197" s="26" t="b">
        <f t="shared" si="164"/>
        <v>0</v>
      </c>
      <c r="L1197" s="26" t="b">
        <f t="shared" si="165"/>
        <v>0</v>
      </c>
      <c r="M1197" t="b">
        <f t="shared" si="170"/>
        <v>0</v>
      </c>
      <c r="N1197" t="b">
        <f t="shared" si="171"/>
        <v>0</v>
      </c>
    </row>
    <row r="1198" spans="1:14">
      <c r="A1198" s="29">
        <v>45758</v>
      </c>
      <c r="B1198" s="30">
        <f t="shared" si="163"/>
        <v>4</v>
      </c>
      <c r="C1198" s="30">
        <f t="shared" si="166"/>
        <v>11</v>
      </c>
      <c r="D1198" s="26">
        <f>MATCH(WEEKDAY(A1198),そのた定義!A:A,0)</f>
        <v>7</v>
      </c>
      <c r="E1198" s="26" t="str">
        <f t="shared" ca="1" si="167"/>
        <v>金</v>
      </c>
      <c r="F1198" s="26">
        <f t="shared" si="168"/>
        <v>0</v>
      </c>
      <c r="G1198" s="26">
        <f>IF(ISNA(MATCH(A1198,祝日定義!E:E,0)),0,1)</f>
        <v>0</v>
      </c>
      <c r="H1198" s="26">
        <f>IF(ISNA(MATCH(B1198&amp;"/"&amp;C1198,そのた定義!E:E,0)), 0, 1)</f>
        <v>0</v>
      </c>
      <c r="I1198" s="26" t="b">
        <f t="shared" si="169"/>
        <v>0</v>
      </c>
      <c r="J1198" s="26">
        <v>0</v>
      </c>
      <c r="K1198" s="26" t="b">
        <f t="shared" si="164"/>
        <v>0</v>
      </c>
      <c r="L1198" s="26" t="b">
        <f t="shared" si="165"/>
        <v>0</v>
      </c>
      <c r="M1198" t="b">
        <f t="shared" si="170"/>
        <v>0</v>
      </c>
      <c r="N1198" t="b">
        <f t="shared" si="171"/>
        <v>0</v>
      </c>
    </row>
    <row r="1199" spans="1:14">
      <c r="A1199" s="29">
        <v>45759</v>
      </c>
      <c r="B1199" s="30">
        <f t="shared" si="163"/>
        <v>4</v>
      </c>
      <c r="C1199" s="30">
        <f t="shared" si="166"/>
        <v>12</v>
      </c>
      <c r="D1199" s="26">
        <f>MATCH(WEEKDAY(A1199),そのた定義!A:A,0)</f>
        <v>8</v>
      </c>
      <c r="E1199" s="33" t="str">
        <f t="shared" ca="1" si="167"/>
        <v>土</v>
      </c>
      <c r="F1199" s="26">
        <f t="shared" si="168"/>
        <v>1</v>
      </c>
      <c r="G1199" s="26">
        <f>IF(ISNA(MATCH(A1199,祝日定義!E:E,0)),0,1)</f>
        <v>0</v>
      </c>
      <c r="H1199" s="26">
        <f>IF(ISNA(MATCH(B1199&amp;"/"&amp;C1199,そのた定義!E:E,0)), 0, 1)</f>
        <v>0</v>
      </c>
      <c r="I1199" s="23" t="b">
        <f t="shared" si="169"/>
        <v>1</v>
      </c>
      <c r="J1199" s="26">
        <v>0</v>
      </c>
      <c r="K1199" s="26" t="b">
        <f t="shared" si="164"/>
        <v>0</v>
      </c>
      <c r="L1199" s="26" t="b">
        <f t="shared" si="165"/>
        <v>0</v>
      </c>
      <c r="M1199" t="b">
        <f t="shared" si="170"/>
        <v>0</v>
      </c>
      <c r="N1199" t="b">
        <f t="shared" si="171"/>
        <v>0</v>
      </c>
    </row>
    <row r="1200" spans="1:14">
      <c r="A1200" s="29">
        <v>45760</v>
      </c>
      <c r="B1200" s="30">
        <f t="shared" si="163"/>
        <v>4</v>
      </c>
      <c r="C1200" s="30">
        <f t="shared" si="166"/>
        <v>13</v>
      </c>
      <c r="D1200" s="26">
        <f>MATCH(WEEKDAY(A1200),そのた定義!A:A,0)</f>
        <v>2</v>
      </c>
      <c r="E1200" s="32" t="str">
        <f t="shared" ca="1" si="167"/>
        <v>日</v>
      </c>
      <c r="F1200" s="26">
        <f t="shared" si="168"/>
        <v>1</v>
      </c>
      <c r="G1200" s="26">
        <f>IF(ISNA(MATCH(A1200,祝日定義!E:E,0)),0,1)</f>
        <v>0</v>
      </c>
      <c r="H1200" s="26">
        <f>IF(ISNA(MATCH(B1200&amp;"/"&amp;C1200,そのた定義!E:E,0)), 0, 1)</f>
        <v>0</v>
      </c>
      <c r="I1200" s="23" t="b">
        <f t="shared" si="169"/>
        <v>1</v>
      </c>
      <c r="J1200" s="26">
        <v>0</v>
      </c>
      <c r="K1200" s="26" t="b">
        <f t="shared" si="164"/>
        <v>0</v>
      </c>
      <c r="L1200" s="26" t="b">
        <f t="shared" si="165"/>
        <v>0</v>
      </c>
      <c r="M1200" t="b">
        <f t="shared" si="170"/>
        <v>0</v>
      </c>
      <c r="N1200" t="b">
        <f t="shared" si="171"/>
        <v>0</v>
      </c>
    </row>
    <row r="1201" spans="1:14">
      <c r="A1201" s="29">
        <v>45761</v>
      </c>
      <c r="B1201" s="30">
        <f t="shared" si="163"/>
        <v>4</v>
      </c>
      <c r="C1201" s="30">
        <f t="shared" si="166"/>
        <v>14</v>
      </c>
      <c r="D1201" s="26">
        <f>MATCH(WEEKDAY(A1201),そのた定義!A:A,0)</f>
        <v>3</v>
      </c>
      <c r="E1201" s="26" t="str">
        <f t="shared" ca="1" si="167"/>
        <v>月</v>
      </c>
      <c r="F1201" s="26">
        <f t="shared" si="168"/>
        <v>0</v>
      </c>
      <c r="G1201" s="26">
        <f>IF(ISNA(MATCH(A1201,祝日定義!E:E,0)),0,1)</f>
        <v>0</v>
      </c>
      <c r="H1201" s="26">
        <f>IF(ISNA(MATCH(B1201&amp;"/"&amp;C1201,そのた定義!E:E,0)), 0, 1)</f>
        <v>0</v>
      </c>
      <c r="I1201" s="26" t="b">
        <f t="shared" si="169"/>
        <v>0</v>
      </c>
      <c r="J1201" s="26">
        <v>2</v>
      </c>
      <c r="K1201" s="26" t="b">
        <f t="shared" si="164"/>
        <v>0</v>
      </c>
      <c r="L1201" s="26" t="b">
        <f t="shared" si="165"/>
        <v>0</v>
      </c>
      <c r="M1201" t="b">
        <f t="shared" si="170"/>
        <v>0</v>
      </c>
      <c r="N1201" t="b">
        <f t="shared" si="171"/>
        <v>0</v>
      </c>
    </row>
    <row r="1202" spans="1:14">
      <c r="A1202" s="29">
        <v>45762</v>
      </c>
      <c r="B1202" s="30">
        <f t="shared" si="163"/>
        <v>4</v>
      </c>
      <c r="C1202" s="30">
        <f t="shared" si="166"/>
        <v>15</v>
      </c>
      <c r="D1202" s="26">
        <f>MATCH(WEEKDAY(A1202),そのた定義!A:A,0)</f>
        <v>4</v>
      </c>
      <c r="E1202" s="26" t="str">
        <f t="shared" ca="1" si="167"/>
        <v>火</v>
      </c>
      <c r="F1202" s="26">
        <f t="shared" si="168"/>
        <v>0</v>
      </c>
      <c r="G1202" s="26">
        <f>IF(ISNA(MATCH(A1202,祝日定義!E:E,0)),0,1)</f>
        <v>0</v>
      </c>
      <c r="H1202" s="26">
        <f>IF(ISNA(MATCH(B1202&amp;"/"&amp;C1202,そのた定義!E:E,0)), 0, 1)</f>
        <v>0</v>
      </c>
      <c r="I1202" s="26" t="b">
        <f t="shared" si="169"/>
        <v>0</v>
      </c>
      <c r="J1202" s="26">
        <v>0</v>
      </c>
      <c r="K1202" s="26" t="b">
        <f t="shared" si="164"/>
        <v>0</v>
      </c>
      <c r="L1202" s="26" t="b">
        <f t="shared" si="165"/>
        <v>0</v>
      </c>
      <c r="M1202" t="b">
        <f t="shared" si="170"/>
        <v>0</v>
      </c>
      <c r="N1202" t="b">
        <f t="shared" si="171"/>
        <v>0</v>
      </c>
    </row>
    <row r="1203" spans="1:14">
      <c r="A1203" s="29">
        <v>45763</v>
      </c>
      <c r="B1203" s="30">
        <f t="shared" si="163"/>
        <v>4</v>
      </c>
      <c r="C1203" s="30">
        <f t="shared" si="166"/>
        <v>16</v>
      </c>
      <c r="D1203" s="26">
        <f>MATCH(WEEKDAY(A1203),そのた定義!A:A,0)</f>
        <v>5</v>
      </c>
      <c r="E1203" s="26" t="str">
        <f t="shared" ca="1" si="167"/>
        <v>水</v>
      </c>
      <c r="F1203" s="26">
        <f t="shared" si="168"/>
        <v>0</v>
      </c>
      <c r="G1203" s="26">
        <f>IF(ISNA(MATCH(A1203,祝日定義!E:E,0)),0,1)</f>
        <v>0</v>
      </c>
      <c r="H1203" s="26">
        <f>IF(ISNA(MATCH(B1203&amp;"/"&amp;C1203,そのた定義!E:E,0)), 0, 1)</f>
        <v>0</v>
      </c>
      <c r="I1203" s="26" t="b">
        <f t="shared" si="169"/>
        <v>0</v>
      </c>
      <c r="J1203" s="26">
        <v>0</v>
      </c>
      <c r="K1203" s="26" t="b">
        <f t="shared" si="164"/>
        <v>0</v>
      </c>
      <c r="L1203" s="26" t="b">
        <f t="shared" si="165"/>
        <v>0</v>
      </c>
      <c r="M1203" t="b">
        <f t="shared" si="170"/>
        <v>0</v>
      </c>
      <c r="N1203" t="b">
        <f t="shared" si="171"/>
        <v>0</v>
      </c>
    </row>
    <row r="1204" spans="1:14">
      <c r="A1204" s="29">
        <v>45764</v>
      </c>
      <c r="B1204" s="30">
        <f t="shared" si="163"/>
        <v>4</v>
      </c>
      <c r="C1204" s="30">
        <f t="shared" si="166"/>
        <v>17</v>
      </c>
      <c r="D1204" s="26">
        <f>MATCH(WEEKDAY(A1204),そのた定義!A:A,0)</f>
        <v>6</v>
      </c>
      <c r="E1204" s="26" t="str">
        <f t="shared" ca="1" si="167"/>
        <v>木</v>
      </c>
      <c r="F1204" s="26">
        <f t="shared" si="168"/>
        <v>0</v>
      </c>
      <c r="G1204" s="26">
        <f>IF(ISNA(MATCH(A1204,祝日定義!E:E,0)),0,1)</f>
        <v>0</v>
      </c>
      <c r="H1204" s="26">
        <f>IF(ISNA(MATCH(B1204&amp;"/"&amp;C1204,そのた定義!E:E,0)), 0, 1)</f>
        <v>0</v>
      </c>
      <c r="I1204" s="26" t="b">
        <f t="shared" si="169"/>
        <v>0</v>
      </c>
      <c r="J1204" s="26">
        <v>0</v>
      </c>
      <c r="K1204" s="26" t="b">
        <f t="shared" si="164"/>
        <v>0</v>
      </c>
      <c r="L1204" s="26" t="b">
        <f t="shared" si="165"/>
        <v>0</v>
      </c>
      <c r="M1204" t="b">
        <f t="shared" si="170"/>
        <v>0</v>
      </c>
      <c r="N1204" t="b">
        <f t="shared" si="171"/>
        <v>0</v>
      </c>
    </row>
    <row r="1205" spans="1:14">
      <c r="A1205" s="29">
        <v>45765</v>
      </c>
      <c r="B1205" s="30">
        <f t="shared" si="163"/>
        <v>4</v>
      </c>
      <c r="C1205" s="30">
        <f t="shared" si="166"/>
        <v>18</v>
      </c>
      <c r="D1205" s="26">
        <f>MATCH(WEEKDAY(A1205),そのた定義!A:A,0)</f>
        <v>7</v>
      </c>
      <c r="E1205" s="26" t="str">
        <f t="shared" ca="1" si="167"/>
        <v>金</v>
      </c>
      <c r="F1205" s="26">
        <f t="shared" si="168"/>
        <v>0</v>
      </c>
      <c r="G1205" s="26">
        <f>IF(ISNA(MATCH(A1205,祝日定義!E:E,0)),0,1)</f>
        <v>0</v>
      </c>
      <c r="H1205" s="26">
        <f>IF(ISNA(MATCH(B1205&amp;"/"&amp;C1205,そのた定義!E:E,0)), 0, 1)</f>
        <v>0</v>
      </c>
      <c r="I1205" s="26" t="b">
        <f t="shared" si="169"/>
        <v>0</v>
      </c>
      <c r="J1205" s="26">
        <v>0</v>
      </c>
      <c r="K1205" s="26" t="b">
        <f t="shared" si="164"/>
        <v>0</v>
      </c>
      <c r="L1205" s="26" t="b">
        <f t="shared" si="165"/>
        <v>0</v>
      </c>
      <c r="M1205" t="b">
        <f t="shared" si="170"/>
        <v>0</v>
      </c>
      <c r="N1205" t="b">
        <f t="shared" si="171"/>
        <v>0</v>
      </c>
    </row>
    <row r="1206" spans="1:14">
      <c r="A1206" s="29">
        <v>45766</v>
      </c>
      <c r="B1206" s="30">
        <f t="shared" si="163"/>
        <v>4</v>
      </c>
      <c r="C1206" s="30">
        <f t="shared" si="166"/>
        <v>19</v>
      </c>
      <c r="D1206" s="26">
        <f>MATCH(WEEKDAY(A1206),そのた定義!A:A,0)</f>
        <v>8</v>
      </c>
      <c r="E1206" s="33" t="str">
        <f t="shared" ca="1" si="167"/>
        <v>土</v>
      </c>
      <c r="F1206" s="26">
        <f t="shared" si="168"/>
        <v>1</v>
      </c>
      <c r="G1206" s="26">
        <f>IF(ISNA(MATCH(A1206,祝日定義!E:E,0)),0,1)</f>
        <v>0</v>
      </c>
      <c r="H1206" s="26">
        <f>IF(ISNA(MATCH(B1206&amp;"/"&amp;C1206,そのた定義!E:E,0)), 0, 1)</f>
        <v>0</v>
      </c>
      <c r="I1206" s="23" t="b">
        <f t="shared" si="169"/>
        <v>1</v>
      </c>
      <c r="J1206" s="26">
        <v>0</v>
      </c>
      <c r="K1206" s="26" t="b">
        <f t="shared" si="164"/>
        <v>0</v>
      </c>
      <c r="L1206" s="26" t="b">
        <f t="shared" si="165"/>
        <v>0</v>
      </c>
      <c r="M1206" t="b">
        <f t="shared" si="170"/>
        <v>0</v>
      </c>
      <c r="N1206" t="b">
        <f t="shared" si="171"/>
        <v>0</v>
      </c>
    </row>
    <row r="1207" spans="1:14">
      <c r="A1207" s="29">
        <v>45767</v>
      </c>
      <c r="B1207" s="30">
        <f t="shared" si="163"/>
        <v>4</v>
      </c>
      <c r="C1207" s="30">
        <f t="shared" si="166"/>
        <v>20</v>
      </c>
      <c r="D1207" s="26">
        <f>MATCH(WEEKDAY(A1207),そのた定義!A:A,0)</f>
        <v>2</v>
      </c>
      <c r="E1207" s="32" t="str">
        <f t="shared" ca="1" si="167"/>
        <v>日</v>
      </c>
      <c r="F1207" s="26">
        <f t="shared" si="168"/>
        <v>1</v>
      </c>
      <c r="G1207" s="26">
        <f>IF(ISNA(MATCH(A1207,祝日定義!E:E,0)),0,1)</f>
        <v>0</v>
      </c>
      <c r="H1207" s="26">
        <f>IF(ISNA(MATCH(B1207&amp;"/"&amp;C1207,そのた定義!E:E,0)), 0, 1)</f>
        <v>0</v>
      </c>
      <c r="I1207" s="23" t="b">
        <f t="shared" si="169"/>
        <v>1</v>
      </c>
      <c r="J1207" s="26">
        <v>0</v>
      </c>
      <c r="K1207" s="26" t="b">
        <f t="shared" si="164"/>
        <v>0</v>
      </c>
      <c r="L1207" s="26" t="b">
        <f t="shared" si="165"/>
        <v>0</v>
      </c>
      <c r="M1207" t="b">
        <f t="shared" si="170"/>
        <v>0</v>
      </c>
      <c r="N1207" t="b">
        <f t="shared" si="171"/>
        <v>0</v>
      </c>
    </row>
    <row r="1208" spans="1:14">
      <c r="A1208" s="29">
        <v>45768</v>
      </c>
      <c r="B1208" s="30">
        <f t="shared" si="163"/>
        <v>4</v>
      </c>
      <c r="C1208" s="30">
        <f t="shared" si="166"/>
        <v>21</v>
      </c>
      <c r="D1208" s="26">
        <f>MATCH(WEEKDAY(A1208),そのた定義!A:A,0)</f>
        <v>3</v>
      </c>
      <c r="E1208" s="26" t="str">
        <f t="shared" ca="1" si="167"/>
        <v>月</v>
      </c>
      <c r="F1208" s="26">
        <f t="shared" si="168"/>
        <v>0</v>
      </c>
      <c r="G1208" s="26">
        <f>IF(ISNA(MATCH(A1208,祝日定義!E:E,0)),0,1)</f>
        <v>0</v>
      </c>
      <c r="H1208" s="26">
        <f>IF(ISNA(MATCH(B1208&amp;"/"&amp;C1208,そのた定義!E:E,0)), 0, 1)</f>
        <v>0</v>
      </c>
      <c r="I1208" s="26" t="b">
        <f t="shared" si="169"/>
        <v>0</v>
      </c>
      <c r="J1208" s="26">
        <v>2</v>
      </c>
      <c r="K1208" s="26" t="b">
        <f t="shared" si="164"/>
        <v>0</v>
      </c>
      <c r="L1208" s="26" t="b">
        <f t="shared" si="165"/>
        <v>0</v>
      </c>
      <c r="M1208" t="b">
        <f t="shared" si="170"/>
        <v>0</v>
      </c>
      <c r="N1208" t="b">
        <f t="shared" si="171"/>
        <v>0</v>
      </c>
    </row>
    <row r="1209" spans="1:14">
      <c r="A1209" s="29">
        <v>45769</v>
      </c>
      <c r="B1209" s="30">
        <f t="shared" si="163"/>
        <v>4</v>
      </c>
      <c r="C1209" s="30">
        <f t="shared" si="166"/>
        <v>22</v>
      </c>
      <c r="D1209" s="26">
        <f>MATCH(WEEKDAY(A1209),そのた定義!A:A,0)</f>
        <v>4</v>
      </c>
      <c r="E1209" s="26" t="str">
        <f t="shared" ca="1" si="167"/>
        <v>火</v>
      </c>
      <c r="F1209" s="26">
        <f t="shared" si="168"/>
        <v>0</v>
      </c>
      <c r="G1209" s="26">
        <f>IF(ISNA(MATCH(A1209,祝日定義!E:E,0)),0,1)</f>
        <v>0</v>
      </c>
      <c r="H1209" s="26">
        <f>IF(ISNA(MATCH(B1209&amp;"/"&amp;C1209,そのた定義!E:E,0)), 0, 1)</f>
        <v>0</v>
      </c>
      <c r="I1209" s="26" t="b">
        <f t="shared" si="169"/>
        <v>0</v>
      </c>
      <c r="J1209" s="26">
        <v>0</v>
      </c>
      <c r="K1209" s="26" t="b">
        <f t="shared" si="164"/>
        <v>0</v>
      </c>
      <c r="L1209" s="26" t="b">
        <f t="shared" si="165"/>
        <v>0</v>
      </c>
      <c r="M1209" t="b">
        <f t="shared" si="170"/>
        <v>0</v>
      </c>
      <c r="N1209" t="b">
        <f t="shared" si="171"/>
        <v>0</v>
      </c>
    </row>
    <row r="1210" spans="1:14">
      <c r="A1210" s="29">
        <v>45770</v>
      </c>
      <c r="B1210" s="30">
        <f t="shared" si="163"/>
        <v>4</v>
      </c>
      <c r="C1210" s="30">
        <f t="shared" si="166"/>
        <v>23</v>
      </c>
      <c r="D1210" s="26">
        <f>MATCH(WEEKDAY(A1210),そのた定義!A:A,0)</f>
        <v>5</v>
      </c>
      <c r="E1210" s="26" t="str">
        <f t="shared" ca="1" si="167"/>
        <v>水</v>
      </c>
      <c r="F1210" s="26">
        <f t="shared" si="168"/>
        <v>0</v>
      </c>
      <c r="G1210" s="26">
        <f>IF(ISNA(MATCH(A1210,祝日定義!E:E,0)),0,1)</f>
        <v>0</v>
      </c>
      <c r="H1210" s="26">
        <f>IF(ISNA(MATCH(B1210&amp;"/"&amp;C1210,そのた定義!E:E,0)), 0, 1)</f>
        <v>0</v>
      </c>
      <c r="I1210" s="26" t="b">
        <f t="shared" si="169"/>
        <v>0</v>
      </c>
      <c r="J1210" s="26">
        <v>0</v>
      </c>
      <c r="K1210" s="26" t="b">
        <f t="shared" si="164"/>
        <v>0</v>
      </c>
      <c r="L1210" s="26" t="b">
        <f t="shared" si="165"/>
        <v>0</v>
      </c>
      <c r="M1210" t="b">
        <f t="shared" si="170"/>
        <v>0</v>
      </c>
      <c r="N1210" t="b">
        <f t="shared" si="171"/>
        <v>0</v>
      </c>
    </row>
    <row r="1211" spans="1:14">
      <c r="A1211" s="29">
        <v>45771</v>
      </c>
      <c r="B1211" s="30">
        <f t="shared" si="163"/>
        <v>4</v>
      </c>
      <c r="C1211" s="30">
        <f t="shared" si="166"/>
        <v>24</v>
      </c>
      <c r="D1211" s="26">
        <f>MATCH(WEEKDAY(A1211),そのた定義!A:A,0)</f>
        <v>6</v>
      </c>
      <c r="E1211" s="26" t="str">
        <f t="shared" ca="1" si="167"/>
        <v>木</v>
      </c>
      <c r="F1211" s="26">
        <f t="shared" si="168"/>
        <v>0</v>
      </c>
      <c r="G1211" s="26">
        <f>IF(ISNA(MATCH(A1211,祝日定義!E:E,0)),0,1)</f>
        <v>0</v>
      </c>
      <c r="H1211" s="26">
        <f>IF(ISNA(MATCH(B1211&amp;"/"&amp;C1211,そのた定義!E:E,0)), 0, 1)</f>
        <v>0</v>
      </c>
      <c r="I1211" s="26" t="b">
        <f t="shared" si="169"/>
        <v>0</v>
      </c>
      <c r="J1211" s="26">
        <v>0</v>
      </c>
      <c r="K1211" s="26" t="b">
        <f t="shared" si="164"/>
        <v>0</v>
      </c>
      <c r="L1211" s="26" t="b">
        <f t="shared" si="165"/>
        <v>0</v>
      </c>
      <c r="M1211" t="b">
        <f t="shared" si="170"/>
        <v>0</v>
      </c>
      <c r="N1211" t="b">
        <f t="shared" si="171"/>
        <v>0</v>
      </c>
    </row>
    <row r="1212" spans="1:14">
      <c r="A1212" s="29">
        <v>45772</v>
      </c>
      <c r="B1212" s="30">
        <f t="shared" si="163"/>
        <v>4</v>
      </c>
      <c r="C1212" s="30">
        <f t="shared" si="166"/>
        <v>25</v>
      </c>
      <c r="D1212" s="26">
        <f>MATCH(WEEKDAY(A1212),そのた定義!A:A,0)</f>
        <v>7</v>
      </c>
      <c r="E1212" s="26" t="str">
        <f t="shared" ca="1" si="167"/>
        <v>金</v>
      </c>
      <c r="F1212" s="26">
        <f t="shared" si="168"/>
        <v>0</v>
      </c>
      <c r="G1212" s="26">
        <f>IF(ISNA(MATCH(A1212,祝日定義!E:E,0)),0,1)</f>
        <v>0</v>
      </c>
      <c r="H1212" s="26">
        <f>IF(ISNA(MATCH(B1212&amp;"/"&amp;C1212,そのた定義!E:E,0)), 0, 1)</f>
        <v>0</v>
      </c>
      <c r="I1212" s="26" t="b">
        <f t="shared" si="169"/>
        <v>0</v>
      </c>
      <c r="J1212" s="26">
        <v>0</v>
      </c>
      <c r="K1212" s="26" t="b">
        <f t="shared" si="164"/>
        <v>0</v>
      </c>
      <c r="L1212" s="23" t="b">
        <f t="shared" si="165"/>
        <v>1</v>
      </c>
      <c r="M1212" t="b">
        <f t="shared" si="170"/>
        <v>0</v>
      </c>
      <c r="N1212" t="b">
        <f t="shared" si="171"/>
        <v>0</v>
      </c>
    </row>
    <row r="1213" spans="1:14">
      <c r="A1213" s="29">
        <v>45773</v>
      </c>
      <c r="B1213" s="30">
        <f t="shared" si="163"/>
        <v>4</v>
      </c>
      <c r="C1213" s="30">
        <f t="shared" si="166"/>
        <v>26</v>
      </c>
      <c r="D1213" s="26">
        <f>MATCH(WEEKDAY(A1213),そのた定義!A:A,0)</f>
        <v>8</v>
      </c>
      <c r="E1213" s="33" t="str">
        <f t="shared" ca="1" si="167"/>
        <v>土</v>
      </c>
      <c r="F1213" s="26">
        <f t="shared" si="168"/>
        <v>1</v>
      </c>
      <c r="G1213" s="26">
        <f>IF(ISNA(MATCH(A1213,祝日定義!E:E,0)),0,1)</f>
        <v>0</v>
      </c>
      <c r="H1213" s="26">
        <f>IF(ISNA(MATCH(B1213&amp;"/"&amp;C1213,そのた定義!E:E,0)), 0, 1)</f>
        <v>0</v>
      </c>
      <c r="I1213" s="23" t="b">
        <f t="shared" si="169"/>
        <v>1</v>
      </c>
      <c r="J1213" s="26">
        <v>0</v>
      </c>
      <c r="K1213" s="26" t="b">
        <f t="shared" si="164"/>
        <v>0</v>
      </c>
      <c r="L1213" s="26" t="b">
        <f t="shared" si="165"/>
        <v>0</v>
      </c>
      <c r="M1213" t="b">
        <f t="shared" si="170"/>
        <v>0</v>
      </c>
      <c r="N1213" t="b">
        <f t="shared" si="171"/>
        <v>0</v>
      </c>
    </row>
    <row r="1214" spans="1:14">
      <c r="A1214" s="29">
        <v>45774</v>
      </c>
      <c r="B1214" s="30">
        <f t="shared" si="163"/>
        <v>4</v>
      </c>
      <c r="C1214" s="30">
        <f t="shared" si="166"/>
        <v>27</v>
      </c>
      <c r="D1214" s="26">
        <f>MATCH(WEEKDAY(A1214),そのた定義!A:A,0)</f>
        <v>2</v>
      </c>
      <c r="E1214" s="32" t="str">
        <f t="shared" ca="1" si="167"/>
        <v>日</v>
      </c>
      <c r="F1214" s="26">
        <f t="shared" si="168"/>
        <v>1</v>
      </c>
      <c r="G1214" s="26">
        <f>IF(ISNA(MATCH(A1214,祝日定義!E:E,0)),0,1)</f>
        <v>0</v>
      </c>
      <c r="H1214" s="26">
        <f>IF(ISNA(MATCH(B1214&amp;"/"&amp;C1214,そのた定義!E:E,0)), 0, 1)</f>
        <v>0</v>
      </c>
      <c r="I1214" s="23" t="b">
        <f t="shared" si="169"/>
        <v>1</v>
      </c>
      <c r="J1214" s="26">
        <v>0</v>
      </c>
      <c r="K1214" s="26" t="b">
        <f t="shared" si="164"/>
        <v>0</v>
      </c>
      <c r="L1214" s="26" t="b">
        <f t="shared" si="165"/>
        <v>0</v>
      </c>
      <c r="M1214" t="b">
        <f t="shared" si="170"/>
        <v>0</v>
      </c>
      <c r="N1214" t="b">
        <f t="shared" si="171"/>
        <v>0</v>
      </c>
    </row>
    <row r="1215" spans="1:14">
      <c r="A1215" s="29">
        <v>45775</v>
      </c>
      <c r="B1215" s="30">
        <f t="shared" si="163"/>
        <v>4</v>
      </c>
      <c r="C1215" s="30">
        <f t="shared" si="166"/>
        <v>28</v>
      </c>
      <c r="D1215" s="26">
        <f>MATCH(WEEKDAY(A1215),そのた定義!A:A,0)</f>
        <v>3</v>
      </c>
      <c r="E1215" s="26" t="str">
        <f t="shared" ca="1" si="167"/>
        <v>月</v>
      </c>
      <c r="F1215" s="26">
        <f t="shared" si="168"/>
        <v>0</v>
      </c>
      <c r="G1215" s="26">
        <f>IF(ISNA(MATCH(A1215,祝日定義!E:E,0)),0,1)</f>
        <v>0</v>
      </c>
      <c r="H1215" s="26">
        <f>IF(ISNA(MATCH(B1215&amp;"/"&amp;C1215,そのた定義!E:E,0)), 0, 1)</f>
        <v>0</v>
      </c>
      <c r="I1215" s="26" t="b">
        <f t="shared" si="169"/>
        <v>0</v>
      </c>
      <c r="J1215" s="26">
        <v>2</v>
      </c>
      <c r="K1215" s="26" t="b">
        <f t="shared" si="164"/>
        <v>0</v>
      </c>
      <c r="L1215" s="26" t="b">
        <f t="shared" si="165"/>
        <v>0</v>
      </c>
      <c r="M1215" t="b">
        <f t="shared" si="170"/>
        <v>0</v>
      </c>
      <c r="N1215" t="b">
        <f t="shared" si="171"/>
        <v>0</v>
      </c>
    </row>
    <row r="1216" spans="1:14">
      <c r="A1216" s="29">
        <v>45776</v>
      </c>
      <c r="B1216" s="30">
        <f t="shared" si="163"/>
        <v>4</v>
      </c>
      <c r="C1216" s="30">
        <f t="shared" si="166"/>
        <v>29</v>
      </c>
      <c r="D1216" s="26">
        <f>MATCH(WEEKDAY(A1216),そのた定義!A:A,0)</f>
        <v>4</v>
      </c>
      <c r="E1216" s="31" t="str">
        <f t="shared" ca="1" si="167"/>
        <v>火</v>
      </c>
      <c r="F1216" s="26">
        <f t="shared" si="168"/>
        <v>0</v>
      </c>
      <c r="G1216" s="26">
        <f>IF(ISNA(MATCH(A1216,祝日定義!E:E,0)),0,1)</f>
        <v>1</v>
      </c>
      <c r="H1216" s="26">
        <f>IF(ISNA(MATCH(B1216&amp;"/"&amp;C1216,そのた定義!E:E,0)), 0, 1)</f>
        <v>0</v>
      </c>
      <c r="I1216" s="23" t="b">
        <f t="shared" si="169"/>
        <v>1</v>
      </c>
      <c r="J1216" s="26">
        <v>0</v>
      </c>
      <c r="K1216" s="26" t="b">
        <f t="shared" si="164"/>
        <v>0</v>
      </c>
      <c r="L1216" s="26" t="b">
        <f t="shared" si="165"/>
        <v>0</v>
      </c>
      <c r="M1216" t="b">
        <f t="shared" si="170"/>
        <v>0</v>
      </c>
      <c r="N1216" t="b">
        <f t="shared" si="171"/>
        <v>0</v>
      </c>
    </row>
    <row r="1217" spans="1:14">
      <c r="A1217" s="29">
        <v>45777</v>
      </c>
      <c r="B1217" s="30">
        <f t="shared" si="163"/>
        <v>4</v>
      </c>
      <c r="C1217" s="30">
        <f t="shared" si="166"/>
        <v>30</v>
      </c>
      <c r="D1217" s="26">
        <f>MATCH(WEEKDAY(A1217),そのた定義!A:A,0)</f>
        <v>5</v>
      </c>
      <c r="E1217" s="26" t="str">
        <f t="shared" ca="1" si="167"/>
        <v>水</v>
      </c>
      <c r="F1217" s="26">
        <f t="shared" si="168"/>
        <v>0</v>
      </c>
      <c r="G1217" s="26">
        <f>IF(ISNA(MATCH(A1217,祝日定義!E:E,0)),0,1)</f>
        <v>0</v>
      </c>
      <c r="H1217" s="26">
        <f>IF(ISNA(MATCH(B1217&amp;"/"&amp;C1217,そのた定義!E:E,0)), 0, 1)</f>
        <v>0</v>
      </c>
      <c r="I1217" s="26" t="b">
        <f t="shared" si="169"/>
        <v>0</v>
      </c>
      <c r="J1217" s="26">
        <v>1</v>
      </c>
      <c r="K1217" s="26" t="b">
        <f t="shared" si="164"/>
        <v>0</v>
      </c>
      <c r="L1217" s="26" t="b">
        <f t="shared" si="165"/>
        <v>0</v>
      </c>
      <c r="M1217" t="b">
        <f t="shared" si="170"/>
        <v>0</v>
      </c>
      <c r="N1217" t="b">
        <f t="shared" si="171"/>
        <v>1</v>
      </c>
    </row>
    <row r="1218" spans="1:14">
      <c r="A1218" s="29">
        <v>45778</v>
      </c>
      <c r="B1218" s="30">
        <f t="shared" ref="B1218:B1281" si="172">MONTH(A1218)</f>
        <v>5</v>
      </c>
      <c r="C1218" s="30">
        <f t="shared" si="166"/>
        <v>1</v>
      </c>
      <c r="D1218" s="26">
        <f>MATCH(WEEKDAY(A1218),そのた定義!A:A,0)</f>
        <v>6</v>
      </c>
      <c r="E1218" s="26" t="str">
        <f t="shared" ca="1" si="167"/>
        <v>木</v>
      </c>
      <c r="F1218" s="26">
        <f t="shared" si="168"/>
        <v>0</v>
      </c>
      <c r="G1218" s="26">
        <f>IF(ISNA(MATCH(A1218,祝日定義!E:E,0)),0,1)</f>
        <v>0</v>
      </c>
      <c r="H1218" s="26">
        <f>IF(ISNA(MATCH(B1218&amp;"/"&amp;C1218,そのた定義!E:E,0)), 0, 1)</f>
        <v>0</v>
      </c>
      <c r="I1218" s="26" t="b">
        <f t="shared" si="169"/>
        <v>0</v>
      </c>
      <c r="J1218" s="26">
        <v>0</v>
      </c>
      <c r="K1218" s="26" t="b">
        <f t="shared" ref="K1218:K1281" si="173">AND(C1218&gt;25,DAY(A1218-J1218)&lt;=25)</f>
        <v>0</v>
      </c>
      <c r="L1218" s="26" t="b">
        <f t="shared" ref="L1218:L1281" si="174">C1218=25</f>
        <v>0</v>
      </c>
      <c r="M1218" t="b">
        <f t="shared" si="170"/>
        <v>0</v>
      </c>
      <c r="N1218" t="b">
        <f t="shared" si="171"/>
        <v>0</v>
      </c>
    </row>
    <row r="1219" spans="1:14">
      <c r="A1219" s="29">
        <v>45779</v>
      </c>
      <c r="B1219" s="30">
        <f t="shared" si="172"/>
        <v>5</v>
      </c>
      <c r="C1219" s="30">
        <f t="shared" ref="C1219:C1282" si="175">DAY(A1219)</f>
        <v>2</v>
      </c>
      <c r="D1219" s="26">
        <f>MATCH(WEEKDAY(A1219),そのた定義!A:A,0)</f>
        <v>7</v>
      </c>
      <c r="E1219" s="26" t="str">
        <f t="shared" ref="E1219:E1282" ca="1" si="176">INDIRECT("そのた定義!"&amp;"B"&amp;D1219)</f>
        <v>金</v>
      </c>
      <c r="F1219" s="26">
        <f t="shared" ref="F1219:F1282" si="177">IF(OR(D1219=8,D1219=2),1,0)</f>
        <v>0</v>
      </c>
      <c r="G1219" s="26">
        <f>IF(ISNA(MATCH(A1219,祝日定義!E:E,0)),0,1)</f>
        <v>0</v>
      </c>
      <c r="H1219" s="26">
        <f>IF(ISNA(MATCH(B1219&amp;"/"&amp;C1219,そのた定義!E:E,0)), 0, 1)</f>
        <v>0</v>
      </c>
      <c r="I1219" s="26" t="b">
        <f t="shared" ref="I1219:I1282" si="178">SUM(F1219:H1219)&gt;0</f>
        <v>0</v>
      </c>
      <c r="J1219" s="26">
        <v>0</v>
      </c>
      <c r="K1219" s="26" t="b">
        <f t="shared" si="173"/>
        <v>0</v>
      </c>
      <c r="L1219" s="26" t="b">
        <f t="shared" si="174"/>
        <v>0</v>
      </c>
      <c r="M1219" t="b">
        <f t="shared" ref="M1219:M1282" si="179">B1219&lt;&gt;MONTH(A1219-J1219)</f>
        <v>0</v>
      </c>
      <c r="N1219" t="b">
        <f t="shared" ref="N1219:N1282" si="180">B1219&lt;&gt;MONTH(A1219+1)</f>
        <v>0</v>
      </c>
    </row>
    <row r="1220" spans="1:14">
      <c r="A1220" s="29">
        <v>45780</v>
      </c>
      <c r="B1220" s="30">
        <f t="shared" si="172"/>
        <v>5</v>
      </c>
      <c r="C1220" s="30">
        <f t="shared" si="175"/>
        <v>3</v>
      </c>
      <c r="D1220" s="26">
        <f>MATCH(WEEKDAY(A1220),そのた定義!A:A,0)</f>
        <v>8</v>
      </c>
      <c r="E1220" s="33" t="str">
        <f t="shared" ca="1" si="176"/>
        <v>土</v>
      </c>
      <c r="F1220" s="26">
        <f t="shared" si="177"/>
        <v>1</v>
      </c>
      <c r="G1220" s="26">
        <f>IF(ISNA(MATCH(A1220,祝日定義!E:E,0)),0,1)</f>
        <v>1</v>
      </c>
      <c r="H1220" s="26">
        <f>IF(ISNA(MATCH(B1220&amp;"/"&amp;C1220,そのた定義!E:E,0)), 0, 1)</f>
        <v>0</v>
      </c>
      <c r="I1220" s="23" t="b">
        <f t="shared" si="178"/>
        <v>1</v>
      </c>
      <c r="J1220" s="26">
        <v>0</v>
      </c>
      <c r="K1220" s="26" t="b">
        <f t="shared" si="173"/>
        <v>0</v>
      </c>
      <c r="L1220" s="26" t="b">
        <f t="shared" si="174"/>
        <v>0</v>
      </c>
      <c r="M1220" t="b">
        <f t="shared" si="179"/>
        <v>0</v>
      </c>
      <c r="N1220" t="b">
        <f t="shared" si="180"/>
        <v>0</v>
      </c>
    </row>
    <row r="1221" spans="1:14">
      <c r="A1221" s="29">
        <v>45781</v>
      </c>
      <c r="B1221" s="30">
        <f t="shared" si="172"/>
        <v>5</v>
      </c>
      <c r="C1221" s="30">
        <f t="shared" si="175"/>
        <v>4</v>
      </c>
      <c r="D1221" s="26">
        <f>MATCH(WEEKDAY(A1221),そのた定義!A:A,0)</f>
        <v>2</v>
      </c>
      <c r="E1221" s="32" t="str">
        <f t="shared" ca="1" si="176"/>
        <v>日</v>
      </c>
      <c r="F1221" s="26">
        <f t="shared" si="177"/>
        <v>1</v>
      </c>
      <c r="G1221" s="26">
        <f>IF(ISNA(MATCH(A1221,祝日定義!E:E,0)),0,1)</f>
        <v>1</v>
      </c>
      <c r="H1221" s="26">
        <f>IF(ISNA(MATCH(B1221&amp;"/"&amp;C1221,そのた定義!E:E,0)), 0, 1)</f>
        <v>0</v>
      </c>
      <c r="I1221" s="23" t="b">
        <f t="shared" si="178"/>
        <v>1</v>
      </c>
      <c r="J1221" s="26">
        <v>0</v>
      </c>
      <c r="K1221" s="26" t="b">
        <f t="shared" si="173"/>
        <v>0</v>
      </c>
      <c r="L1221" s="26" t="b">
        <f t="shared" si="174"/>
        <v>0</v>
      </c>
      <c r="M1221" t="b">
        <f t="shared" si="179"/>
        <v>0</v>
      </c>
      <c r="N1221" t="b">
        <f t="shared" si="180"/>
        <v>0</v>
      </c>
    </row>
    <row r="1222" spans="1:14">
      <c r="A1222" s="29">
        <v>45782</v>
      </c>
      <c r="B1222" s="30">
        <f t="shared" si="172"/>
        <v>5</v>
      </c>
      <c r="C1222" s="30">
        <f t="shared" si="175"/>
        <v>5</v>
      </c>
      <c r="D1222" s="26">
        <f>MATCH(WEEKDAY(A1222),そのた定義!A:A,0)</f>
        <v>3</v>
      </c>
      <c r="E1222" s="31" t="str">
        <f t="shared" ca="1" si="176"/>
        <v>月</v>
      </c>
      <c r="F1222" s="26">
        <f t="shared" si="177"/>
        <v>0</v>
      </c>
      <c r="G1222" s="26">
        <f>IF(ISNA(MATCH(A1222,祝日定義!E:E,0)),0,1)</f>
        <v>1</v>
      </c>
      <c r="H1222" s="26">
        <f>IF(ISNA(MATCH(B1222&amp;"/"&amp;C1222,そのた定義!E:E,0)), 0, 1)</f>
        <v>0</v>
      </c>
      <c r="I1222" s="23" t="b">
        <f t="shared" si="178"/>
        <v>1</v>
      </c>
      <c r="J1222" s="26">
        <v>0</v>
      </c>
      <c r="K1222" s="26" t="b">
        <f t="shared" si="173"/>
        <v>0</v>
      </c>
      <c r="L1222" s="26" t="b">
        <f t="shared" si="174"/>
        <v>0</v>
      </c>
      <c r="M1222" t="b">
        <f t="shared" si="179"/>
        <v>0</v>
      </c>
      <c r="N1222" t="b">
        <f t="shared" si="180"/>
        <v>0</v>
      </c>
    </row>
    <row r="1223" spans="1:14">
      <c r="A1223" s="29">
        <v>45783</v>
      </c>
      <c r="B1223" s="30">
        <f t="shared" si="172"/>
        <v>5</v>
      </c>
      <c r="C1223" s="30">
        <f t="shared" si="175"/>
        <v>6</v>
      </c>
      <c r="D1223" s="26">
        <f>MATCH(WEEKDAY(A1223),そのた定義!A:A,0)</f>
        <v>4</v>
      </c>
      <c r="E1223" s="31" t="str">
        <f t="shared" ca="1" si="176"/>
        <v>火</v>
      </c>
      <c r="F1223" s="26">
        <f t="shared" si="177"/>
        <v>0</v>
      </c>
      <c r="G1223" s="26">
        <f>IF(ISNA(MATCH(A1223,祝日定義!E:E,0)),0,1)</f>
        <v>1</v>
      </c>
      <c r="H1223" s="26">
        <f>IF(ISNA(MATCH(B1223&amp;"/"&amp;C1223,そのた定義!E:E,0)), 0, 1)</f>
        <v>0</v>
      </c>
      <c r="I1223" s="23" t="b">
        <f t="shared" si="178"/>
        <v>1</v>
      </c>
      <c r="J1223" s="26">
        <v>0</v>
      </c>
      <c r="K1223" s="26" t="b">
        <f t="shared" si="173"/>
        <v>0</v>
      </c>
      <c r="L1223" s="26" t="b">
        <f t="shared" si="174"/>
        <v>0</v>
      </c>
      <c r="M1223" t="b">
        <f t="shared" si="179"/>
        <v>0</v>
      </c>
      <c r="N1223" t="b">
        <f t="shared" si="180"/>
        <v>0</v>
      </c>
    </row>
    <row r="1224" spans="1:14">
      <c r="A1224" s="29">
        <v>45784</v>
      </c>
      <c r="B1224" s="30">
        <f t="shared" si="172"/>
        <v>5</v>
      </c>
      <c r="C1224" s="30">
        <f t="shared" si="175"/>
        <v>7</v>
      </c>
      <c r="D1224" s="26">
        <f>MATCH(WEEKDAY(A1224),そのた定義!A:A,0)</f>
        <v>5</v>
      </c>
      <c r="E1224" s="26" t="str">
        <f t="shared" ca="1" si="176"/>
        <v>水</v>
      </c>
      <c r="F1224" s="26">
        <f t="shared" si="177"/>
        <v>0</v>
      </c>
      <c r="G1224" s="26">
        <f>IF(ISNA(MATCH(A1224,祝日定義!E:E,0)),0,1)</f>
        <v>0</v>
      </c>
      <c r="H1224" s="26">
        <f>IF(ISNA(MATCH(B1224&amp;"/"&amp;C1224,そのた定義!E:E,0)), 0, 1)</f>
        <v>0</v>
      </c>
      <c r="I1224" s="26" t="b">
        <f t="shared" si="178"/>
        <v>0</v>
      </c>
      <c r="J1224" s="26">
        <v>4</v>
      </c>
      <c r="K1224" s="26" t="b">
        <f t="shared" si="173"/>
        <v>0</v>
      </c>
      <c r="L1224" s="26" t="b">
        <f t="shared" si="174"/>
        <v>0</v>
      </c>
      <c r="M1224" t="b">
        <f t="shared" si="179"/>
        <v>0</v>
      </c>
      <c r="N1224" t="b">
        <f t="shared" si="180"/>
        <v>0</v>
      </c>
    </row>
    <row r="1225" spans="1:14">
      <c r="A1225" s="29">
        <v>45785</v>
      </c>
      <c r="B1225" s="30">
        <f t="shared" si="172"/>
        <v>5</v>
      </c>
      <c r="C1225" s="30">
        <f t="shared" si="175"/>
        <v>8</v>
      </c>
      <c r="D1225" s="26">
        <f>MATCH(WEEKDAY(A1225),そのた定義!A:A,0)</f>
        <v>6</v>
      </c>
      <c r="E1225" s="26" t="str">
        <f t="shared" ca="1" si="176"/>
        <v>木</v>
      </c>
      <c r="F1225" s="26">
        <f t="shared" si="177"/>
        <v>0</v>
      </c>
      <c r="G1225" s="26">
        <f>IF(ISNA(MATCH(A1225,祝日定義!E:E,0)),0,1)</f>
        <v>0</v>
      </c>
      <c r="H1225" s="26">
        <f>IF(ISNA(MATCH(B1225&amp;"/"&amp;C1225,そのた定義!E:E,0)), 0, 1)</f>
        <v>0</v>
      </c>
      <c r="I1225" s="26" t="b">
        <f t="shared" si="178"/>
        <v>0</v>
      </c>
      <c r="J1225" s="26">
        <v>0</v>
      </c>
      <c r="K1225" s="26" t="b">
        <f t="shared" si="173"/>
        <v>0</v>
      </c>
      <c r="L1225" s="26" t="b">
        <f t="shared" si="174"/>
        <v>0</v>
      </c>
      <c r="M1225" t="b">
        <f t="shared" si="179"/>
        <v>0</v>
      </c>
      <c r="N1225" t="b">
        <f t="shared" si="180"/>
        <v>0</v>
      </c>
    </row>
    <row r="1226" spans="1:14">
      <c r="A1226" s="29">
        <v>45786</v>
      </c>
      <c r="B1226" s="30">
        <f t="shared" si="172"/>
        <v>5</v>
      </c>
      <c r="C1226" s="30">
        <f t="shared" si="175"/>
        <v>9</v>
      </c>
      <c r="D1226" s="26">
        <f>MATCH(WEEKDAY(A1226),そのた定義!A:A,0)</f>
        <v>7</v>
      </c>
      <c r="E1226" s="26" t="str">
        <f t="shared" ca="1" si="176"/>
        <v>金</v>
      </c>
      <c r="F1226" s="26">
        <f t="shared" si="177"/>
        <v>0</v>
      </c>
      <c r="G1226" s="26">
        <f>IF(ISNA(MATCH(A1226,祝日定義!E:E,0)),0,1)</f>
        <v>0</v>
      </c>
      <c r="H1226" s="26">
        <f>IF(ISNA(MATCH(B1226&amp;"/"&amp;C1226,そのた定義!E:E,0)), 0, 1)</f>
        <v>0</v>
      </c>
      <c r="I1226" s="26" t="b">
        <f t="shared" si="178"/>
        <v>0</v>
      </c>
      <c r="J1226" s="26">
        <v>0</v>
      </c>
      <c r="K1226" s="26" t="b">
        <f t="shared" si="173"/>
        <v>0</v>
      </c>
      <c r="L1226" s="26" t="b">
        <f t="shared" si="174"/>
        <v>0</v>
      </c>
      <c r="M1226" t="b">
        <f t="shared" si="179"/>
        <v>0</v>
      </c>
      <c r="N1226" t="b">
        <f t="shared" si="180"/>
        <v>0</v>
      </c>
    </row>
    <row r="1227" spans="1:14">
      <c r="A1227" s="29">
        <v>45787</v>
      </c>
      <c r="B1227" s="30">
        <f t="shared" si="172"/>
        <v>5</v>
      </c>
      <c r="C1227" s="30">
        <f t="shared" si="175"/>
        <v>10</v>
      </c>
      <c r="D1227" s="26">
        <f>MATCH(WEEKDAY(A1227),そのた定義!A:A,0)</f>
        <v>8</v>
      </c>
      <c r="E1227" s="33" t="str">
        <f t="shared" ca="1" si="176"/>
        <v>土</v>
      </c>
      <c r="F1227" s="26">
        <f t="shared" si="177"/>
        <v>1</v>
      </c>
      <c r="G1227" s="26">
        <f>IF(ISNA(MATCH(A1227,祝日定義!E:E,0)),0,1)</f>
        <v>0</v>
      </c>
      <c r="H1227" s="26">
        <f>IF(ISNA(MATCH(B1227&amp;"/"&amp;C1227,そのた定義!E:E,0)), 0, 1)</f>
        <v>0</v>
      </c>
      <c r="I1227" s="23" t="b">
        <f t="shared" si="178"/>
        <v>1</v>
      </c>
      <c r="J1227" s="26">
        <v>0</v>
      </c>
      <c r="K1227" s="26" t="b">
        <f t="shared" si="173"/>
        <v>0</v>
      </c>
      <c r="L1227" s="26" t="b">
        <f t="shared" si="174"/>
        <v>0</v>
      </c>
      <c r="M1227" t="b">
        <f t="shared" si="179"/>
        <v>0</v>
      </c>
      <c r="N1227" t="b">
        <f t="shared" si="180"/>
        <v>0</v>
      </c>
    </row>
    <row r="1228" spans="1:14">
      <c r="A1228" s="29">
        <v>45788</v>
      </c>
      <c r="B1228" s="30">
        <f t="shared" si="172"/>
        <v>5</v>
      </c>
      <c r="C1228" s="30">
        <f t="shared" si="175"/>
        <v>11</v>
      </c>
      <c r="D1228" s="26">
        <f>MATCH(WEEKDAY(A1228),そのた定義!A:A,0)</f>
        <v>2</v>
      </c>
      <c r="E1228" s="32" t="str">
        <f t="shared" ca="1" si="176"/>
        <v>日</v>
      </c>
      <c r="F1228" s="26">
        <f t="shared" si="177"/>
        <v>1</v>
      </c>
      <c r="G1228" s="26">
        <f>IF(ISNA(MATCH(A1228,祝日定義!E:E,0)),0,1)</f>
        <v>0</v>
      </c>
      <c r="H1228" s="26">
        <f>IF(ISNA(MATCH(B1228&amp;"/"&amp;C1228,そのた定義!E:E,0)), 0, 1)</f>
        <v>0</v>
      </c>
      <c r="I1228" s="23" t="b">
        <f t="shared" si="178"/>
        <v>1</v>
      </c>
      <c r="J1228" s="26">
        <v>0</v>
      </c>
      <c r="K1228" s="26" t="b">
        <f t="shared" si="173"/>
        <v>0</v>
      </c>
      <c r="L1228" s="26" t="b">
        <f t="shared" si="174"/>
        <v>0</v>
      </c>
      <c r="M1228" t="b">
        <f t="shared" si="179"/>
        <v>0</v>
      </c>
      <c r="N1228" t="b">
        <f t="shared" si="180"/>
        <v>0</v>
      </c>
    </row>
    <row r="1229" spans="1:14">
      <c r="A1229" s="29">
        <v>45789</v>
      </c>
      <c r="B1229" s="30">
        <f t="shared" si="172"/>
        <v>5</v>
      </c>
      <c r="C1229" s="30">
        <f t="shared" si="175"/>
        <v>12</v>
      </c>
      <c r="D1229" s="26">
        <f>MATCH(WEEKDAY(A1229),そのた定義!A:A,0)</f>
        <v>3</v>
      </c>
      <c r="E1229" s="26" t="str">
        <f t="shared" ca="1" si="176"/>
        <v>月</v>
      </c>
      <c r="F1229" s="26">
        <f t="shared" si="177"/>
        <v>0</v>
      </c>
      <c r="G1229" s="26">
        <f>IF(ISNA(MATCH(A1229,祝日定義!E:E,0)),0,1)</f>
        <v>0</v>
      </c>
      <c r="H1229" s="26">
        <f>IF(ISNA(MATCH(B1229&amp;"/"&amp;C1229,そのた定義!E:E,0)), 0, 1)</f>
        <v>0</v>
      </c>
      <c r="I1229" s="26" t="b">
        <f t="shared" si="178"/>
        <v>0</v>
      </c>
      <c r="J1229" s="26">
        <v>2</v>
      </c>
      <c r="K1229" s="26" t="b">
        <f t="shared" si="173"/>
        <v>0</v>
      </c>
      <c r="L1229" s="26" t="b">
        <f t="shared" si="174"/>
        <v>0</v>
      </c>
      <c r="M1229" t="b">
        <f t="shared" si="179"/>
        <v>0</v>
      </c>
      <c r="N1229" t="b">
        <f t="shared" si="180"/>
        <v>0</v>
      </c>
    </row>
    <row r="1230" spans="1:14">
      <c r="A1230" s="29">
        <v>45790</v>
      </c>
      <c r="B1230" s="30">
        <f t="shared" si="172"/>
        <v>5</v>
      </c>
      <c r="C1230" s="30">
        <f t="shared" si="175"/>
        <v>13</v>
      </c>
      <c r="D1230" s="26">
        <f>MATCH(WEEKDAY(A1230),そのた定義!A:A,0)</f>
        <v>4</v>
      </c>
      <c r="E1230" s="26" t="str">
        <f t="shared" ca="1" si="176"/>
        <v>火</v>
      </c>
      <c r="F1230" s="26">
        <f t="shared" si="177"/>
        <v>0</v>
      </c>
      <c r="G1230" s="26">
        <f>IF(ISNA(MATCH(A1230,祝日定義!E:E,0)),0,1)</f>
        <v>0</v>
      </c>
      <c r="H1230" s="26">
        <f>IF(ISNA(MATCH(B1230&amp;"/"&amp;C1230,そのた定義!E:E,0)), 0, 1)</f>
        <v>0</v>
      </c>
      <c r="I1230" s="26" t="b">
        <f t="shared" si="178"/>
        <v>0</v>
      </c>
      <c r="J1230" s="26">
        <v>0</v>
      </c>
      <c r="K1230" s="26" t="b">
        <f t="shared" si="173"/>
        <v>0</v>
      </c>
      <c r="L1230" s="26" t="b">
        <f t="shared" si="174"/>
        <v>0</v>
      </c>
      <c r="M1230" t="b">
        <f t="shared" si="179"/>
        <v>0</v>
      </c>
      <c r="N1230" t="b">
        <f t="shared" si="180"/>
        <v>0</v>
      </c>
    </row>
    <row r="1231" spans="1:14">
      <c r="A1231" s="29">
        <v>45791</v>
      </c>
      <c r="B1231" s="30">
        <f t="shared" si="172"/>
        <v>5</v>
      </c>
      <c r="C1231" s="30">
        <f t="shared" si="175"/>
        <v>14</v>
      </c>
      <c r="D1231" s="26">
        <f>MATCH(WEEKDAY(A1231),そのた定義!A:A,0)</f>
        <v>5</v>
      </c>
      <c r="E1231" s="26" t="str">
        <f t="shared" ca="1" si="176"/>
        <v>水</v>
      </c>
      <c r="F1231" s="26">
        <f t="shared" si="177"/>
        <v>0</v>
      </c>
      <c r="G1231" s="26">
        <f>IF(ISNA(MATCH(A1231,祝日定義!E:E,0)),0,1)</f>
        <v>0</v>
      </c>
      <c r="H1231" s="26">
        <f>IF(ISNA(MATCH(B1231&amp;"/"&amp;C1231,そのた定義!E:E,0)), 0, 1)</f>
        <v>0</v>
      </c>
      <c r="I1231" s="26" t="b">
        <f t="shared" si="178"/>
        <v>0</v>
      </c>
      <c r="J1231" s="26">
        <v>0</v>
      </c>
      <c r="K1231" s="26" t="b">
        <f t="shared" si="173"/>
        <v>0</v>
      </c>
      <c r="L1231" s="26" t="b">
        <f t="shared" si="174"/>
        <v>0</v>
      </c>
      <c r="M1231" t="b">
        <f t="shared" si="179"/>
        <v>0</v>
      </c>
      <c r="N1231" t="b">
        <f t="shared" si="180"/>
        <v>0</v>
      </c>
    </row>
    <row r="1232" spans="1:14">
      <c r="A1232" s="29">
        <v>45792</v>
      </c>
      <c r="B1232" s="30">
        <f t="shared" si="172"/>
        <v>5</v>
      </c>
      <c r="C1232" s="30">
        <f t="shared" si="175"/>
        <v>15</v>
      </c>
      <c r="D1232" s="26">
        <f>MATCH(WEEKDAY(A1232),そのた定義!A:A,0)</f>
        <v>6</v>
      </c>
      <c r="E1232" s="26" t="str">
        <f t="shared" ca="1" si="176"/>
        <v>木</v>
      </c>
      <c r="F1232" s="26">
        <f t="shared" si="177"/>
        <v>0</v>
      </c>
      <c r="G1232" s="26">
        <f>IF(ISNA(MATCH(A1232,祝日定義!E:E,0)),0,1)</f>
        <v>0</v>
      </c>
      <c r="H1232" s="26">
        <f>IF(ISNA(MATCH(B1232&amp;"/"&amp;C1232,そのた定義!E:E,0)), 0, 1)</f>
        <v>0</v>
      </c>
      <c r="I1232" s="26" t="b">
        <f t="shared" si="178"/>
        <v>0</v>
      </c>
      <c r="J1232" s="26">
        <v>0</v>
      </c>
      <c r="K1232" s="26" t="b">
        <f t="shared" si="173"/>
        <v>0</v>
      </c>
      <c r="L1232" s="26" t="b">
        <f t="shared" si="174"/>
        <v>0</v>
      </c>
      <c r="M1232" t="b">
        <f t="shared" si="179"/>
        <v>0</v>
      </c>
      <c r="N1232" t="b">
        <f t="shared" si="180"/>
        <v>0</v>
      </c>
    </row>
    <row r="1233" spans="1:14">
      <c r="A1233" s="29">
        <v>45793</v>
      </c>
      <c r="B1233" s="30">
        <f t="shared" si="172"/>
        <v>5</v>
      </c>
      <c r="C1233" s="30">
        <f t="shared" si="175"/>
        <v>16</v>
      </c>
      <c r="D1233" s="26">
        <f>MATCH(WEEKDAY(A1233),そのた定義!A:A,0)</f>
        <v>7</v>
      </c>
      <c r="E1233" s="26" t="str">
        <f t="shared" ca="1" si="176"/>
        <v>金</v>
      </c>
      <c r="F1233" s="26">
        <f t="shared" si="177"/>
        <v>0</v>
      </c>
      <c r="G1233" s="26">
        <f>IF(ISNA(MATCH(A1233,祝日定義!E:E,0)),0,1)</f>
        <v>0</v>
      </c>
      <c r="H1233" s="26">
        <f>IF(ISNA(MATCH(B1233&amp;"/"&amp;C1233,そのた定義!E:E,0)), 0, 1)</f>
        <v>0</v>
      </c>
      <c r="I1233" s="26" t="b">
        <f t="shared" si="178"/>
        <v>0</v>
      </c>
      <c r="J1233" s="26">
        <v>0</v>
      </c>
      <c r="K1233" s="26" t="b">
        <f t="shared" si="173"/>
        <v>0</v>
      </c>
      <c r="L1233" s="26" t="b">
        <f t="shared" si="174"/>
        <v>0</v>
      </c>
      <c r="M1233" t="b">
        <f t="shared" si="179"/>
        <v>0</v>
      </c>
      <c r="N1233" t="b">
        <f t="shared" si="180"/>
        <v>0</v>
      </c>
    </row>
    <row r="1234" spans="1:14">
      <c r="A1234" s="29">
        <v>45794</v>
      </c>
      <c r="B1234" s="30">
        <f t="shared" si="172"/>
        <v>5</v>
      </c>
      <c r="C1234" s="30">
        <f t="shared" si="175"/>
        <v>17</v>
      </c>
      <c r="D1234" s="26">
        <f>MATCH(WEEKDAY(A1234),そのた定義!A:A,0)</f>
        <v>8</v>
      </c>
      <c r="E1234" s="33" t="str">
        <f t="shared" ca="1" si="176"/>
        <v>土</v>
      </c>
      <c r="F1234" s="26">
        <f t="shared" si="177"/>
        <v>1</v>
      </c>
      <c r="G1234" s="26">
        <f>IF(ISNA(MATCH(A1234,祝日定義!E:E,0)),0,1)</f>
        <v>0</v>
      </c>
      <c r="H1234" s="26">
        <f>IF(ISNA(MATCH(B1234&amp;"/"&amp;C1234,そのた定義!E:E,0)), 0, 1)</f>
        <v>0</v>
      </c>
      <c r="I1234" s="23" t="b">
        <f t="shared" si="178"/>
        <v>1</v>
      </c>
      <c r="J1234" s="26">
        <v>0</v>
      </c>
      <c r="K1234" s="26" t="b">
        <f t="shared" si="173"/>
        <v>0</v>
      </c>
      <c r="L1234" s="26" t="b">
        <f t="shared" si="174"/>
        <v>0</v>
      </c>
      <c r="M1234" t="b">
        <f t="shared" si="179"/>
        <v>0</v>
      </c>
      <c r="N1234" t="b">
        <f t="shared" si="180"/>
        <v>0</v>
      </c>
    </row>
    <row r="1235" spans="1:14">
      <c r="A1235" s="29">
        <v>45795</v>
      </c>
      <c r="B1235" s="30">
        <f t="shared" si="172"/>
        <v>5</v>
      </c>
      <c r="C1235" s="30">
        <f t="shared" si="175"/>
        <v>18</v>
      </c>
      <c r="D1235" s="26">
        <f>MATCH(WEEKDAY(A1235),そのた定義!A:A,0)</f>
        <v>2</v>
      </c>
      <c r="E1235" s="32" t="str">
        <f t="shared" ca="1" si="176"/>
        <v>日</v>
      </c>
      <c r="F1235" s="26">
        <f t="shared" si="177"/>
        <v>1</v>
      </c>
      <c r="G1235" s="26">
        <f>IF(ISNA(MATCH(A1235,祝日定義!E:E,0)),0,1)</f>
        <v>0</v>
      </c>
      <c r="H1235" s="26">
        <f>IF(ISNA(MATCH(B1235&amp;"/"&amp;C1235,そのた定義!E:E,0)), 0, 1)</f>
        <v>0</v>
      </c>
      <c r="I1235" s="23" t="b">
        <f t="shared" si="178"/>
        <v>1</v>
      </c>
      <c r="J1235" s="26">
        <v>0</v>
      </c>
      <c r="K1235" s="26" t="b">
        <f t="shared" si="173"/>
        <v>0</v>
      </c>
      <c r="L1235" s="26" t="b">
        <f t="shared" si="174"/>
        <v>0</v>
      </c>
      <c r="M1235" t="b">
        <f t="shared" si="179"/>
        <v>0</v>
      </c>
      <c r="N1235" t="b">
        <f t="shared" si="180"/>
        <v>0</v>
      </c>
    </row>
    <row r="1236" spans="1:14">
      <c r="A1236" s="29">
        <v>45796</v>
      </c>
      <c r="B1236" s="30">
        <f t="shared" si="172"/>
        <v>5</v>
      </c>
      <c r="C1236" s="30">
        <f t="shared" si="175"/>
        <v>19</v>
      </c>
      <c r="D1236" s="26">
        <f>MATCH(WEEKDAY(A1236),そのた定義!A:A,0)</f>
        <v>3</v>
      </c>
      <c r="E1236" s="26" t="str">
        <f t="shared" ca="1" si="176"/>
        <v>月</v>
      </c>
      <c r="F1236" s="26">
        <f t="shared" si="177"/>
        <v>0</v>
      </c>
      <c r="G1236" s="26">
        <f>IF(ISNA(MATCH(A1236,祝日定義!E:E,0)),0,1)</f>
        <v>0</v>
      </c>
      <c r="H1236" s="26">
        <f>IF(ISNA(MATCH(B1236&amp;"/"&amp;C1236,そのた定義!E:E,0)), 0, 1)</f>
        <v>0</v>
      </c>
      <c r="I1236" s="26" t="b">
        <f t="shared" si="178"/>
        <v>0</v>
      </c>
      <c r="J1236" s="26">
        <v>2</v>
      </c>
      <c r="K1236" s="26" t="b">
        <f t="shared" si="173"/>
        <v>0</v>
      </c>
      <c r="L1236" s="26" t="b">
        <f t="shared" si="174"/>
        <v>0</v>
      </c>
      <c r="M1236" t="b">
        <f t="shared" si="179"/>
        <v>0</v>
      </c>
      <c r="N1236" t="b">
        <f t="shared" si="180"/>
        <v>0</v>
      </c>
    </row>
    <row r="1237" spans="1:14">
      <c r="A1237" s="29">
        <v>45797</v>
      </c>
      <c r="B1237" s="30">
        <f t="shared" si="172"/>
        <v>5</v>
      </c>
      <c r="C1237" s="30">
        <f t="shared" si="175"/>
        <v>20</v>
      </c>
      <c r="D1237" s="26">
        <f>MATCH(WEEKDAY(A1237),そのた定義!A:A,0)</f>
        <v>4</v>
      </c>
      <c r="E1237" s="26" t="str">
        <f t="shared" ca="1" si="176"/>
        <v>火</v>
      </c>
      <c r="F1237" s="26">
        <f t="shared" si="177"/>
        <v>0</v>
      </c>
      <c r="G1237" s="26">
        <f>IF(ISNA(MATCH(A1237,祝日定義!E:E,0)),0,1)</f>
        <v>0</v>
      </c>
      <c r="H1237" s="26">
        <f>IF(ISNA(MATCH(B1237&amp;"/"&amp;C1237,そのた定義!E:E,0)), 0, 1)</f>
        <v>0</v>
      </c>
      <c r="I1237" s="26" t="b">
        <f t="shared" si="178"/>
        <v>0</v>
      </c>
      <c r="J1237" s="26">
        <v>0</v>
      </c>
      <c r="K1237" s="26" t="b">
        <f t="shared" si="173"/>
        <v>0</v>
      </c>
      <c r="L1237" s="26" t="b">
        <f t="shared" si="174"/>
        <v>0</v>
      </c>
      <c r="M1237" t="b">
        <f t="shared" si="179"/>
        <v>0</v>
      </c>
      <c r="N1237" t="b">
        <f t="shared" si="180"/>
        <v>0</v>
      </c>
    </row>
    <row r="1238" spans="1:14">
      <c r="A1238" s="29">
        <v>45798</v>
      </c>
      <c r="B1238" s="30">
        <f t="shared" si="172"/>
        <v>5</v>
      </c>
      <c r="C1238" s="30">
        <f t="shared" si="175"/>
        <v>21</v>
      </c>
      <c r="D1238" s="26">
        <f>MATCH(WEEKDAY(A1238),そのた定義!A:A,0)</f>
        <v>5</v>
      </c>
      <c r="E1238" s="26" t="str">
        <f t="shared" ca="1" si="176"/>
        <v>水</v>
      </c>
      <c r="F1238" s="26">
        <f t="shared" si="177"/>
        <v>0</v>
      </c>
      <c r="G1238" s="26">
        <f>IF(ISNA(MATCH(A1238,祝日定義!E:E,0)),0,1)</f>
        <v>0</v>
      </c>
      <c r="H1238" s="26">
        <f>IF(ISNA(MATCH(B1238&amp;"/"&amp;C1238,そのた定義!E:E,0)), 0, 1)</f>
        <v>0</v>
      </c>
      <c r="I1238" s="26" t="b">
        <f t="shared" si="178"/>
        <v>0</v>
      </c>
      <c r="J1238" s="26">
        <v>0</v>
      </c>
      <c r="K1238" s="26" t="b">
        <f t="shared" si="173"/>
        <v>0</v>
      </c>
      <c r="L1238" s="26" t="b">
        <f t="shared" si="174"/>
        <v>0</v>
      </c>
      <c r="M1238" t="b">
        <f t="shared" si="179"/>
        <v>0</v>
      </c>
      <c r="N1238" t="b">
        <f t="shared" si="180"/>
        <v>0</v>
      </c>
    </row>
    <row r="1239" spans="1:14">
      <c r="A1239" s="29">
        <v>45799</v>
      </c>
      <c r="B1239" s="30">
        <f t="shared" si="172"/>
        <v>5</v>
      </c>
      <c r="C1239" s="30">
        <f t="shared" si="175"/>
        <v>22</v>
      </c>
      <c r="D1239" s="26">
        <f>MATCH(WEEKDAY(A1239),そのた定義!A:A,0)</f>
        <v>6</v>
      </c>
      <c r="E1239" s="26" t="str">
        <f t="shared" ca="1" si="176"/>
        <v>木</v>
      </c>
      <c r="F1239" s="26">
        <f t="shared" si="177"/>
        <v>0</v>
      </c>
      <c r="G1239" s="26">
        <f>IF(ISNA(MATCH(A1239,祝日定義!E:E,0)),0,1)</f>
        <v>0</v>
      </c>
      <c r="H1239" s="26">
        <f>IF(ISNA(MATCH(B1239&amp;"/"&amp;C1239,そのた定義!E:E,0)), 0, 1)</f>
        <v>0</v>
      </c>
      <c r="I1239" s="26" t="b">
        <f t="shared" si="178"/>
        <v>0</v>
      </c>
      <c r="J1239" s="26">
        <v>0</v>
      </c>
      <c r="K1239" s="26" t="b">
        <f t="shared" si="173"/>
        <v>0</v>
      </c>
      <c r="L1239" s="26" t="b">
        <f t="shared" si="174"/>
        <v>0</v>
      </c>
      <c r="M1239" t="b">
        <f t="shared" si="179"/>
        <v>0</v>
      </c>
      <c r="N1239" t="b">
        <f t="shared" si="180"/>
        <v>0</v>
      </c>
    </row>
    <row r="1240" spans="1:14">
      <c r="A1240" s="29">
        <v>45800</v>
      </c>
      <c r="B1240" s="30">
        <f t="shared" si="172"/>
        <v>5</v>
      </c>
      <c r="C1240" s="30">
        <f t="shared" si="175"/>
        <v>23</v>
      </c>
      <c r="D1240" s="26">
        <f>MATCH(WEEKDAY(A1240),そのた定義!A:A,0)</f>
        <v>7</v>
      </c>
      <c r="E1240" s="26" t="str">
        <f t="shared" ca="1" si="176"/>
        <v>金</v>
      </c>
      <c r="F1240" s="26">
        <f t="shared" si="177"/>
        <v>0</v>
      </c>
      <c r="G1240" s="26">
        <f>IF(ISNA(MATCH(A1240,祝日定義!E:E,0)),0,1)</f>
        <v>0</v>
      </c>
      <c r="H1240" s="26">
        <f>IF(ISNA(MATCH(B1240&amp;"/"&amp;C1240,そのた定義!E:E,0)), 0, 1)</f>
        <v>0</v>
      </c>
      <c r="I1240" s="26" t="b">
        <f t="shared" si="178"/>
        <v>0</v>
      </c>
      <c r="J1240" s="26">
        <v>0</v>
      </c>
      <c r="K1240" s="26" t="b">
        <f t="shared" si="173"/>
        <v>0</v>
      </c>
      <c r="L1240" s="26" t="b">
        <f t="shared" si="174"/>
        <v>0</v>
      </c>
      <c r="M1240" t="b">
        <f t="shared" si="179"/>
        <v>0</v>
      </c>
      <c r="N1240" t="b">
        <f t="shared" si="180"/>
        <v>0</v>
      </c>
    </row>
    <row r="1241" spans="1:14">
      <c r="A1241" s="29">
        <v>45801</v>
      </c>
      <c r="B1241" s="30">
        <f t="shared" si="172"/>
        <v>5</v>
      </c>
      <c r="C1241" s="30">
        <f t="shared" si="175"/>
        <v>24</v>
      </c>
      <c r="D1241" s="26">
        <f>MATCH(WEEKDAY(A1241),そのた定義!A:A,0)</f>
        <v>8</v>
      </c>
      <c r="E1241" s="33" t="str">
        <f t="shared" ca="1" si="176"/>
        <v>土</v>
      </c>
      <c r="F1241" s="26">
        <f t="shared" si="177"/>
        <v>1</v>
      </c>
      <c r="G1241" s="26">
        <f>IF(ISNA(MATCH(A1241,祝日定義!E:E,0)),0,1)</f>
        <v>0</v>
      </c>
      <c r="H1241" s="26">
        <f>IF(ISNA(MATCH(B1241&amp;"/"&amp;C1241,そのた定義!E:E,0)), 0, 1)</f>
        <v>0</v>
      </c>
      <c r="I1241" s="23" t="b">
        <f t="shared" si="178"/>
        <v>1</v>
      </c>
      <c r="J1241" s="26">
        <v>0</v>
      </c>
      <c r="K1241" s="26" t="b">
        <f t="shared" si="173"/>
        <v>0</v>
      </c>
      <c r="L1241" s="26" t="b">
        <f t="shared" si="174"/>
        <v>0</v>
      </c>
      <c r="M1241" t="b">
        <f t="shared" si="179"/>
        <v>0</v>
      </c>
      <c r="N1241" t="b">
        <f t="shared" si="180"/>
        <v>0</v>
      </c>
    </row>
    <row r="1242" spans="1:14">
      <c r="A1242" s="29">
        <v>45802</v>
      </c>
      <c r="B1242" s="30">
        <f t="shared" si="172"/>
        <v>5</v>
      </c>
      <c r="C1242" s="30">
        <f t="shared" si="175"/>
        <v>25</v>
      </c>
      <c r="D1242" s="26">
        <f>MATCH(WEEKDAY(A1242),そのた定義!A:A,0)</f>
        <v>2</v>
      </c>
      <c r="E1242" s="32" t="str">
        <f t="shared" ca="1" si="176"/>
        <v>日</v>
      </c>
      <c r="F1242" s="26">
        <f t="shared" si="177"/>
        <v>1</v>
      </c>
      <c r="G1242" s="26">
        <f>IF(ISNA(MATCH(A1242,祝日定義!E:E,0)),0,1)</f>
        <v>0</v>
      </c>
      <c r="H1242" s="26">
        <f>IF(ISNA(MATCH(B1242&amp;"/"&amp;C1242,そのた定義!E:E,0)), 0, 1)</f>
        <v>0</v>
      </c>
      <c r="I1242" s="23" t="b">
        <f t="shared" si="178"/>
        <v>1</v>
      </c>
      <c r="J1242" s="26">
        <v>0</v>
      </c>
      <c r="K1242" s="26" t="b">
        <f t="shared" si="173"/>
        <v>0</v>
      </c>
      <c r="L1242" s="23" t="b">
        <f t="shared" si="174"/>
        <v>1</v>
      </c>
      <c r="M1242" t="b">
        <f t="shared" si="179"/>
        <v>0</v>
      </c>
      <c r="N1242" t="b">
        <f t="shared" si="180"/>
        <v>0</v>
      </c>
    </row>
    <row r="1243" spans="1:14">
      <c r="A1243" s="29">
        <v>45803</v>
      </c>
      <c r="B1243" s="30">
        <f t="shared" si="172"/>
        <v>5</v>
      </c>
      <c r="C1243" s="30">
        <f t="shared" si="175"/>
        <v>26</v>
      </c>
      <c r="D1243" s="26">
        <f>MATCH(WEEKDAY(A1243),そのた定義!A:A,0)</f>
        <v>3</v>
      </c>
      <c r="E1243" s="26" t="str">
        <f t="shared" ca="1" si="176"/>
        <v>月</v>
      </c>
      <c r="F1243" s="26">
        <f t="shared" si="177"/>
        <v>0</v>
      </c>
      <c r="G1243" s="26">
        <f>IF(ISNA(MATCH(A1243,祝日定義!E:E,0)),0,1)</f>
        <v>0</v>
      </c>
      <c r="H1243" s="26">
        <f>IF(ISNA(MATCH(B1243&amp;"/"&amp;C1243,そのた定義!E:E,0)), 0, 1)</f>
        <v>0</v>
      </c>
      <c r="I1243" s="26" t="b">
        <f t="shared" si="178"/>
        <v>0</v>
      </c>
      <c r="J1243" s="26">
        <v>2</v>
      </c>
      <c r="K1243" s="23" t="b">
        <f t="shared" si="173"/>
        <v>1</v>
      </c>
      <c r="L1243" s="26" t="b">
        <f t="shared" si="174"/>
        <v>0</v>
      </c>
      <c r="M1243" t="b">
        <f t="shared" si="179"/>
        <v>0</v>
      </c>
      <c r="N1243" t="b">
        <f t="shared" si="180"/>
        <v>0</v>
      </c>
    </row>
    <row r="1244" spans="1:14">
      <c r="A1244" s="29">
        <v>45804</v>
      </c>
      <c r="B1244" s="30">
        <f t="shared" si="172"/>
        <v>5</v>
      </c>
      <c r="C1244" s="30">
        <f t="shared" si="175"/>
        <v>27</v>
      </c>
      <c r="D1244" s="26">
        <f>MATCH(WEEKDAY(A1244),そのた定義!A:A,0)</f>
        <v>4</v>
      </c>
      <c r="E1244" s="26" t="str">
        <f t="shared" ca="1" si="176"/>
        <v>火</v>
      </c>
      <c r="F1244" s="26">
        <f t="shared" si="177"/>
        <v>0</v>
      </c>
      <c r="G1244" s="26">
        <f>IF(ISNA(MATCH(A1244,祝日定義!E:E,0)),0,1)</f>
        <v>0</v>
      </c>
      <c r="H1244" s="26">
        <f>IF(ISNA(MATCH(B1244&amp;"/"&amp;C1244,そのた定義!E:E,0)), 0, 1)</f>
        <v>0</v>
      </c>
      <c r="I1244" s="26" t="b">
        <f t="shared" si="178"/>
        <v>0</v>
      </c>
      <c r="J1244" s="26">
        <v>0</v>
      </c>
      <c r="K1244" s="26" t="b">
        <f t="shared" si="173"/>
        <v>0</v>
      </c>
      <c r="L1244" s="26" t="b">
        <f t="shared" si="174"/>
        <v>0</v>
      </c>
      <c r="M1244" t="b">
        <f t="shared" si="179"/>
        <v>0</v>
      </c>
      <c r="N1244" t="b">
        <f t="shared" si="180"/>
        <v>0</v>
      </c>
    </row>
    <row r="1245" spans="1:14">
      <c r="A1245" s="29">
        <v>45805</v>
      </c>
      <c r="B1245" s="30">
        <f t="shared" si="172"/>
        <v>5</v>
      </c>
      <c r="C1245" s="30">
        <f t="shared" si="175"/>
        <v>28</v>
      </c>
      <c r="D1245" s="26">
        <f>MATCH(WEEKDAY(A1245),そのた定義!A:A,0)</f>
        <v>5</v>
      </c>
      <c r="E1245" s="26" t="str">
        <f t="shared" ca="1" si="176"/>
        <v>水</v>
      </c>
      <c r="F1245" s="26">
        <f t="shared" si="177"/>
        <v>0</v>
      </c>
      <c r="G1245" s="26">
        <f>IF(ISNA(MATCH(A1245,祝日定義!E:E,0)),0,1)</f>
        <v>0</v>
      </c>
      <c r="H1245" s="26">
        <f>IF(ISNA(MATCH(B1245&amp;"/"&amp;C1245,そのた定義!E:E,0)), 0, 1)</f>
        <v>0</v>
      </c>
      <c r="I1245" s="26" t="b">
        <f t="shared" si="178"/>
        <v>0</v>
      </c>
      <c r="J1245" s="26">
        <v>0</v>
      </c>
      <c r="K1245" s="26" t="b">
        <f t="shared" si="173"/>
        <v>0</v>
      </c>
      <c r="L1245" s="26" t="b">
        <f t="shared" si="174"/>
        <v>0</v>
      </c>
      <c r="M1245" t="b">
        <f t="shared" si="179"/>
        <v>0</v>
      </c>
      <c r="N1245" t="b">
        <f t="shared" si="180"/>
        <v>0</v>
      </c>
    </row>
    <row r="1246" spans="1:14">
      <c r="A1246" s="29">
        <v>45806</v>
      </c>
      <c r="B1246" s="30">
        <f t="shared" si="172"/>
        <v>5</v>
      </c>
      <c r="C1246" s="30">
        <f t="shared" si="175"/>
        <v>29</v>
      </c>
      <c r="D1246" s="26">
        <f>MATCH(WEEKDAY(A1246),そのた定義!A:A,0)</f>
        <v>6</v>
      </c>
      <c r="E1246" s="26" t="str">
        <f t="shared" ca="1" si="176"/>
        <v>木</v>
      </c>
      <c r="F1246" s="26">
        <f t="shared" si="177"/>
        <v>0</v>
      </c>
      <c r="G1246" s="26">
        <f>IF(ISNA(MATCH(A1246,祝日定義!E:E,0)),0,1)</f>
        <v>0</v>
      </c>
      <c r="H1246" s="26">
        <f>IF(ISNA(MATCH(B1246&amp;"/"&amp;C1246,そのた定義!E:E,0)), 0, 1)</f>
        <v>0</v>
      </c>
      <c r="I1246" s="26" t="b">
        <f t="shared" si="178"/>
        <v>0</v>
      </c>
      <c r="J1246" s="26">
        <v>0</v>
      </c>
      <c r="K1246" s="26" t="b">
        <f t="shared" si="173"/>
        <v>0</v>
      </c>
      <c r="L1246" s="26" t="b">
        <f t="shared" si="174"/>
        <v>0</v>
      </c>
      <c r="M1246" t="b">
        <f t="shared" si="179"/>
        <v>0</v>
      </c>
      <c r="N1246" t="b">
        <f t="shared" si="180"/>
        <v>0</v>
      </c>
    </row>
    <row r="1247" spans="1:14">
      <c r="A1247" s="29">
        <v>45807</v>
      </c>
      <c r="B1247" s="30">
        <f t="shared" si="172"/>
        <v>5</v>
      </c>
      <c r="C1247" s="30">
        <f t="shared" si="175"/>
        <v>30</v>
      </c>
      <c r="D1247" s="26">
        <f>MATCH(WEEKDAY(A1247),そのた定義!A:A,0)</f>
        <v>7</v>
      </c>
      <c r="E1247" s="26" t="str">
        <f t="shared" ca="1" si="176"/>
        <v>金</v>
      </c>
      <c r="F1247" s="26">
        <f t="shared" si="177"/>
        <v>0</v>
      </c>
      <c r="G1247" s="26">
        <f>IF(ISNA(MATCH(A1247,祝日定義!E:E,0)),0,1)</f>
        <v>0</v>
      </c>
      <c r="H1247" s="26">
        <f>IF(ISNA(MATCH(B1247&amp;"/"&amp;C1247,そのた定義!E:E,0)), 0, 1)</f>
        <v>0</v>
      </c>
      <c r="I1247" s="26" t="b">
        <f t="shared" si="178"/>
        <v>0</v>
      </c>
      <c r="J1247" s="26">
        <v>0</v>
      </c>
      <c r="K1247" s="26" t="b">
        <f t="shared" si="173"/>
        <v>0</v>
      </c>
      <c r="L1247" s="26" t="b">
        <f t="shared" si="174"/>
        <v>0</v>
      </c>
      <c r="M1247" t="b">
        <f t="shared" si="179"/>
        <v>0</v>
      </c>
      <c r="N1247" t="b">
        <f t="shared" si="180"/>
        <v>0</v>
      </c>
    </row>
    <row r="1248" spans="1:14">
      <c r="A1248" s="29">
        <v>45808</v>
      </c>
      <c r="B1248" s="30">
        <f t="shared" si="172"/>
        <v>5</v>
      </c>
      <c r="C1248" s="30">
        <f t="shared" si="175"/>
        <v>31</v>
      </c>
      <c r="D1248" s="26">
        <f>MATCH(WEEKDAY(A1248),そのた定義!A:A,0)</f>
        <v>8</v>
      </c>
      <c r="E1248" s="33" t="str">
        <f t="shared" ca="1" si="176"/>
        <v>土</v>
      </c>
      <c r="F1248" s="26">
        <f t="shared" si="177"/>
        <v>1</v>
      </c>
      <c r="G1248" s="26">
        <f>IF(ISNA(MATCH(A1248,祝日定義!E:E,0)),0,1)</f>
        <v>0</v>
      </c>
      <c r="H1248" s="26">
        <f>IF(ISNA(MATCH(B1248&amp;"/"&amp;C1248,そのた定義!E:E,0)), 0, 1)</f>
        <v>0</v>
      </c>
      <c r="I1248" s="23" t="b">
        <f t="shared" si="178"/>
        <v>1</v>
      </c>
      <c r="J1248" s="26">
        <v>0</v>
      </c>
      <c r="K1248" s="26" t="b">
        <f t="shared" si="173"/>
        <v>0</v>
      </c>
      <c r="L1248" s="26" t="b">
        <f t="shared" si="174"/>
        <v>0</v>
      </c>
      <c r="M1248" t="b">
        <f t="shared" si="179"/>
        <v>0</v>
      </c>
      <c r="N1248" t="b">
        <f t="shared" si="180"/>
        <v>1</v>
      </c>
    </row>
    <row r="1249" spans="1:14">
      <c r="A1249" s="29">
        <v>45809</v>
      </c>
      <c r="B1249" s="30">
        <f t="shared" si="172"/>
        <v>6</v>
      </c>
      <c r="C1249" s="30">
        <f t="shared" si="175"/>
        <v>1</v>
      </c>
      <c r="D1249" s="26">
        <f>MATCH(WEEKDAY(A1249),そのた定義!A:A,0)</f>
        <v>2</v>
      </c>
      <c r="E1249" s="32" t="str">
        <f t="shared" ca="1" si="176"/>
        <v>日</v>
      </c>
      <c r="F1249" s="26">
        <f t="shared" si="177"/>
        <v>1</v>
      </c>
      <c r="G1249" s="26">
        <f>IF(ISNA(MATCH(A1249,祝日定義!E:E,0)),0,1)</f>
        <v>0</v>
      </c>
      <c r="H1249" s="26">
        <f>IF(ISNA(MATCH(B1249&amp;"/"&amp;C1249,そのた定義!E:E,0)), 0, 1)</f>
        <v>0</v>
      </c>
      <c r="I1249" s="23" t="b">
        <f t="shared" si="178"/>
        <v>1</v>
      </c>
      <c r="J1249" s="26">
        <v>0</v>
      </c>
      <c r="K1249" s="26" t="b">
        <f t="shared" si="173"/>
        <v>0</v>
      </c>
      <c r="L1249" s="26" t="b">
        <f t="shared" si="174"/>
        <v>0</v>
      </c>
      <c r="M1249" t="b">
        <f t="shared" si="179"/>
        <v>0</v>
      </c>
      <c r="N1249" t="b">
        <f t="shared" si="180"/>
        <v>0</v>
      </c>
    </row>
    <row r="1250" spans="1:14">
      <c r="A1250" s="29">
        <v>45810</v>
      </c>
      <c r="B1250" s="30">
        <f t="shared" si="172"/>
        <v>6</v>
      </c>
      <c r="C1250" s="30">
        <f t="shared" si="175"/>
        <v>2</v>
      </c>
      <c r="D1250" s="26">
        <f>MATCH(WEEKDAY(A1250),そのた定義!A:A,0)</f>
        <v>3</v>
      </c>
      <c r="E1250" s="26" t="str">
        <f t="shared" ca="1" si="176"/>
        <v>月</v>
      </c>
      <c r="F1250" s="26">
        <f t="shared" si="177"/>
        <v>0</v>
      </c>
      <c r="G1250" s="26">
        <f>IF(ISNA(MATCH(A1250,祝日定義!E:E,0)),0,1)</f>
        <v>0</v>
      </c>
      <c r="H1250" s="26">
        <f>IF(ISNA(MATCH(B1250&amp;"/"&amp;C1250,そのた定義!E:E,0)), 0, 1)</f>
        <v>0</v>
      </c>
      <c r="I1250" s="26" t="b">
        <f t="shared" si="178"/>
        <v>0</v>
      </c>
      <c r="J1250" s="26">
        <v>2</v>
      </c>
      <c r="K1250" s="26" t="b">
        <f t="shared" si="173"/>
        <v>0</v>
      </c>
      <c r="L1250" s="26" t="b">
        <f t="shared" si="174"/>
        <v>0</v>
      </c>
      <c r="M1250" t="b">
        <f t="shared" si="179"/>
        <v>1</v>
      </c>
      <c r="N1250" t="b">
        <f t="shared" si="180"/>
        <v>0</v>
      </c>
    </row>
    <row r="1251" spans="1:14">
      <c r="A1251" s="29">
        <v>45811</v>
      </c>
      <c r="B1251" s="30">
        <f t="shared" si="172"/>
        <v>6</v>
      </c>
      <c r="C1251" s="30">
        <f t="shared" si="175"/>
        <v>3</v>
      </c>
      <c r="D1251" s="26">
        <f>MATCH(WEEKDAY(A1251),そのた定義!A:A,0)</f>
        <v>4</v>
      </c>
      <c r="E1251" s="26" t="str">
        <f t="shared" ca="1" si="176"/>
        <v>火</v>
      </c>
      <c r="F1251" s="26">
        <f t="shared" si="177"/>
        <v>0</v>
      </c>
      <c r="G1251" s="26">
        <f>IF(ISNA(MATCH(A1251,祝日定義!E:E,0)),0,1)</f>
        <v>0</v>
      </c>
      <c r="H1251" s="26">
        <f>IF(ISNA(MATCH(B1251&amp;"/"&amp;C1251,そのた定義!E:E,0)), 0, 1)</f>
        <v>0</v>
      </c>
      <c r="I1251" s="26" t="b">
        <f t="shared" si="178"/>
        <v>0</v>
      </c>
      <c r="J1251" s="26">
        <v>0</v>
      </c>
      <c r="K1251" s="26" t="b">
        <f t="shared" si="173"/>
        <v>0</v>
      </c>
      <c r="L1251" s="26" t="b">
        <f t="shared" si="174"/>
        <v>0</v>
      </c>
      <c r="M1251" t="b">
        <f t="shared" si="179"/>
        <v>0</v>
      </c>
      <c r="N1251" t="b">
        <f t="shared" si="180"/>
        <v>0</v>
      </c>
    </row>
    <row r="1252" spans="1:14">
      <c r="A1252" s="29">
        <v>45812</v>
      </c>
      <c r="B1252" s="30">
        <f t="shared" si="172"/>
        <v>6</v>
      </c>
      <c r="C1252" s="30">
        <f t="shared" si="175"/>
        <v>4</v>
      </c>
      <c r="D1252" s="26">
        <f>MATCH(WEEKDAY(A1252),そのた定義!A:A,0)</f>
        <v>5</v>
      </c>
      <c r="E1252" s="26" t="str">
        <f t="shared" ca="1" si="176"/>
        <v>水</v>
      </c>
      <c r="F1252" s="26">
        <f t="shared" si="177"/>
        <v>0</v>
      </c>
      <c r="G1252" s="26">
        <f>IF(ISNA(MATCH(A1252,祝日定義!E:E,0)),0,1)</f>
        <v>0</v>
      </c>
      <c r="H1252" s="26">
        <f>IF(ISNA(MATCH(B1252&amp;"/"&amp;C1252,そのた定義!E:E,0)), 0, 1)</f>
        <v>0</v>
      </c>
      <c r="I1252" s="26" t="b">
        <f t="shared" si="178"/>
        <v>0</v>
      </c>
      <c r="J1252" s="26">
        <v>0</v>
      </c>
      <c r="K1252" s="26" t="b">
        <f t="shared" si="173"/>
        <v>0</v>
      </c>
      <c r="L1252" s="26" t="b">
        <f t="shared" si="174"/>
        <v>0</v>
      </c>
      <c r="M1252" t="b">
        <f t="shared" si="179"/>
        <v>0</v>
      </c>
      <c r="N1252" t="b">
        <f t="shared" si="180"/>
        <v>0</v>
      </c>
    </row>
    <row r="1253" spans="1:14">
      <c r="A1253" s="29">
        <v>45813</v>
      </c>
      <c r="B1253" s="30">
        <f t="shared" si="172"/>
        <v>6</v>
      </c>
      <c r="C1253" s="30">
        <f t="shared" si="175"/>
        <v>5</v>
      </c>
      <c r="D1253" s="26">
        <f>MATCH(WEEKDAY(A1253),そのた定義!A:A,0)</f>
        <v>6</v>
      </c>
      <c r="E1253" s="26" t="str">
        <f t="shared" ca="1" si="176"/>
        <v>木</v>
      </c>
      <c r="F1253" s="26">
        <f t="shared" si="177"/>
        <v>0</v>
      </c>
      <c r="G1253" s="26">
        <f>IF(ISNA(MATCH(A1253,祝日定義!E:E,0)),0,1)</f>
        <v>0</v>
      </c>
      <c r="H1253" s="26">
        <f>IF(ISNA(MATCH(B1253&amp;"/"&amp;C1253,そのた定義!E:E,0)), 0, 1)</f>
        <v>0</v>
      </c>
      <c r="I1253" s="26" t="b">
        <f t="shared" si="178"/>
        <v>0</v>
      </c>
      <c r="J1253" s="26">
        <v>0</v>
      </c>
      <c r="K1253" s="26" t="b">
        <f t="shared" si="173"/>
        <v>0</v>
      </c>
      <c r="L1253" s="26" t="b">
        <f t="shared" si="174"/>
        <v>0</v>
      </c>
      <c r="M1253" t="b">
        <f t="shared" si="179"/>
        <v>0</v>
      </c>
      <c r="N1253" t="b">
        <f t="shared" si="180"/>
        <v>0</v>
      </c>
    </row>
    <row r="1254" spans="1:14">
      <c r="A1254" s="29">
        <v>45814</v>
      </c>
      <c r="B1254" s="30">
        <f t="shared" si="172"/>
        <v>6</v>
      </c>
      <c r="C1254" s="30">
        <f t="shared" si="175"/>
        <v>6</v>
      </c>
      <c r="D1254" s="26">
        <f>MATCH(WEEKDAY(A1254),そのた定義!A:A,0)</f>
        <v>7</v>
      </c>
      <c r="E1254" s="26" t="str">
        <f t="shared" ca="1" si="176"/>
        <v>金</v>
      </c>
      <c r="F1254" s="26">
        <f t="shared" si="177"/>
        <v>0</v>
      </c>
      <c r="G1254" s="26">
        <f>IF(ISNA(MATCH(A1254,祝日定義!E:E,0)),0,1)</f>
        <v>0</v>
      </c>
      <c r="H1254" s="26">
        <f>IF(ISNA(MATCH(B1254&amp;"/"&amp;C1254,そのた定義!E:E,0)), 0, 1)</f>
        <v>0</v>
      </c>
      <c r="I1254" s="26" t="b">
        <f t="shared" si="178"/>
        <v>0</v>
      </c>
      <c r="J1254" s="26">
        <v>0</v>
      </c>
      <c r="K1254" s="26" t="b">
        <f t="shared" si="173"/>
        <v>0</v>
      </c>
      <c r="L1254" s="26" t="b">
        <f t="shared" si="174"/>
        <v>0</v>
      </c>
      <c r="M1254" t="b">
        <f t="shared" si="179"/>
        <v>0</v>
      </c>
      <c r="N1254" t="b">
        <f t="shared" si="180"/>
        <v>0</v>
      </c>
    </row>
    <row r="1255" spans="1:14">
      <c r="A1255" s="29">
        <v>45815</v>
      </c>
      <c r="B1255" s="30">
        <f t="shared" si="172"/>
        <v>6</v>
      </c>
      <c r="C1255" s="30">
        <f t="shared" si="175"/>
        <v>7</v>
      </c>
      <c r="D1255" s="26">
        <f>MATCH(WEEKDAY(A1255),そのた定義!A:A,0)</f>
        <v>8</v>
      </c>
      <c r="E1255" s="33" t="str">
        <f t="shared" ca="1" si="176"/>
        <v>土</v>
      </c>
      <c r="F1255" s="26">
        <f t="shared" si="177"/>
        <v>1</v>
      </c>
      <c r="G1255" s="26">
        <f>IF(ISNA(MATCH(A1255,祝日定義!E:E,0)),0,1)</f>
        <v>0</v>
      </c>
      <c r="H1255" s="26">
        <f>IF(ISNA(MATCH(B1255&amp;"/"&amp;C1255,そのた定義!E:E,0)), 0, 1)</f>
        <v>0</v>
      </c>
      <c r="I1255" s="23" t="b">
        <f t="shared" si="178"/>
        <v>1</v>
      </c>
      <c r="J1255" s="26">
        <v>0</v>
      </c>
      <c r="K1255" s="26" t="b">
        <f t="shared" si="173"/>
        <v>0</v>
      </c>
      <c r="L1255" s="26" t="b">
        <f t="shared" si="174"/>
        <v>0</v>
      </c>
      <c r="M1255" t="b">
        <f t="shared" si="179"/>
        <v>0</v>
      </c>
      <c r="N1255" t="b">
        <f t="shared" si="180"/>
        <v>0</v>
      </c>
    </row>
    <row r="1256" spans="1:14">
      <c r="A1256" s="29">
        <v>45816</v>
      </c>
      <c r="B1256" s="30">
        <f t="shared" si="172"/>
        <v>6</v>
      </c>
      <c r="C1256" s="30">
        <f t="shared" si="175"/>
        <v>8</v>
      </c>
      <c r="D1256" s="26">
        <f>MATCH(WEEKDAY(A1256),そのた定義!A:A,0)</f>
        <v>2</v>
      </c>
      <c r="E1256" s="32" t="str">
        <f t="shared" ca="1" si="176"/>
        <v>日</v>
      </c>
      <c r="F1256" s="26">
        <f t="shared" si="177"/>
        <v>1</v>
      </c>
      <c r="G1256" s="26">
        <f>IF(ISNA(MATCH(A1256,祝日定義!E:E,0)),0,1)</f>
        <v>0</v>
      </c>
      <c r="H1256" s="26">
        <f>IF(ISNA(MATCH(B1256&amp;"/"&amp;C1256,そのた定義!E:E,0)), 0, 1)</f>
        <v>0</v>
      </c>
      <c r="I1256" s="23" t="b">
        <f t="shared" si="178"/>
        <v>1</v>
      </c>
      <c r="J1256" s="26">
        <v>0</v>
      </c>
      <c r="K1256" s="26" t="b">
        <f t="shared" si="173"/>
        <v>0</v>
      </c>
      <c r="L1256" s="26" t="b">
        <f t="shared" si="174"/>
        <v>0</v>
      </c>
      <c r="M1256" t="b">
        <f t="shared" si="179"/>
        <v>0</v>
      </c>
      <c r="N1256" t="b">
        <f t="shared" si="180"/>
        <v>0</v>
      </c>
    </row>
    <row r="1257" spans="1:14">
      <c r="A1257" s="29">
        <v>45817</v>
      </c>
      <c r="B1257" s="30">
        <f t="shared" si="172"/>
        <v>6</v>
      </c>
      <c r="C1257" s="30">
        <f t="shared" si="175"/>
        <v>9</v>
      </c>
      <c r="D1257" s="26">
        <f>MATCH(WEEKDAY(A1257),そのた定義!A:A,0)</f>
        <v>3</v>
      </c>
      <c r="E1257" s="26" t="str">
        <f t="shared" ca="1" si="176"/>
        <v>月</v>
      </c>
      <c r="F1257" s="26">
        <f t="shared" si="177"/>
        <v>0</v>
      </c>
      <c r="G1257" s="26">
        <f>IF(ISNA(MATCH(A1257,祝日定義!E:E,0)),0,1)</f>
        <v>0</v>
      </c>
      <c r="H1257" s="26">
        <f>IF(ISNA(MATCH(B1257&amp;"/"&amp;C1257,そのた定義!E:E,0)), 0, 1)</f>
        <v>0</v>
      </c>
      <c r="I1257" s="26" t="b">
        <f t="shared" si="178"/>
        <v>0</v>
      </c>
      <c r="J1257" s="26">
        <v>2</v>
      </c>
      <c r="K1257" s="26" t="b">
        <f t="shared" si="173"/>
        <v>0</v>
      </c>
      <c r="L1257" s="26" t="b">
        <f t="shared" si="174"/>
        <v>0</v>
      </c>
      <c r="M1257" t="b">
        <f t="shared" si="179"/>
        <v>0</v>
      </c>
      <c r="N1257" t="b">
        <f t="shared" si="180"/>
        <v>0</v>
      </c>
    </row>
    <row r="1258" spans="1:14">
      <c r="A1258" s="29">
        <v>45818</v>
      </c>
      <c r="B1258" s="30">
        <f t="shared" si="172"/>
        <v>6</v>
      </c>
      <c r="C1258" s="30">
        <f t="shared" si="175"/>
        <v>10</v>
      </c>
      <c r="D1258" s="26">
        <f>MATCH(WEEKDAY(A1258),そのた定義!A:A,0)</f>
        <v>4</v>
      </c>
      <c r="E1258" s="26" t="str">
        <f t="shared" ca="1" si="176"/>
        <v>火</v>
      </c>
      <c r="F1258" s="26">
        <f t="shared" si="177"/>
        <v>0</v>
      </c>
      <c r="G1258" s="26">
        <f>IF(ISNA(MATCH(A1258,祝日定義!E:E,0)),0,1)</f>
        <v>0</v>
      </c>
      <c r="H1258" s="26">
        <f>IF(ISNA(MATCH(B1258&amp;"/"&amp;C1258,そのた定義!E:E,0)), 0, 1)</f>
        <v>0</v>
      </c>
      <c r="I1258" s="26" t="b">
        <f t="shared" si="178"/>
        <v>0</v>
      </c>
      <c r="J1258" s="26">
        <v>0</v>
      </c>
      <c r="K1258" s="26" t="b">
        <f t="shared" si="173"/>
        <v>0</v>
      </c>
      <c r="L1258" s="26" t="b">
        <f t="shared" si="174"/>
        <v>0</v>
      </c>
      <c r="M1258" t="b">
        <f t="shared" si="179"/>
        <v>0</v>
      </c>
      <c r="N1258" t="b">
        <f t="shared" si="180"/>
        <v>0</v>
      </c>
    </row>
    <row r="1259" spans="1:14">
      <c r="A1259" s="29">
        <v>45819</v>
      </c>
      <c r="B1259" s="30">
        <f t="shared" si="172"/>
        <v>6</v>
      </c>
      <c r="C1259" s="30">
        <f t="shared" si="175"/>
        <v>11</v>
      </c>
      <c r="D1259" s="26">
        <f>MATCH(WEEKDAY(A1259),そのた定義!A:A,0)</f>
        <v>5</v>
      </c>
      <c r="E1259" s="26" t="str">
        <f t="shared" ca="1" si="176"/>
        <v>水</v>
      </c>
      <c r="F1259" s="26">
        <f t="shared" si="177"/>
        <v>0</v>
      </c>
      <c r="G1259" s="26">
        <f>IF(ISNA(MATCH(A1259,祝日定義!E:E,0)),0,1)</f>
        <v>0</v>
      </c>
      <c r="H1259" s="26">
        <f>IF(ISNA(MATCH(B1259&amp;"/"&amp;C1259,そのた定義!E:E,0)), 0, 1)</f>
        <v>0</v>
      </c>
      <c r="I1259" s="26" t="b">
        <f t="shared" si="178"/>
        <v>0</v>
      </c>
      <c r="J1259" s="26">
        <v>0</v>
      </c>
      <c r="K1259" s="26" t="b">
        <f t="shared" si="173"/>
        <v>0</v>
      </c>
      <c r="L1259" s="26" t="b">
        <f t="shared" si="174"/>
        <v>0</v>
      </c>
      <c r="M1259" t="b">
        <f t="shared" si="179"/>
        <v>0</v>
      </c>
      <c r="N1259" t="b">
        <f t="shared" si="180"/>
        <v>0</v>
      </c>
    </row>
    <row r="1260" spans="1:14">
      <c r="A1260" s="29">
        <v>45820</v>
      </c>
      <c r="B1260" s="30">
        <f t="shared" si="172"/>
        <v>6</v>
      </c>
      <c r="C1260" s="30">
        <f t="shared" si="175"/>
        <v>12</v>
      </c>
      <c r="D1260" s="26">
        <f>MATCH(WEEKDAY(A1260),そのた定義!A:A,0)</f>
        <v>6</v>
      </c>
      <c r="E1260" s="26" t="str">
        <f t="shared" ca="1" si="176"/>
        <v>木</v>
      </c>
      <c r="F1260" s="26">
        <f t="shared" si="177"/>
        <v>0</v>
      </c>
      <c r="G1260" s="26">
        <f>IF(ISNA(MATCH(A1260,祝日定義!E:E,0)),0,1)</f>
        <v>0</v>
      </c>
      <c r="H1260" s="26">
        <f>IF(ISNA(MATCH(B1260&amp;"/"&amp;C1260,そのた定義!E:E,0)), 0, 1)</f>
        <v>0</v>
      </c>
      <c r="I1260" s="26" t="b">
        <f t="shared" si="178"/>
        <v>0</v>
      </c>
      <c r="J1260" s="26">
        <v>0</v>
      </c>
      <c r="K1260" s="26" t="b">
        <f t="shared" si="173"/>
        <v>0</v>
      </c>
      <c r="L1260" s="26" t="b">
        <f t="shared" si="174"/>
        <v>0</v>
      </c>
      <c r="M1260" t="b">
        <f t="shared" si="179"/>
        <v>0</v>
      </c>
      <c r="N1260" t="b">
        <f t="shared" si="180"/>
        <v>0</v>
      </c>
    </row>
    <row r="1261" spans="1:14">
      <c r="A1261" s="29">
        <v>45821</v>
      </c>
      <c r="B1261" s="30">
        <f t="shared" si="172"/>
        <v>6</v>
      </c>
      <c r="C1261" s="30">
        <f t="shared" si="175"/>
        <v>13</v>
      </c>
      <c r="D1261" s="26">
        <f>MATCH(WEEKDAY(A1261),そのた定義!A:A,0)</f>
        <v>7</v>
      </c>
      <c r="E1261" s="26" t="str">
        <f t="shared" ca="1" si="176"/>
        <v>金</v>
      </c>
      <c r="F1261" s="26">
        <f t="shared" si="177"/>
        <v>0</v>
      </c>
      <c r="G1261" s="26">
        <f>IF(ISNA(MATCH(A1261,祝日定義!E:E,0)),0,1)</f>
        <v>0</v>
      </c>
      <c r="H1261" s="26">
        <f>IF(ISNA(MATCH(B1261&amp;"/"&amp;C1261,そのた定義!E:E,0)), 0, 1)</f>
        <v>0</v>
      </c>
      <c r="I1261" s="26" t="b">
        <f t="shared" si="178"/>
        <v>0</v>
      </c>
      <c r="J1261" s="26">
        <v>0</v>
      </c>
      <c r="K1261" s="26" t="b">
        <f t="shared" si="173"/>
        <v>0</v>
      </c>
      <c r="L1261" s="26" t="b">
        <f t="shared" si="174"/>
        <v>0</v>
      </c>
      <c r="M1261" t="b">
        <f t="shared" si="179"/>
        <v>0</v>
      </c>
      <c r="N1261" t="b">
        <f t="shared" si="180"/>
        <v>0</v>
      </c>
    </row>
    <row r="1262" spans="1:14">
      <c r="A1262" s="29">
        <v>45822</v>
      </c>
      <c r="B1262" s="30">
        <f t="shared" si="172"/>
        <v>6</v>
      </c>
      <c r="C1262" s="30">
        <f t="shared" si="175"/>
        <v>14</v>
      </c>
      <c r="D1262" s="26">
        <f>MATCH(WEEKDAY(A1262),そのた定義!A:A,0)</f>
        <v>8</v>
      </c>
      <c r="E1262" s="33" t="str">
        <f t="shared" ca="1" si="176"/>
        <v>土</v>
      </c>
      <c r="F1262" s="26">
        <f t="shared" si="177"/>
        <v>1</v>
      </c>
      <c r="G1262" s="26">
        <f>IF(ISNA(MATCH(A1262,祝日定義!E:E,0)),0,1)</f>
        <v>0</v>
      </c>
      <c r="H1262" s="26">
        <f>IF(ISNA(MATCH(B1262&amp;"/"&amp;C1262,そのた定義!E:E,0)), 0, 1)</f>
        <v>0</v>
      </c>
      <c r="I1262" s="23" t="b">
        <f t="shared" si="178"/>
        <v>1</v>
      </c>
      <c r="J1262" s="26">
        <v>0</v>
      </c>
      <c r="K1262" s="26" t="b">
        <f t="shared" si="173"/>
        <v>0</v>
      </c>
      <c r="L1262" s="26" t="b">
        <f t="shared" si="174"/>
        <v>0</v>
      </c>
      <c r="M1262" t="b">
        <f t="shared" si="179"/>
        <v>0</v>
      </c>
      <c r="N1262" t="b">
        <f t="shared" si="180"/>
        <v>0</v>
      </c>
    </row>
    <row r="1263" spans="1:14">
      <c r="A1263" s="29">
        <v>45823</v>
      </c>
      <c r="B1263" s="30">
        <f t="shared" si="172"/>
        <v>6</v>
      </c>
      <c r="C1263" s="30">
        <f t="shared" si="175"/>
        <v>15</v>
      </c>
      <c r="D1263" s="26">
        <f>MATCH(WEEKDAY(A1263),そのた定義!A:A,0)</f>
        <v>2</v>
      </c>
      <c r="E1263" s="32" t="str">
        <f t="shared" ca="1" si="176"/>
        <v>日</v>
      </c>
      <c r="F1263" s="26">
        <f t="shared" si="177"/>
        <v>1</v>
      </c>
      <c r="G1263" s="26">
        <f>IF(ISNA(MATCH(A1263,祝日定義!E:E,0)),0,1)</f>
        <v>0</v>
      </c>
      <c r="H1263" s="26">
        <f>IF(ISNA(MATCH(B1263&amp;"/"&amp;C1263,そのた定義!E:E,0)), 0, 1)</f>
        <v>0</v>
      </c>
      <c r="I1263" s="23" t="b">
        <f t="shared" si="178"/>
        <v>1</v>
      </c>
      <c r="J1263" s="26">
        <v>0</v>
      </c>
      <c r="K1263" s="26" t="b">
        <f t="shared" si="173"/>
        <v>0</v>
      </c>
      <c r="L1263" s="26" t="b">
        <f t="shared" si="174"/>
        <v>0</v>
      </c>
      <c r="M1263" t="b">
        <f t="shared" si="179"/>
        <v>0</v>
      </c>
      <c r="N1263" t="b">
        <f t="shared" si="180"/>
        <v>0</v>
      </c>
    </row>
    <row r="1264" spans="1:14">
      <c r="A1264" s="29">
        <v>45824</v>
      </c>
      <c r="B1264" s="30">
        <f t="shared" si="172"/>
        <v>6</v>
      </c>
      <c r="C1264" s="30">
        <f t="shared" si="175"/>
        <v>16</v>
      </c>
      <c r="D1264" s="26">
        <f>MATCH(WEEKDAY(A1264),そのた定義!A:A,0)</f>
        <v>3</v>
      </c>
      <c r="E1264" s="26" t="str">
        <f t="shared" ca="1" si="176"/>
        <v>月</v>
      </c>
      <c r="F1264" s="26">
        <f t="shared" si="177"/>
        <v>0</v>
      </c>
      <c r="G1264" s="26">
        <f>IF(ISNA(MATCH(A1264,祝日定義!E:E,0)),0,1)</f>
        <v>0</v>
      </c>
      <c r="H1264" s="26">
        <f>IF(ISNA(MATCH(B1264&amp;"/"&amp;C1264,そのた定義!E:E,0)), 0, 1)</f>
        <v>0</v>
      </c>
      <c r="I1264" s="26" t="b">
        <f t="shared" si="178"/>
        <v>0</v>
      </c>
      <c r="J1264" s="26">
        <v>2</v>
      </c>
      <c r="K1264" s="26" t="b">
        <f t="shared" si="173"/>
        <v>0</v>
      </c>
      <c r="L1264" s="26" t="b">
        <f t="shared" si="174"/>
        <v>0</v>
      </c>
      <c r="M1264" t="b">
        <f t="shared" si="179"/>
        <v>0</v>
      </c>
      <c r="N1264" t="b">
        <f t="shared" si="180"/>
        <v>0</v>
      </c>
    </row>
    <row r="1265" spans="1:14">
      <c r="A1265" s="29">
        <v>45825</v>
      </c>
      <c r="B1265" s="30">
        <f t="shared" si="172"/>
        <v>6</v>
      </c>
      <c r="C1265" s="30">
        <f t="shared" si="175"/>
        <v>17</v>
      </c>
      <c r="D1265" s="26">
        <f>MATCH(WEEKDAY(A1265),そのた定義!A:A,0)</f>
        <v>4</v>
      </c>
      <c r="E1265" s="26" t="str">
        <f t="shared" ca="1" si="176"/>
        <v>火</v>
      </c>
      <c r="F1265" s="26">
        <f t="shared" si="177"/>
        <v>0</v>
      </c>
      <c r="G1265" s="26">
        <f>IF(ISNA(MATCH(A1265,祝日定義!E:E,0)),0,1)</f>
        <v>0</v>
      </c>
      <c r="H1265" s="26">
        <f>IF(ISNA(MATCH(B1265&amp;"/"&amp;C1265,そのた定義!E:E,0)), 0, 1)</f>
        <v>0</v>
      </c>
      <c r="I1265" s="26" t="b">
        <f t="shared" si="178"/>
        <v>0</v>
      </c>
      <c r="J1265" s="26">
        <v>0</v>
      </c>
      <c r="K1265" s="26" t="b">
        <f t="shared" si="173"/>
        <v>0</v>
      </c>
      <c r="L1265" s="26" t="b">
        <f t="shared" si="174"/>
        <v>0</v>
      </c>
      <c r="M1265" t="b">
        <f t="shared" si="179"/>
        <v>0</v>
      </c>
      <c r="N1265" t="b">
        <f t="shared" si="180"/>
        <v>0</v>
      </c>
    </row>
    <row r="1266" spans="1:14">
      <c r="A1266" s="29">
        <v>45826</v>
      </c>
      <c r="B1266" s="30">
        <f t="shared" si="172"/>
        <v>6</v>
      </c>
      <c r="C1266" s="30">
        <f t="shared" si="175"/>
        <v>18</v>
      </c>
      <c r="D1266" s="26">
        <f>MATCH(WEEKDAY(A1266),そのた定義!A:A,0)</f>
        <v>5</v>
      </c>
      <c r="E1266" s="26" t="str">
        <f t="shared" ca="1" si="176"/>
        <v>水</v>
      </c>
      <c r="F1266" s="26">
        <f t="shared" si="177"/>
        <v>0</v>
      </c>
      <c r="G1266" s="26">
        <f>IF(ISNA(MATCH(A1266,祝日定義!E:E,0)),0,1)</f>
        <v>0</v>
      </c>
      <c r="H1266" s="26">
        <f>IF(ISNA(MATCH(B1266&amp;"/"&amp;C1266,そのた定義!E:E,0)), 0, 1)</f>
        <v>0</v>
      </c>
      <c r="I1266" s="26" t="b">
        <f t="shared" si="178"/>
        <v>0</v>
      </c>
      <c r="J1266" s="26">
        <v>0</v>
      </c>
      <c r="K1266" s="26" t="b">
        <f t="shared" si="173"/>
        <v>0</v>
      </c>
      <c r="L1266" s="26" t="b">
        <f t="shared" si="174"/>
        <v>0</v>
      </c>
      <c r="M1266" t="b">
        <f t="shared" si="179"/>
        <v>0</v>
      </c>
      <c r="N1266" t="b">
        <f t="shared" si="180"/>
        <v>0</v>
      </c>
    </row>
    <row r="1267" spans="1:14">
      <c r="A1267" s="29">
        <v>45827</v>
      </c>
      <c r="B1267" s="30">
        <f t="shared" si="172"/>
        <v>6</v>
      </c>
      <c r="C1267" s="30">
        <f t="shared" si="175"/>
        <v>19</v>
      </c>
      <c r="D1267" s="26">
        <f>MATCH(WEEKDAY(A1267),そのた定義!A:A,0)</f>
        <v>6</v>
      </c>
      <c r="E1267" s="26" t="str">
        <f t="shared" ca="1" si="176"/>
        <v>木</v>
      </c>
      <c r="F1267" s="26">
        <f t="shared" si="177"/>
        <v>0</v>
      </c>
      <c r="G1267" s="26">
        <f>IF(ISNA(MATCH(A1267,祝日定義!E:E,0)),0,1)</f>
        <v>0</v>
      </c>
      <c r="H1267" s="26">
        <f>IF(ISNA(MATCH(B1267&amp;"/"&amp;C1267,そのた定義!E:E,0)), 0, 1)</f>
        <v>0</v>
      </c>
      <c r="I1267" s="26" t="b">
        <f t="shared" si="178"/>
        <v>0</v>
      </c>
      <c r="J1267" s="26">
        <v>0</v>
      </c>
      <c r="K1267" s="26" t="b">
        <f t="shared" si="173"/>
        <v>0</v>
      </c>
      <c r="L1267" s="26" t="b">
        <f t="shared" si="174"/>
        <v>0</v>
      </c>
      <c r="M1267" t="b">
        <f t="shared" si="179"/>
        <v>0</v>
      </c>
      <c r="N1267" t="b">
        <f t="shared" si="180"/>
        <v>0</v>
      </c>
    </row>
    <row r="1268" spans="1:14">
      <c r="A1268" s="29">
        <v>45828</v>
      </c>
      <c r="B1268" s="30">
        <f t="shared" si="172"/>
        <v>6</v>
      </c>
      <c r="C1268" s="30">
        <f t="shared" si="175"/>
        <v>20</v>
      </c>
      <c r="D1268" s="26">
        <f>MATCH(WEEKDAY(A1268),そのた定義!A:A,0)</f>
        <v>7</v>
      </c>
      <c r="E1268" s="26" t="str">
        <f t="shared" ca="1" si="176"/>
        <v>金</v>
      </c>
      <c r="F1268" s="26">
        <f t="shared" si="177"/>
        <v>0</v>
      </c>
      <c r="G1268" s="26">
        <f>IF(ISNA(MATCH(A1268,祝日定義!E:E,0)),0,1)</f>
        <v>0</v>
      </c>
      <c r="H1268" s="26">
        <f>IF(ISNA(MATCH(B1268&amp;"/"&amp;C1268,そのた定義!E:E,0)), 0, 1)</f>
        <v>0</v>
      </c>
      <c r="I1268" s="26" t="b">
        <f t="shared" si="178"/>
        <v>0</v>
      </c>
      <c r="J1268" s="26">
        <v>0</v>
      </c>
      <c r="K1268" s="26" t="b">
        <f t="shared" si="173"/>
        <v>0</v>
      </c>
      <c r="L1268" s="26" t="b">
        <f t="shared" si="174"/>
        <v>0</v>
      </c>
      <c r="M1268" t="b">
        <f t="shared" si="179"/>
        <v>0</v>
      </c>
      <c r="N1268" t="b">
        <f t="shared" si="180"/>
        <v>0</v>
      </c>
    </row>
    <row r="1269" spans="1:14">
      <c r="A1269" s="29">
        <v>45829</v>
      </c>
      <c r="B1269" s="30">
        <f t="shared" si="172"/>
        <v>6</v>
      </c>
      <c r="C1269" s="30">
        <f t="shared" si="175"/>
        <v>21</v>
      </c>
      <c r="D1269" s="26">
        <f>MATCH(WEEKDAY(A1269),そのた定義!A:A,0)</f>
        <v>8</v>
      </c>
      <c r="E1269" s="33" t="str">
        <f t="shared" ca="1" si="176"/>
        <v>土</v>
      </c>
      <c r="F1269" s="26">
        <f t="shared" si="177"/>
        <v>1</v>
      </c>
      <c r="G1269" s="26">
        <f>IF(ISNA(MATCH(A1269,祝日定義!E:E,0)),0,1)</f>
        <v>0</v>
      </c>
      <c r="H1269" s="26">
        <f>IF(ISNA(MATCH(B1269&amp;"/"&amp;C1269,そのた定義!E:E,0)), 0, 1)</f>
        <v>0</v>
      </c>
      <c r="I1269" s="23" t="b">
        <f t="shared" si="178"/>
        <v>1</v>
      </c>
      <c r="J1269" s="26">
        <v>0</v>
      </c>
      <c r="K1269" s="26" t="b">
        <f t="shared" si="173"/>
        <v>0</v>
      </c>
      <c r="L1269" s="26" t="b">
        <f t="shared" si="174"/>
        <v>0</v>
      </c>
      <c r="M1269" t="b">
        <f t="shared" si="179"/>
        <v>0</v>
      </c>
      <c r="N1269" t="b">
        <f t="shared" si="180"/>
        <v>0</v>
      </c>
    </row>
    <row r="1270" spans="1:14">
      <c r="A1270" s="29">
        <v>45830</v>
      </c>
      <c r="B1270" s="30">
        <f t="shared" si="172"/>
        <v>6</v>
      </c>
      <c r="C1270" s="30">
        <f t="shared" si="175"/>
        <v>22</v>
      </c>
      <c r="D1270" s="26">
        <f>MATCH(WEEKDAY(A1270),そのた定義!A:A,0)</f>
        <v>2</v>
      </c>
      <c r="E1270" s="32" t="str">
        <f t="shared" ca="1" si="176"/>
        <v>日</v>
      </c>
      <c r="F1270" s="26">
        <f t="shared" si="177"/>
        <v>1</v>
      </c>
      <c r="G1270" s="26">
        <f>IF(ISNA(MATCH(A1270,祝日定義!E:E,0)),0,1)</f>
        <v>0</v>
      </c>
      <c r="H1270" s="26">
        <f>IF(ISNA(MATCH(B1270&amp;"/"&amp;C1270,そのた定義!E:E,0)), 0, 1)</f>
        <v>0</v>
      </c>
      <c r="I1270" s="23" t="b">
        <f t="shared" si="178"/>
        <v>1</v>
      </c>
      <c r="J1270" s="26">
        <v>0</v>
      </c>
      <c r="K1270" s="26" t="b">
        <f t="shared" si="173"/>
        <v>0</v>
      </c>
      <c r="L1270" s="26" t="b">
        <f t="shared" si="174"/>
        <v>0</v>
      </c>
      <c r="M1270" t="b">
        <f t="shared" si="179"/>
        <v>0</v>
      </c>
      <c r="N1270" t="b">
        <f t="shared" si="180"/>
        <v>0</v>
      </c>
    </row>
    <row r="1271" spans="1:14">
      <c r="A1271" s="29">
        <v>45831</v>
      </c>
      <c r="B1271" s="30">
        <f t="shared" si="172"/>
        <v>6</v>
      </c>
      <c r="C1271" s="30">
        <f t="shared" si="175"/>
        <v>23</v>
      </c>
      <c r="D1271" s="26">
        <f>MATCH(WEEKDAY(A1271),そのた定義!A:A,0)</f>
        <v>3</v>
      </c>
      <c r="E1271" s="26" t="str">
        <f t="shared" ca="1" si="176"/>
        <v>月</v>
      </c>
      <c r="F1271" s="26">
        <f t="shared" si="177"/>
        <v>0</v>
      </c>
      <c r="G1271" s="26">
        <f>IF(ISNA(MATCH(A1271,祝日定義!E:E,0)),0,1)</f>
        <v>0</v>
      </c>
      <c r="H1271" s="26">
        <f>IF(ISNA(MATCH(B1271&amp;"/"&amp;C1271,そのた定義!E:E,0)), 0, 1)</f>
        <v>0</v>
      </c>
      <c r="I1271" s="26" t="b">
        <f t="shared" si="178"/>
        <v>0</v>
      </c>
      <c r="J1271" s="26">
        <v>2</v>
      </c>
      <c r="K1271" s="26" t="b">
        <f t="shared" si="173"/>
        <v>0</v>
      </c>
      <c r="L1271" s="26" t="b">
        <f t="shared" si="174"/>
        <v>0</v>
      </c>
      <c r="M1271" t="b">
        <f t="shared" si="179"/>
        <v>0</v>
      </c>
      <c r="N1271" t="b">
        <f t="shared" si="180"/>
        <v>0</v>
      </c>
    </row>
    <row r="1272" spans="1:14">
      <c r="A1272" s="29">
        <v>45832</v>
      </c>
      <c r="B1272" s="30">
        <f t="shared" si="172"/>
        <v>6</v>
      </c>
      <c r="C1272" s="30">
        <f t="shared" si="175"/>
        <v>24</v>
      </c>
      <c r="D1272" s="26">
        <f>MATCH(WEEKDAY(A1272),そのた定義!A:A,0)</f>
        <v>4</v>
      </c>
      <c r="E1272" s="26" t="str">
        <f t="shared" ca="1" si="176"/>
        <v>火</v>
      </c>
      <c r="F1272" s="26">
        <f t="shared" si="177"/>
        <v>0</v>
      </c>
      <c r="G1272" s="26">
        <f>IF(ISNA(MATCH(A1272,祝日定義!E:E,0)),0,1)</f>
        <v>0</v>
      </c>
      <c r="H1272" s="26">
        <f>IF(ISNA(MATCH(B1272&amp;"/"&amp;C1272,そのた定義!E:E,0)), 0, 1)</f>
        <v>0</v>
      </c>
      <c r="I1272" s="26" t="b">
        <f t="shared" si="178"/>
        <v>0</v>
      </c>
      <c r="J1272" s="26">
        <v>0</v>
      </c>
      <c r="K1272" s="26" t="b">
        <f t="shared" si="173"/>
        <v>0</v>
      </c>
      <c r="L1272" s="26" t="b">
        <f t="shared" si="174"/>
        <v>0</v>
      </c>
      <c r="M1272" t="b">
        <f t="shared" si="179"/>
        <v>0</v>
      </c>
      <c r="N1272" t="b">
        <f t="shared" si="180"/>
        <v>0</v>
      </c>
    </row>
    <row r="1273" spans="1:14">
      <c r="A1273" s="29">
        <v>45833</v>
      </c>
      <c r="B1273" s="30">
        <f t="shared" si="172"/>
        <v>6</v>
      </c>
      <c r="C1273" s="30">
        <f t="shared" si="175"/>
        <v>25</v>
      </c>
      <c r="D1273" s="26">
        <f>MATCH(WEEKDAY(A1273),そのた定義!A:A,0)</f>
        <v>5</v>
      </c>
      <c r="E1273" s="26" t="str">
        <f t="shared" ca="1" si="176"/>
        <v>水</v>
      </c>
      <c r="F1273" s="26">
        <f t="shared" si="177"/>
        <v>0</v>
      </c>
      <c r="G1273" s="26">
        <f>IF(ISNA(MATCH(A1273,祝日定義!E:E,0)),0,1)</f>
        <v>0</v>
      </c>
      <c r="H1273" s="26">
        <f>IF(ISNA(MATCH(B1273&amp;"/"&amp;C1273,そのた定義!E:E,0)), 0, 1)</f>
        <v>0</v>
      </c>
      <c r="I1273" s="26" t="b">
        <f t="shared" si="178"/>
        <v>0</v>
      </c>
      <c r="J1273" s="26">
        <v>0</v>
      </c>
      <c r="K1273" s="26" t="b">
        <f t="shared" si="173"/>
        <v>0</v>
      </c>
      <c r="L1273" s="23" t="b">
        <f t="shared" si="174"/>
        <v>1</v>
      </c>
      <c r="M1273" t="b">
        <f t="shared" si="179"/>
        <v>0</v>
      </c>
      <c r="N1273" t="b">
        <f t="shared" si="180"/>
        <v>0</v>
      </c>
    </row>
    <row r="1274" spans="1:14">
      <c r="A1274" s="29">
        <v>45834</v>
      </c>
      <c r="B1274" s="30">
        <f t="shared" si="172"/>
        <v>6</v>
      </c>
      <c r="C1274" s="30">
        <f t="shared" si="175"/>
        <v>26</v>
      </c>
      <c r="D1274" s="26">
        <f>MATCH(WEEKDAY(A1274),そのた定義!A:A,0)</f>
        <v>6</v>
      </c>
      <c r="E1274" s="26" t="str">
        <f t="shared" ca="1" si="176"/>
        <v>木</v>
      </c>
      <c r="F1274" s="26">
        <f t="shared" si="177"/>
        <v>0</v>
      </c>
      <c r="G1274" s="26">
        <f>IF(ISNA(MATCH(A1274,祝日定義!E:E,0)),0,1)</f>
        <v>0</v>
      </c>
      <c r="H1274" s="26">
        <f>IF(ISNA(MATCH(B1274&amp;"/"&amp;C1274,そのた定義!E:E,0)), 0, 1)</f>
        <v>0</v>
      </c>
      <c r="I1274" s="26" t="b">
        <f t="shared" si="178"/>
        <v>0</v>
      </c>
      <c r="J1274" s="26">
        <v>0</v>
      </c>
      <c r="K1274" s="26" t="b">
        <f t="shared" si="173"/>
        <v>0</v>
      </c>
      <c r="L1274" s="26" t="b">
        <f t="shared" si="174"/>
        <v>0</v>
      </c>
      <c r="M1274" t="b">
        <f t="shared" si="179"/>
        <v>0</v>
      </c>
      <c r="N1274" t="b">
        <f t="shared" si="180"/>
        <v>0</v>
      </c>
    </row>
    <row r="1275" spans="1:14">
      <c r="A1275" s="29">
        <v>45835</v>
      </c>
      <c r="B1275" s="30">
        <f t="shared" si="172"/>
        <v>6</v>
      </c>
      <c r="C1275" s="30">
        <f t="shared" si="175"/>
        <v>27</v>
      </c>
      <c r="D1275" s="26">
        <f>MATCH(WEEKDAY(A1275),そのた定義!A:A,0)</f>
        <v>7</v>
      </c>
      <c r="E1275" s="26" t="str">
        <f t="shared" ca="1" si="176"/>
        <v>金</v>
      </c>
      <c r="F1275" s="26">
        <f t="shared" si="177"/>
        <v>0</v>
      </c>
      <c r="G1275" s="26">
        <f>IF(ISNA(MATCH(A1275,祝日定義!E:E,0)),0,1)</f>
        <v>0</v>
      </c>
      <c r="H1275" s="26">
        <f>IF(ISNA(MATCH(B1275&amp;"/"&amp;C1275,そのた定義!E:E,0)), 0, 1)</f>
        <v>0</v>
      </c>
      <c r="I1275" s="26" t="b">
        <f t="shared" si="178"/>
        <v>0</v>
      </c>
      <c r="J1275" s="26">
        <v>0</v>
      </c>
      <c r="K1275" s="26" t="b">
        <f t="shared" si="173"/>
        <v>0</v>
      </c>
      <c r="L1275" s="26" t="b">
        <f t="shared" si="174"/>
        <v>0</v>
      </c>
      <c r="M1275" t="b">
        <f t="shared" si="179"/>
        <v>0</v>
      </c>
      <c r="N1275" t="b">
        <f t="shared" si="180"/>
        <v>0</v>
      </c>
    </row>
    <row r="1276" spans="1:14">
      <c r="A1276" s="29">
        <v>45836</v>
      </c>
      <c r="B1276" s="30">
        <f t="shared" si="172"/>
        <v>6</v>
      </c>
      <c r="C1276" s="30">
        <f t="shared" si="175"/>
        <v>28</v>
      </c>
      <c r="D1276" s="26">
        <f>MATCH(WEEKDAY(A1276),そのた定義!A:A,0)</f>
        <v>8</v>
      </c>
      <c r="E1276" s="33" t="str">
        <f t="shared" ca="1" si="176"/>
        <v>土</v>
      </c>
      <c r="F1276" s="26">
        <f t="shared" si="177"/>
        <v>1</v>
      </c>
      <c r="G1276" s="26">
        <f>IF(ISNA(MATCH(A1276,祝日定義!E:E,0)),0,1)</f>
        <v>0</v>
      </c>
      <c r="H1276" s="26">
        <f>IF(ISNA(MATCH(B1276&amp;"/"&amp;C1276,そのた定義!E:E,0)), 0, 1)</f>
        <v>0</v>
      </c>
      <c r="I1276" s="23" t="b">
        <f t="shared" si="178"/>
        <v>1</v>
      </c>
      <c r="J1276" s="26">
        <v>0</v>
      </c>
      <c r="K1276" s="26" t="b">
        <f t="shared" si="173"/>
        <v>0</v>
      </c>
      <c r="L1276" s="26" t="b">
        <f t="shared" si="174"/>
        <v>0</v>
      </c>
      <c r="M1276" t="b">
        <f t="shared" si="179"/>
        <v>0</v>
      </c>
      <c r="N1276" t="b">
        <f t="shared" si="180"/>
        <v>0</v>
      </c>
    </row>
    <row r="1277" spans="1:14">
      <c r="A1277" s="29">
        <v>45837</v>
      </c>
      <c r="B1277" s="30">
        <f t="shared" si="172"/>
        <v>6</v>
      </c>
      <c r="C1277" s="30">
        <f t="shared" si="175"/>
        <v>29</v>
      </c>
      <c r="D1277" s="26">
        <f>MATCH(WEEKDAY(A1277),そのた定義!A:A,0)</f>
        <v>2</v>
      </c>
      <c r="E1277" s="32" t="str">
        <f t="shared" ca="1" si="176"/>
        <v>日</v>
      </c>
      <c r="F1277" s="26">
        <f t="shared" si="177"/>
        <v>1</v>
      </c>
      <c r="G1277" s="26">
        <f>IF(ISNA(MATCH(A1277,祝日定義!E:E,0)),0,1)</f>
        <v>0</v>
      </c>
      <c r="H1277" s="26">
        <f>IF(ISNA(MATCH(B1277&amp;"/"&amp;C1277,そのた定義!E:E,0)), 0, 1)</f>
        <v>0</v>
      </c>
      <c r="I1277" s="23" t="b">
        <f t="shared" si="178"/>
        <v>1</v>
      </c>
      <c r="J1277" s="26">
        <v>0</v>
      </c>
      <c r="K1277" s="26" t="b">
        <f t="shared" si="173"/>
        <v>0</v>
      </c>
      <c r="L1277" s="26" t="b">
        <f t="shared" si="174"/>
        <v>0</v>
      </c>
      <c r="M1277" t="b">
        <f t="shared" si="179"/>
        <v>0</v>
      </c>
      <c r="N1277" t="b">
        <f t="shared" si="180"/>
        <v>0</v>
      </c>
    </row>
    <row r="1278" spans="1:14">
      <c r="A1278" s="29">
        <v>45838</v>
      </c>
      <c r="B1278" s="30">
        <f t="shared" si="172"/>
        <v>6</v>
      </c>
      <c r="C1278" s="30">
        <f t="shared" si="175"/>
        <v>30</v>
      </c>
      <c r="D1278" s="26">
        <f>MATCH(WEEKDAY(A1278),そのた定義!A:A,0)</f>
        <v>3</v>
      </c>
      <c r="E1278" s="26" t="str">
        <f t="shared" ca="1" si="176"/>
        <v>月</v>
      </c>
      <c r="F1278" s="26">
        <f t="shared" si="177"/>
        <v>0</v>
      </c>
      <c r="G1278" s="26">
        <f>IF(ISNA(MATCH(A1278,祝日定義!E:E,0)),0,1)</f>
        <v>0</v>
      </c>
      <c r="H1278" s="26">
        <f>IF(ISNA(MATCH(B1278&amp;"/"&amp;C1278,そのた定義!E:E,0)), 0, 1)</f>
        <v>0</v>
      </c>
      <c r="I1278" s="26" t="b">
        <f t="shared" si="178"/>
        <v>0</v>
      </c>
      <c r="J1278" s="26">
        <v>2</v>
      </c>
      <c r="K1278" s="26" t="b">
        <f t="shared" si="173"/>
        <v>0</v>
      </c>
      <c r="L1278" s="26" t="b">
        <f t="shared" si="174"/>
        <v>0</v>
      </c>
      <c r="M1278" t="b">
        <f t="shared" si="179"/>
        <v>0</v>
      </c>
      <c r="N1278" t="b">
        <f t="shared" si="180"/>
        <v>1</v>
      </c>
    </row>
    <row r="1279" spans="1:14">
      <c r="A1279" s="29">
        <v>45839</v>
      </c>
      <c r="B1279" s="30">
        <f t="shared" si="172"/>
        <v>7</v>
      </c>
      <c r="C1279" s="30">
        <f t="shared" si="175"/>
        <v>1</v>
      </c>
      <c r="D1279" s="26">
        <f>MATCH(WEEKDAY(A1279),そのた定義!A:A,0)</f>
        <v>4</v>
      </c>
      <c r="E1279" s="26" t="str">
        <f t="shared" ca="1" si="176"/>
        <v>火</v>
      </c>
      <c r="F1279" s="26">
        <f t="shared" si="177"/>
        <v>0</v>
      </c>
      <c r="G1279" s="26">
        <f>IF(ISNA(MATCH(A1279,祝日定義!E:E,0)),0,1)</f>
        <v>0</v>
      </c>
      <c r="H1279" s="26">
        <f>IF(ISNA(MATCH(B1279&amp;"/"&amp;C1279,そのた定義!E:E,0)), 0, 1)</f>
        <v>0</v>
      </c>
      <c r="I1279" s="26" t="b">
        <f t="shared" si="178"/>
        <v>0</v>
      </c>
      <c r="J1279" s="26">
        <v>0</v>
      </c>
      <c r="K1279" s="26" t="b">
        <f t="shared" si="173"/>
        <v>0</v>
      </c>
      <c r="L1279" s="26" t="b">
        <f t="shared" si="174"/>
        <v>0</v>
      </c>
      <c r="M1279" t="b">
        <f t="shared" si="179"/>
        <v>0</v>
      </c>
      <c r="N1279" t="b">
        <f t="shared" si="180"/>
        <v>0</v>
      </c>
    </row>
    <row r="1280" spans="1:14">
      <c r="A1280" s="29">
        <v>45840</v>
      </c>
      <c r="B1280" s="30">
        <f t="shared" si="172"/>
        <v>7</v>
      </c>
      <c r="C1280" s="30">
        <f t="shared" si="175"/>
        <v>2</v>
      </c>
      <c r="D1280" s="26">
        <f>MATCH(WEEKDAY(A1280),そのた定義!A:A,0)</f>
        <v>5</v>
      </c>
      <c r="E1280" s="26" t="str">
        <f t="shared" ca="1" si="176"/>
        <v>水</v>
      </c>
      <c r="F1280" s="26">
        <f t="shared" si="177"/>
        <v>0</v>
      </c>
      <c r="G1280" s="26">
        <f>IF(ISNA(MATCH(A1280,祝日定義!E:E,0)),0,1)</f>
        <v>0</v>
      </c>
      <c r="H1280" s="26">
        <f>IF(ISNA(MATCH(B1280&amp;"/"&amp;C1280,そのた定義!E:E,0)), 0, 1)</f>
        <v>0</v>
      </c>
      <c r="I1280" s="26" t="b">
        <f t="shared" si="178"/>
        <v>0</v>
      </c>
      <c r="J1280" s="26">
        <v>0</v>
      </c>
      <c r="K1280" s="26" t="b">
        <f t="shared" si="173"/>
        <v>0</v>
      </c>
      <c r="L1280" s="26" t="b">
        <f t="shared" si="174"/>
        <v>0</v>
      </c>
      <c r="M1280" t="b">
        <f t="shared" si="179"/>
        <v>0</v>
      </c>
      <c r="N1280" t="b">
        <f t="shared" si="180"/>
        <v>0</v>
      </c>
    </row>
    <row r="1281" spans="1:14">
      <c r="A1281" s="29">
        <v>45841</v>
      </c>
      <c r="B1281" s="30">
        <f t="shared" si="172"/>
        <v>7</v>
      </c>
      <c r="C1281" s="30">
        <f t="shared" si="175"/>
        <v>3</v>
      </c>
      <c r="D1281" s="26">
        <f>MATCH(WEEKDAY(A1281),そのた定義!A:A,0)</f>
        <v>6</v>
      </c>
      <c r="E1281" s="26" t="str">
        <f t="shared" ca="1" si="176"/>
        <v>木</v>
      </c>
      <c r="F1281" s="26">
        <f t="shared" si="177"/>
        <v>0</v>
      </c>
      <c r="G1281" s="26">
        <f>IF(ISNA(MATCH(A1281,祝日定義!E:E,0)),0,1)</f>
        <v>0</v>
      </c>
      <c r="H1281" s="26">
        <f>IF(ISNA(MATCH(B1281&amp;"/"&amp;C1281,そのた定義!E:E,0)), 0, 1)</f>
        <v>0</v>
      </c>
      <c r="I1281" s="26" t="b">
        <f t="shared" si="178"/>
        <v>0</v>
      </c>
      <c r="J1281" s="26">
        <v>0</v>
      </c>
      <c r="K1281" s="26" t="b">
        <f t="shared" si="173"/>
        <v>0</v>
      </c>
      <c r="L1281" s="26" t="b">
        <f t="shared" si="174"/>
        <v>0</v>
      </c>
      <c r="M1281" t="b">
        <f t="shared" si="179"/>
        <v>0</v>
      </c>
      <c r="N1281" t="b">
        <f t="shared" si="180"/>
        <v>0</v>
      </c>
    </row>
    <row r="1282" spans="1:14">
      <c r="A1282" s="29">
        <v>45842</v>
      </c>
      <c r="B1282" s="30">
        <f t="shared" ref="B1282:B1345" si="181">MONTH(A1282)</f>
        <v>7</v>
      </c>
      <c r="C1282" s="30">
        <f t="shared" si="175"/>
        <v>4</v>
      </c>
      <c r="D1282" s="26">
        <f>MATCH(WEEKDAY(A1282),そのた定義!A:A,0)</f>
        <v>7</v>
      </c>
      <c r="E1282" s="26" t="str">
        <f t="shared" ca="1" si="176"/>
        <v>金</v>
      </c>
      <c r="F1282" s="26">
        <f t="shared" si="177"/>
        <v>0</v>
      </c>
      <c r="G1282" s="26">
        <f>IF(ISNA(MATCH(A1282,祝日定義!E:E,0)),0,1)</f>
        <v>0</v>
      </c>
      <c r="H1282" s="26">
        <f>IF(ISNA(MATCH(B1282&amp;"/"&amp;C1282,そのた定義!E:E,0)), 0, 1)</f>
        <v>0</v>
      </c>
      <c r="I1282" s="26" t="b">
        <f t="shared" si="178"/>
        <v>0</v>
      </c>
      <c r="J1282" s="26">
        <v>0</v>
      </c>
      <c r="K1282" s="26" t="b">
        <f t="shared" ref="K1282:K1345" si="182">AND(C1282&gt;25,DAY(A1282-J1282)&lt;=25)</f>
        <v>0</v>
      </c>
      <c r="L1282" s="26" t="b">
        <f t="shared" ref="L1282:L1345" si="183">C1282=25</f>
        <v>0</v>
      </c>
      <c r="M1282" t="b">
        <f t="shared" si="179"/>
        <v>0</v>
      </c>
      <c r="N1282" t="b">
        <f t="shared" si="180"/>
        <v>0</v>
      </c>
    </row>
    <row r="1283" spans="1:14">
      <c r="A1283" s="29">
        <v>45843</v>
      </c>
      <c r="B1283" s="30">
        <f t="shared" si="181"/>
        <v>7</v>
      </c>
      <c r="C1283" s="30">
        <f t="shared" ref="C1283:C1346" si="184">DAY(A1283)</f>
        <v>5</v>
      </c>
      <c r="D1283" s="26">
        <f>MATCH(WEEKDAY(A1283),そのた定義!A:A,0)</f>
        <v>8</v>
      </c>
      <c r="E1283" s="33" t="str">
        <f t="shared" ref="E1283:E1346" ca="1" si="185">INDIRECT("そのた定義!"&amp;"B"&amp;D1283)</f>
        <v>土</v>
      </c>
      <c r="F1283" s="26">
        <f t="shared" ref="F1283:F1346" si="186">IF(OR(D1283=8,D1283=2),1,0)</f>
        <v>1</v>
      </c>
      <c r="G1283" s="26">
        <f>IF(ISNA(MATCH(A1283,祝日定義!E:E,0)),0,1)</f>
        <v>0</v>
      </c>
      <c r="H1283" s="26">
        <f>IF(ISNA(MATCH(B1283&amp;"/"&amp;C1283,そのた定義!E:E,0)), 0, 1)</f>
        <v>0</v>
      </c>
      <c r="I1283" s="23" t="b">
        <f t="shared" ref="I1283:I1346" si="187">SUM(F1283:H1283)&gt;0</f>
        <v>1</v>
      </c>
      <c r="J1283" s="26">
        <v>0</v>
      </c>
      <c r="K1283" s="26" t="b">
        <f t="shared" si="182"/>
        <v>0</v>
      </c>
      <c r="L1283" s="26" t="b">
        <f t="shared" si="183"/>
        <v>0</v>
      </c>
      <c r="M1283" t="b">
        <f t="shared" ref="M1283:M1346" si="188">B1283&lt;&gt;MONTH(A1283-J1283)</f>
        <v>0</v>
      </c>
      <c r="N1283" t="b">
        <f t="shared" ref="N1283:N1346" si="189">B1283&lt;&gt;MONTH(A1283+1)</f>
        <v>0</v>
      </c>
    </row>
    <row r="1284" spans="1:14">
      <c r="A1284" s="29">
        <v>45844</v>
      </c>
      <c r="B1284" s="30">
        <f t="shared" si="181"/>
        <v>7</v>
      </c>
      <c r="C1284" s="30">
        <f t="shared" si="184"/>
        <v>6</v>
      </c>
      <c r="D1284" s="26">
        <f>MATCH(WEEKDAY(A1284),そのた定義!A:A,0)</f>
        <v>2</v>
      </c>
      <c r="E1284" s="32" t="str">
        <f t="shared" ca="1" si="185"/>
        <v>日</v>
      </c>
      <c r="F1284" s="26">
        <f t="shared" si="186"/>
        <v>1</v>
      </c>
      <c r="G1284" s="26">
        <f>IF(ISNA(MATCH(A1284,祝日定義!E:E,0)),0,1)</f>
        <v>0</v>
      </c>
      <c r="H1284" s="26">
        <f>IF(ISNA(MATCH(B1284&amp;"/"&amp;C1284,そのた定義!E:E,0)), 0, 1)</f>
        <v>0</v>
      </c>
      <c r="I1284" s="23" t="b">
        <f t="shared" si="187"/>
        <v>1</v>
      </c>
      <c r="J1284" s="26">
        <v>0</v>
      </c>
      <c r="K1284" s="26" t="b">
        <f t="shared" si="182"/>
        <v>0</v>
      </c>
      <c r="L1284" s="26" t="b">
        <f t="shared" si="183"/>
        <v>0</v>
      </c>
      <c r="M1284" t="b">
        <f t="shared" si="188"/>
        <v>0</v>
      </c>
      <c r="N1284" t="b">
        <f t="shared" si="189"/>
        <v>0</v>
      </c>
    </row>
    <row r="1285" spans="1:14">
      <c r="A1285" s="29">
        <v>45845</v>
      </c>
      <c r="B1285" s="30">
        <f t="shared" si="181"/>
        <v>7</v>
      </c>
      <c r="C1285" s="30">
        <f t="shared" si="184"/>
        <v>7</v>
      </c>
      <c r="D1285" s="26">
        <f>MATCH(WEEKDAY(A1285),そのた定義!A:A,0)</f>
        <v>3</v>
      </c>
      <c r="E1285" s="26" t="str">
        <f t="shared" ca="1" si="185"/>
        <v>月</v>
      </c>
      <c r="F1285" s="26">
        <f t="shared" si="186"/>
        <v>0</v>
      </c>
      <c r="G1285" s="26">
        <f>IF(ISNA(MATCH(A1285,祝日定義!E:E,0)),0,1)</f>
        <v>0</v>
      </c>
      <c r="H1285" s="26">
        <f>IF(ISNA(MATCH(B1285&amp;"/"&amp;C1285,そのた定義!E:E,0)), 0, 1)</f>
        <v>0</v>
      </c>
      <c r="I1285" s="26" t="b">
        <f t="shared" si="187"/>
        <v>0</v>
      </c>
      <c r="J1285" s="26">
        <v>2</v>
      </c>
      <c r="K1285" s="26" t="b">
        <f t="shared" si="182"/>
        <v>0</v>
      </c>
      <c r="L1285" s="26" t="b">
        <f t="shared" si="183"/>
        <v>0</v>
      </c>
      <c r="M1285" t="b">
        <f t="shared" si="188"/>
        <v>0</v>
      </c>
      <c r="N1285" t="b">
        <f t="shared" si="189"/>
        <v>0</v>
      </c>
    </row>
    <row r="1286" spans="1:14">
      <c r="A1286" s="29">
        <v>45846</v>
      </c>
      <c r="B1286" s="30">
        <f t="shared" si="181"/>
        <v>7</v>
      </c>
      <c r="C1286" s="30">
        <f t="shared" si="184"/>
        <v>8</v>
      </c>
      <c r="D1286" s="26">
        <f>MATCH(WEEKDAY(A1286),そのた定義!A:A,0)</f>
        <v>4</v>
      </c>
      <c r="E1286" s="26" t="str">
        <f t="shared" ca="1" si="185"/>
        <v>火</v>
      </c>
      <c r="F1286" s="26">
        <f t="shared" si="186"/>
        <v>0</v>
      </c>
      <c r="G1286" s="26">
        <f>IF(ISNA(MATCH(A1286,祝日定義!E:E,0)),0,1)</f>
        <v>0</v>
      </c>
      <c r="H1286" s="26">
        <f>IF(ISNA(MATCH(B1286&amp;"/"&amp;C1286,そのた定義!E:E,0)), 0, 1)</f>
        <v>0</v>
      </c>
      <c r="I1286" s="26" t="b">
        <f t="shared" si="187"/>
        <v>0</v>
      </c>
      <c r="J1286" s="26">
        <v>0</v>
      </c>
      <c r="K1286" s="26" t="b">
        <f t="shared" si="182"/>
        <v>0</v>
      </c>
      <c r="L1286" s="26" t="b">
        <f t="shared" si="183"/>
        <v>0</v>
      </c>
      <c r="M1286" t="b">
        <f t="shared" si="188"/>
        <v>0</v>
      </c>
      <c r="N1286" t="b">
        <f t="shared" si="189"/>
        <v>0</v>
      </c>
    </row>
    <row r="1287" spans="1:14">
      <c r="A1287" s="29">
        <v>45847</v>
      </c>
      <c r="B1287" s="30">
        <f t="shared" si="181"/>
        <v>7</v>
      </c>
      <c r="C1287" s="30">
        <f t="shared" si="184"/>
        <v>9</v>
      </c>
      <c r="D1287" s="26">
        <f>MATCH(WEEKDAY(A1287),そのた定義!A:A,0)</f>
        <v>5</v>
      </c>
      <c r="E1287" s="26" t="str">
        <f t="shared" ca="1" si="185"/>
        <v>水</v>
      </c>
      <c r="F1287" s="26">
        <f t="shared" si="186"/>
        <v>0</v>
      </c>
      <c r="G1287" s="26">
        <f>IF(ISNA(MATCH(A1287,祝日定義!E:E,0)),0,1)</f>
        <v>0</v>
      </c>
      <c r="H1287" s="26">
        <f>IF(ISNA(MATCH(B1287&amp;"/"&amp;C1287,そのた定義!E:E,0)), 0, 1)</f>
        <v>0</v>
      </c>
      <c r="I1287" s="26" t="b">
        <f t="shared" si="187"/>
        <v>0</v>
      </c>
      <c r="J1287" s="26">
        <v>0</v>
      </c>
      <c r="K1287" s="26" t="b">
        <f t="shared" si="182"/>
        <v>0</v>
      </c>
      <c r="L1287" s="26" t="b">
        <f t="shared" si="183"/>
        <v>0</v>
      </c>
      <c r="M1287" t="b">
        <f t="shared" si="188"/>
        <v>0</v>
      </c>
      <c r="N1287" t="b">
        <f t="shared" si="189"/>
        <v>0</v>
      </c>
    </row>
    <row r="1288" spans="1:14">
      <c r="A1288" s="29">
        <v>45848</v>
      </c>
      <c r="B1288" s="30">
        <f t="shared" si="181"/>
        <v>7</v>
      </c>
      <c r="C1288" s="30">
        <f t="shared" si="184"/>
        <v>10</v>
      </c>
      <c r="D1288" s="26">
        <f>MATCH(WEEKDAY(A1288),そのた定義!A:A,0)</f>
        <v>6</v>
      </c>
      <c r="E1288" s="26" t="str">
        <f t="shared" ca="1" si="185"/>
        <v>木</v>
      </c>
      <c r="F1288" s="26">
        <f t="shared" si="186"/>
        <v>0</v>
      </c>
      <c r="G1288" s="26">
        <f>IF(ISNA(MATCH(A1288,祝日定義!E:E,0)),0,1)</f>
        <v>0</v>
      </c>
      <c r="H1288" s="26">
        <f>IF(ISNA(MATCH(B1288&amp;"/"&amp;C1288,そのた定義!E:E,0)), 0, 1)</f>
        <v>0</v>
      </c>
      <c r="I1288" s="26" t="b">
        <f t="shared" si="187"/>
        <v>0</v>
      </c>
      <c r="J1288" s="26">
        <v>0</v>
      </c>
      <c r="K1288" s="26" t="b">
        <f t="shared" si="182"/>
        <v>0</v>
      </c>
      <c r="L1288" s="26" t="b">
        <f t="shared" si="183"/>
        <v>0</v>
      </c>
      <c r="M1288" t="b">
        <f t="shared" si="188"/>
        <v>0</v>
      </c>
      <c r="N1288" t="b">
        <f t="shared" si="189"/>
        <v>0</v>
      </c>
    </row>
    <row r="1289" spans="1:14">
      <c r="A1289" s="29">
        <v>45849</v>
      </c>
      <c r="B1289" s="30">
        <f t="shared" si="181"/>
        <v>7</v>
      </c>
      <c r="C1289" s="30">
        <f t="shared" si="184"/>
        <v>11</v>
      </c>
      <c r="D1289" s="26">
        <f>MATCH(WEEKDAY(A1289),そのた定義!A:A,0)</f>
        <v>7</v>
      </c>
      <c r="E1289" s="26" t="str">
        <f t="shared" ca="1" si="185"/>
        <v>金</v>
      </c>
      <c r="F1289" s="26">
        <f t="shared" si="186"/>
        <v>0</v>
      </c>
      <c r="G1289" s="26">
        <f>IF(ISNA(MATCH(A1289,祝日定義!E:E,0)),0,1)</f>
        <v>0</v>
      </c>
      <c r="H1289" s="26">
        <f>IF(ISNA(MATCH(B1289&amp;"/"&amp;C1289,そのた定義!E:E,0)), 0, 1)</f>
        <v>0</v>
      </c>
      <c r="I1289" s="26" t="b">
        <f t="shared" si="187"/>
        <v>0</v>
      </c>
      <c r="J1289" s="26">
        <v>0</v>
      </c>
      <c r="K1289" s="26" t="b">
        <f t="shared" si="182"/>
        <v>0</v>
      </c>
      <c r="L1289" s="26" t="b">
        <f t="shared" si="183"/>
        <v>0</v>
      </c>
      <c r="M1289" t="b">
        <f t="shared" si="188"/>
        <v>0</v>
      </c>
      <c r="N1289" t="b">
        <f t="shared" si="189"/>
        <v>0</v>
      </c>
    </row>
    <row r="1290" spans="1:14">
      <c r="A1290" s="29">
        <v>45850</v>
      </c>
      <c r="B1290" s="30">
        <f t="shared" si="181"/>
        <v>7</v>
      </c>
      <c r="C1290" s="30">
        <f t="shared" si="184"/>
        <v>12</v>
      </c>
      <c r="D1290" s="26">
        <f>MATCH(WEEKDAY(A1290),そのた定義!A:A,0)</f>
        <v>8</v>
      </c>
      <c r="E1290" s="33" t="str">
        <f t="shared" ca="1" si="185"/>
        <v>土</v>
      </c>
      <c r="F1290" s="26">
        <f t="shared" si="186"/>
        <v>1</v>
      </c>
      <c r="G1290" s="26">
        <f>IF(ISNA(MATCH(A1290,祝日定義!E:E,0)),0,1)</f>
        <v>0</v>
      </c>
      <c r="H1290" s="26">
        <f>IF(ISNA(MATCH(B1290&amp;"/"&amp;C1290,そのた定義!E:E,0)), 0, 1)</f>
        <v>0</v>
      </c>
      <c r="I1290" s="23" t="b">
        <f t="shared" si="187"/>
        <v>1</v>
      </c>
      <c r="J1290" s="26">
        <v>0</v>
      </c>
      <c r="K1290" s="26" t="b">
        <f t="shared" si="182"/>
        <v>0</v>
      </c>
      <c r="L1290" s="26" t="b">
        <f t="shared" si="183"/>
        <v>0</v>
      </c>
      <c r="M1290" t="b">
        <f t="shared" si="188"/>
        <v>0</v>
      </c>
      <c r="N1290" t="b">
        <f t="shared" si="189"/>
        <v>0</v>
      </c>
    </row>
    <row r="1291" spans="1:14">
      <c r="A1291" s="29">
        <v>45851</v>
      </c>
      <c r="B1291" s="30">
        <f t="shared" si="181"/>
        <v>7</v>
      </c>
      <c r="C1291" s="30">
        <f t="shared" si="184"/>
        <v>13</v>
      </c>
      <c r="D1291" s="26">
        <f>MATCH(WEEKDAY(A1291),そのた定義!A:A,0)</f>
        <v>2</v>
      </c>
      <c r="E1291" s="32" t="str">
        <f t="shared" ca="1" si="185"/>
        <v>日</v>
      </c>
      <c r="F1291" s="26">
        <f t="shared" si="186"/>
        <v>1</v>
      </c>
      <c r="G1291" s="26">
        <f>IF(ISNA(MATCH(A1291,祝日定義!E:E,0)),0,1)</f>
        <v>0</v>
      </c>
      <c r="H1291" s="26">
        <f>IF(ISNA(MATCH(B1291&amp;"/"&amp;C1291,そのた定義!E:E,0)), 0, 1)</f>
        <v>0</v>
      </c>
      <c r="I1291" s="23" t="b">
        <f t="shared" si="187"/>
        <v>1</v>
      </c>
      <c r="J1291" s="26">
        <v>0</v>
      </c>
      <c r="K1291" s="26" t="b">
        <f t="shared" si="182"/>
        <v>0</v>
      </c>
      <c r="L1291" s="26" t="b">
        <f t="shared" si="183"/>
        <v>0</v>
      </c>
      <c r="M1291" t="b">
        <f t="shared" si="188"/>
        <v>0</v>
      </c>
      <c r="N1291" t="b">
        <f t="shared" si="189"/>
        <v>0</v>
      </c>
    </row>
    <row r="1292" spans="1:14">
      <c r="A1292" s="29">
        <v>45852</v>
      </c>
      <c r="B1292" s="30">
        <f t="shared" si="181"/>
        <v>7</v>
      </c>
      <c r="C1292" s="30">
        <f t="shared" si="184"/>
        <v>14</v>
      </c>
      <c r="D1292" s="26">
        <f>MATCH(WEEKDAY(A1292),そのた定義!A:A,0)</f>
        <v>3</v>
      </c>
      <c r="E1292" s="26" t="str">
        <f t="shared" ca="1" si="185"/>
        <v>月</v>
      </c>
      <c r="F1292" s="26">
        <f t="shared" si="186"/>
        <v>0</v>
      </c>
      <c r="G1292" s="26">
        <f>IF(ISNA(MATCH(A1292,祝日定義!E:E,0)),0,1)</f>
        <v>0</v>
      </c>
      <c r="H1292" s="26">
        <f>IF(ISNA(MATCH(B1292&amp;"/"&amp;C1292,そのた定義!E:E,0)), 0, 1)</f>
        <v>0</v>
      </c>
      <c r="I1292" s="26" t="b">
        <f t="shared" si="187"/>
        <v>0</v>
      </c>
      <c r="J1292" s="26">
        <v>2</v>
      </c>
      <c r="K1292" s="26" t="b">
        <f t="shared" si="182"/>
        <v>0</v>
      </c>
      <c r="L1292" s="26" t="b">
        <f t="shared" si="183"/>
        <v>0</v>
      </c>
      <c r="M1292" t="b">
        <f t="shared" si="188"/>
        <v>0</v>
      </c>
      <c r="N1292" t="b">
        <f t="shared" si="189"/>
        <v>0</v>
      </c>
    </row>
    <row r="1293" spans="1:14">
      <c r="A1293" s="29">
        <v>45853</v>
      </c>
      <c r="B1293" s="30">
        <f t="shared" si="181"/>
        <v>7</v>
      </c>
      <c r="C1293" s="30">
        <f t="shared" si="184"/>
        <v>15</v>
      </c>
      <c r="D1293" s="26">
        <f>MATCH(WEEKDAY(A1293),そのた定義!A:A,0)</f>
        <v>4</v>
      </c>
      <c r="E1293" s="26" t="str">
        <f t="shared" ca="1" si="185"/>
        <v>火</v>
      </c>
      <c r="F1293" s="26">
        <f t="shared" si="186"/>
        <v>0</v>
      </c>
      <c r="G1293" s="26">
        <f>IF(ISNA(MATCH(A1293,祝日定義!E:E,0)),0,1)</f>
        <v>0</v>
      </c>
      <c r="H1293" s="26">
        <f>IF(ISNA(MATCH(B1293&amp;"/"&amp;C1293,そのた定義!E:E,0)), 0, 1)</f>
        <v>0</v>
      </c>
      <c r="I1293" s="26" t="b">
        <f t="shared" si="187"/>
        <v>0</v>
      </c>
      <c r="J1293" s="26">
        <v>0</v>
      </c>
      <c r="K1293" s="26" t="b">
        <f t="shared" si="182"/>
        <v>0</v>
      </c>
      <c r="L1293" s="26" t="b">
        <f t="shared" si="183"/>
        <v>0</v>
      </c>
      <c r="M1293" t="b">
        <f t="shared" si="188"/>
        <v>0</v>
      </c>
      <c r="N1293" t="b">
        <f t="shared" si="189"/>
        <v>0</v>
      </c>
    </row>
    <row r="1294" spans="1:14">
      <c r="A1294" s="29">
        <v>45854</v>
      </c>
      <c r="B1294" s="30">
        <f t="shared" si="181"/>
        <v>7</v>
      </c>
      <c r="C1294" s="30">
        <f t="shared" si="184"/>
        <v>16</v>
      </c>
      <c r="D1294" s="26">
        <f>MATCH(WEEKDAY(A1294),そのた定義!A:A,0)</f>
        <v>5</v>
      </c>
      <c r="E1294" s="26" t="str">
        <f t="shared" ca="1" si="185"/>
        <v>水</v>
      </c>
      <c r="F1294" s="26">
        <f t="shared" si="186"/>
        <v>0</v>
      </c>
      <c r="G1294" s="26">
        <f>IF(ISNA(MATCH(A1294,祝日定義!E:E,0)),0,1)</f>
        <v>0</v>
      </c>
      <c r="H1294" s="26">
        <f>IF(ISNA(MATCH(B1294&amp;"/"&amp;C1294,そのた定義!E:E,0)), 0, 1)</f>
        <v>0</v>
      </c>
      <c r="I1294" s="26" t="b">
        <f t="shared" si="187"/>
        <v>0</v>
      </c>
      <c r="J1294" s="26">
        <v>0</v>
      </c>
      <c r="K1294" s="26" t="b">
        <f t="shared" si="182"/>
        <v>0</v>
      </c>
      <c r="L1294" s="26" t="b">
        <f t="shared" si="183"/>
        <v>0</v>
      </c>
      <c r="M1294" t="b">
        <f t="shared" si="188"/>
        <v>0</v>
      </c>
      <c r="N1294" t="b">
        <f t="shared" si="189"/>
        <v>0</v>
      </c>
    </row>
    <row r="1295" spans="1:14">
      <c r="A1295" s="29">
        <v>45855</v>
      </c>
      <c r="B1295" s="30">
        <f t="shared" si="181"/>
        <v>7</v>
      </c>
      <c r="C1295" s="30">
        <f t="shared" si="184"/>
        <v>17</v>
      </c>
      <c r="D1295" s="26">
        <f>MATCH(WEEKDAY(A1295),そのた定義!A:A,0)</f>
        <v>6</v>
      </c>
      <c r="E1295" s="26" t="str">
        <f t="shared" ca="1" si="185"/>
        <v>木</v>
      </c>
      <c r="F1295" s="26">
        <f t="shared" si="186"/>
        <v>0</v>
      </c>
      <c r="G1295" s="26">
        <f>IF(ISNA(MATCH(A1295,祝日定義!E:E,0)),0,1)</f>
        <v>0</v>
      </c>
      <c r="H1295" s="26">
        <f>IF(ISNA(MATCH(B1295&amp;"/"&amp;C1295,そのた定義!E:E,0)), 0, 1)</f>
        <v>0</v>
      </c>
      <c r="I1295" s="26" t="b">
        <f t="shared" si="187"/>
        <v>0</v>
      </c>
      <c r="J1295" s="26">
        <v>0</v>
      </c>
      <c r="K1295" s="26" t="b">
        <f t="shared" si="182"/>
        <v>0</v>
      </c>
      <c r="L1295" s="26" t="b">
        <f t="shared" si="183"/>
        <v>0</v>
      </c>
      <c r="M1295" t="b">
        <f t="shared" si="188"/>
        <v>0</v>
      </c>
      <c r="N1295" t="b">
        <f t="shared" si="189"/>
        <v>0</v>
      </c>
    </row>
    <row r="1296" spans="1:14">
      <c r="A1296" s="29">
        <v>45856</v>
      </c>
      <c r="B1296" s="30">
        <f t="shared" si="181"/>
        <v>7</v>
      </c>
      <c r="C1296" s="30">
        <f t="shared" si="184"/>
        <v>18</v>
      </c>
      <c r="D1296" s="26">
        <f>MATCH(WEEKDAY(A1296),そのた定義!A:A,0)</f>
        <v>7</v>
      </c>
      <c r="E1296" s="26" t="str">
        <f t="shared" ca="1" si="185"/>
        <v>金</v>
      </c>
      <c r="F1296" s="26">
        <f t="shared" si="186"/>
        <v>0</v>
      </c>
      <c r="G1296" s="26">
        <f>IF(ISNA(MATCH(A1296,祝日定義!E:E,0)),0,1)</f>
        <v>0</v>
      </c>
      <c r="H1296" s="26">
        <f>IF(ISNA(MATCH(B1296&amp;"/"&amp;C1296,そのた定義!E:E,0)), 0, 1)</f>
        <v>0</v>
      </c>
      <c r="I1296" s="26" t="b">
        <f t="shared" si="187"/>
        <v>0</v>
      </c>
      <c r="J1296" s="26">
        <v>0</v>
      </c>
      <c r="K1296" s="26" t="b">
        <f t="shared" si="182"/>
        <v>0</v>
      </c>
      <c r="L1296" s="26" t="b">
        <f t="shared" si="183"/>
        <v>0</v>
      </c>
      <c r="M1296" t="b">
        <f t="shared" si="188"/>
        <v>0</v>
      </c>
      <c r="N1296" t="b">
        <f t="shared" si="189"/>
        <v>0</v>
      </c>
    </row>
    <row r="1297" spans="1:14">
      <c r="A1297" s="29">
        <v>45857</v>
      </c>
      <c r="B1297" s="30">
        <f t="shared" si="181"/>
        <v>7</v>
      </c>
      <c r="C1297" s="30">
        <f t="shared" si="184"/>
        <v>19</v>
      </c>
      <c r="D1297" s="26">
        <f>MATCH(WEEKDAY(A1297),そのた定義!A:A,0)</f>
        <v>8</v>
      </c>
      <c r="E1297" s="33" t="str">
        <f t="shared" ca="1" si="185"/>
        <v>土</v>
      </c>
      <c r="F1297" s="26">
        <f t="shared" si="186"/>
        <v>1</v>
      </c>
      <c r="G1297" s="26">
        <f>IF(ISNA(MATCH(A1297,祝日定義!E:E,0)),0,1)</f>
        <v>0</v>
      </c>
      <c r="H1297" s="26">
        <f>IF(ISNA(MATCH(B1297&amp;"/"&amp;C1297,そのた定義!E:E,0)), 0, 1)</f>
        <v>0</v>
      </c>
      <c r="I1297" s="23" t="b">
        <f t="shared" si="187"/>
        <v>1</v>
      </c>
      <c r="J1297" s="26">
        <v>0</v>
      </c>
      <c r="K1297" s="26" t="b">
        <f t="shared" si="182"/>
        <v>0</v>
      </c>
      <c r="L1297" s="26" t="b">
        <f t="shared" si="183"/>
        <v>0</v>
      </c>
      <c r="M1297" t="b">
        <f t="shared" si="188"/>
        <v>0</v>
      </c>
      <c r="N1297" t="b">
        <f t="shared" si="189"/>
        <v>0</v>
      </c>
    </row>
    <row r="1298" spans="1:14">
      <c r="A1298" s="29">
        <v>45858</v>
      </c>
      <c r="B1298" s="30">
        <f t="shared" si="181"/>
        <v>7</v>
      </c>
      <c r="C1298" s="30">
        <f t="shared" si="184"/>
        <v>20</v>
      </c>
      <c r="D1298" s="26">
        <f>MATCH(WEEKDAY(A1298),そのた定義!A:A,0)</f>
        <v>2</v>
      </c>
      <c r="E1298" s="32" t="str">
        <f t="shared" ca="1" si="185"/>
        <v>日</v>
      </c>
      <c r="F1298" s="26">
        <f t="shared" si="186"/>
        <v>1</v>
      </c>
      <c r="G1298" s="26">
        <f>IF(ISNA(MATCH(A1298,祝日定義!E:E,0)),0,1)</f>
        <v>0</v>
      </c>
      <c r="H1298" s="26">
        <f>IF(ISNA(MATCH(B1298&amp;"/"&amp;C1298,そのた定義!E:E,0)), 0, 1)</f>
        <v>0</v>
      </c>
      <c r="I1298" s="23" t="b">
        <f t="shared" si="187"/>
        <v>1</v>
      </c>
      <c r="J1298" s="26">
        <v>0</v>
      </c>
      <c r="K1298" s="26" t="b">
        <f t="shared" si="182"/>
        <v>0</v>
      </c>
      <c r="L1298" s="26" t="b">
        <f t="shared" si="183"/>
        <v>0</v>
      </c>
      <c r="M1298" t="b">
        <f t="shared" si="188"/>
        <v>0</v>
      </c>
      <c r="N1298" t="b">
        <f t="shared" si="189"/>
        <v>0</v>
      </c>
    </row>
    <row r="1299" spans="1:14">
      <c r="A1299" s="29">
        <v>45859</v>
      </c>
      <c r="B1299" s="30">
        <f t="shared" si="181"/>
        <v>7</v>
      </c>
      <c r="C1299" s="30">
        <f t="shared" si="184"/>
        <v>21</v>
      </c>
      <c r="D1299" s="26">
        <f>MATCH(WEEKDAY(A1299),そのた定義!A:A,0)</f>
        <v>3</v>
      </c>
      <c r="E1299" s="31" t="str">
        <f t="shared" ca="1" si="185"/>
        <v>月</v>
      </c>
      <c r="F1299" s="26">
        <f t="shared" si="186"/>
        <v>0</v>
      </c>
      <c r="G1299" s="26">
        <f>IF(ISNA(MATCH(A1299,祝日定義!E:E,0)),0,1)</f>
        <v>1</v>
      </c>
      <c r="H1299" s="26">
        <f>IF(ISNA(MATCH(B1299&amp;"/"&amp;C1299,そのた定義!E:E,0)), 0, 1)</f>
        <v>0</v>
      </c>
      <c r="I1299" s="23" t="b">
        <f t="shared" si="187"/>
        <v>1</v>
      </c>
      <c r="J1299" s="26">
        <v>0</v>
      </c>
      <c r="K1299" s="26" t="b">
        <f t="shared" si="182"/>
        <v>0</v>
      </c>
      <c r="L1299" s="26" t="b">
        <f t="shared" si="183"/>
        <v>0</v>
      </c>
      <c r="M1299" t="b">
        <f t="shared" si="188"/>
        <v>0</v>
      </c>
      <c r="N1299" t="b">
        <f t="shared" si="189"/>
        <v>0</v>
      </c>
    </row>
    <row r="1300" spans="1:14">
      <c r="A1300" s="29">
        <v>45860</v>
      </c>
      <c r="B1300" s="30">
        <f t="shared" si="181"/>
        <v>7</v>
      </c>
      <c r="C1300" s="30">
        <f t="shared" si="184"/>
        <v>22</v>
      </c>
      <c r="D1300" s="26">
        <f>MATCH(WEEKDAY(A1300),そのた定義!A:A,0)</f>
        <v>4</v>
      </c>
      <c r="E1300" s="26" t="str">
        <f t="shared" ca="1" si="185"/>
        <v>火</v>
      </c>
      <c r="F1300" s="26">
        <f t="shared" si="186"/>
        <v>0</v>
      </c>
      <c r="G1300" s="26">
        <f>IF(ISNA(MATCH(A1300,祝日定義!E:E,0)),0,1)</f>
        <v>0</v>
      </c>
      <c r="H1300" s="26">
        <f>IF(ISNA(MATCH(B1300&amp;"/"&amp;C1300,そのた定義!E:E,0)), 0, 1)</f>
        <v>0</v>
      </c>
      <c r="I1300" s="26" t="b">
        <f t="shared" si="187"/>
        <v>0</v>
      </c>
      <c r="J1300" s="26">
        <v>3</v>
      </c>
      <c r="K1300" s="26" t="b">
        <f t="shared" si="182"/>
        <v>0</v>
      </c>
      <c r="L1300" s="26" t="b">
        <f t="shared" si="183"/>
        <v>0</v>
      </c>
      <c r="M1300" t="b">
        <f t="shared" si="188"/>
        <v>0</v>
      </c>
      <c r="N1300" t="b">
        <f t="shared" si="189"/>
        <v>0</v>
      </c>
    </row>
    <row r="1301" spans="1:14">
      <c r="A1301" s="29">
        <v>45861</v>
      </c>
      <c r="B1301" s="30">
        <f t="shared" si="181"/>
        <v>7</v>
      </c>
      <c r="C1301" s="30">
        <f t="shared" si="184"/>
        <v>23</v>
      </c>
      <c r="D1301" s="26">
        <f>MATCH(WEEKDAY(A1301),そのた定義!A:A,0)</f>
        <v>5</v>
      </c>
      <c r="E1301" s="26" t="str">
        <f t="shared" ca="1" si="185"/>
        <v>水</v>
      </c>
      <c r="F1301" s="26">
        <f t="shared" si="186"/>
        <v>0</v>
      </c>
      <c r="G1301" s="26">
        <f>IF(ISNA(MATCH(A1301,祝日定義!E:E,0)),0,1)</f>
        <v>0</v>
      </c>
      <c r="H1301" s="26">
        <f>IF(ISNA(MATCH(B1301&amp;"/"&amp;C1301,そのた定義!E:E,0)), 0, 1)</f>
        <v>0</v>
      </c>
      <c r="I1301" s="26" t="b">
        <f t="shared" si="187"/>
        <v>0</v>
      </c>
      <c r="J1301" s="26">
        <v>0</v>
      </c>
      <c r="K1301" s="26" t="b">
        <f t="shared" si="182"/>
        <v>0</v>
      </c>
      <c r="L1301" s="26" t="b">
        <f t="shared" si="183"/>
        <v>0</v>
      </c>
      <c r="M1301" t="b">
        <f t="shared" si="188"/>
        <v>0</v>
      </c>
      <c r="N1301" t="b">
        <f t="shared" si="189"/>
        <v>0</v>
      </c>
    </row>
    <row r="1302" spans="1:14">
      <c r="A1302" s="29">
        <v>45862</v>
      </c>
      <c r="B1302" s="30">
        <f t="shared" si="181"/>
        <v>7</v>
      </c>
      <c r="C1302" s="30">
        <f t="shared" si="184"/>
        <v>24</v>
      </c>
      <c r="D1302" s="26">
        <f>MATCH(WEEKDAY(A1302),そのた定義!A:A,0)</f>
        <v>6</v>
      </c>
      <c r="E1302" s="26" t="str">
        <f t="shared" ca="1" si="185"/>
        <v>木</v>
      </c>
      <c r="F1302" s="26">
        <f t="shared" si="186"/>
        <v>0</v>
      </c>
      <c r="G1302" s="26">
        <f>IF(ISNA(MATCH(A1302,祝日定義!E:E,0)),0,1)</f>
        <v>0</v>
      </c>
      <c r="H1302" s="26">
        <f>IF(ISNA(MATCH(B1302&amp;"/"&amp;C1302,そのた定義!E:E,0)), 0, 1)</f>
        <v>0</v>
      </c>
      <c r="I1302" s="26" t="b">
        <f t="shared" si="187"/>
        <v>0</v>
      </c>
      <c r="J1302" s="26">
        <v>0</v>
      </c>
      <c r="K1302" s="26" t="b">
        <f t="shared" si="182"/>
        <v>0</v>
      </c>
      <c r="L1302" s="26" t="b">
        <f t="shared" si="183"/>
        <v>0</v>
      </c>
      <c r="M1302" t="b">
        <f t="shared" si="188"/>
        <v>0</v>
      </c>
      <c r="N1302" t="b">
        <f t="shared" si="189"/>
        <v>0</v>
      </c>
    </row>
    <row r="1303" spans="1:14">
      <c r="A1303" s="29">
        <v>45863</v>
      </c>
      <c r="B1303" s="30">
        <f t="shared" si="181"/>
        <v>7</v>
      </c>
      <c r="C1303" s="30">
        <f t="shared" si="184"/>
        <v>25</v>
      </c>
      <c r="D1303" s="26">
        <f>MATCH(WEEKDAY(A1303),そのた定義!A:A,0)</f>
        <v>7</v>
      </c>
      <c r="E1303" s="26" t="str">
        <f t="shared" ca="1" si="185"/>
        <v>金</v>
      </c>
      <c r="F1303" s="26">
        <f t="shared" si="186"/>
        <v>0</v>
      </c>
      <c r="G1303" s="26">
        <f>IF(ISNA(MATCH(A1303,祝日定義!E:E,0)),0,1)</f>
        <v>0</v>
      </c>
      <c r="H1303" s="26">
        <f>IF(ISNA(MATCH(B1303&amp;"/"&amp;C1303,そのた定義!E:E,0)), 0, 1)</f>
        <v>0</v>
      </c>
      <c r="I1303" s="26" t="b">
        <f t="shared" si="187"/>
        <v>0</v>
      </c>
      <c r="J1303" s="26">
        <v>0</v>
      </c>
      <c r="K1303" s="26" t="b">
        <f t="shared" si="182"/>
        <v>0</v>
      </c>
      <c r="L1303" s="23" t="b">
        <f t="shared" si="183"/>
        <v>1</v>
      </c>
      <c r="M1303" t="b">
        <f t="shared" si="188"/>
        <v>0</v>
      </c>
      <c r="N1303" t="b">
        <f t="shared" si="189"/>
        <v>0</v>
      </c>
    </row>
    <row r="1304" spans="1:14">
      <c r="A1304" s="29">
        <v>45864</v>
      </c>
      <c r="B1304" s="30">
        <f t="shared" si="181"/>
        <v>7</v>
      </c>
      <c r="C1304" s="30">
        <f t="shared" si="184"/>
        <v>26</v>
      </c>
      <c r="D1304" s="26">
        <f>MATCH(WEEKDAY(A1304),そのた定義!A:A,0)</f>
        <v>8</v>
      </c>
      <c r="E1304" s="33" t="str">
        <f t="shared" ca="1" si="185"/>
        <v>土</v>
      </c>
      <c r="F1304" s="26">
        <f t="shared" si="186"/>
        <v>1</v>
      </c>
      <c r="G1304" s="26">
        <f>IF(ISNA(MATCH(A1304,祝日定義!E:E,0)),0,1)</f>
        <v>0</v>
      </c>
      <c r="H1304" s="26">
        <f>IF(ISNA(MATCH(B1304&amp;"/"&amp;C1304,そのた定義!E:E,0)), 0, 1)</f>
        <v>0</v>
      </c>
      <c r="I1304" s="23" t="b">
        <f t="shared" si="187"/>
        <v>1</v>
      </c>
      <c r="J1304" s="26">
        <v>0</v>
      </c>
      <c r="K1304" s="26" t="b">
        <f t="shared" si="182"/>
        <v>0</v>
      </c>
      <c r="L1304" s="26" t="b">
        <f t="shared" si="183"/>
        <v>0</v>
      </c>
      <c r="M1304" t="b">
        <f t="shared" si="188"/>
        <v>0</v>
      </c>
      <c r="N1304" t="b">
        <f t="shared" si="189"/>
        <v>0</v>
      </c>
    </row>
    <row r="1305" spans="1:14">
      <c r="A1305" s="29">
        <v>45865</v>
      </c>
      <c r="B1305" s="30">
        <f t="shared" si="181"/>
        <v>7</v>
      </c>
      <c r="C1305" s="30">
        <f t="shared" si="184"/>
        <v>27</v>
      </c>
      <c r="D1305" s="26">
        <f>MATCH(WEEKDAY(A1305),そのた定義!A:A,0)</f>
        <v>2</v>
      </c>
      <c r="E1305" s="32" t="str">
        <f t="shared" ca="1" si="185"/>
        <v>日</v>
      </c>
      <c r="F1305" s="26">
        <f t="shared" si="186"/>
        <v>1</v>
      </c>
      <c r="G1305" s="26">
        <f>IF(ISNA(MATCH(A1305,祝日定義!E:E,0)),0,1)</f>
        <v>0</v>
      </c>
      <c r="H1305" s="26">
        <f>IF(ISNA(MATCH(B1305&amp;"/"&amp;C1305,そのた定義!E:E,0)), 0, 1)</f>
        <v>0</v>
      </c>
      <c r="I1305" s="23" t="b">
        <f t="shared" si="187"/>
        <v>1</v>
      </c>
      <c r="J1305" s="26">
        <v>0</v>
      </c>
      <c r="K1305" s="26" t="b">
        <f t="shared" si="182"/>
        <v>0</v>
      </c>
      <c r="L1305" s="26" t="b">
        <f t="shared" si="183"/>
        <v>0</v>
      </c>
      <c r="M1305" t="b">
        <f t="shared" si="188"/>
        <v>0</v>
      </c>
      <c r="N1305" t="b">
        <f t="shared" si="189"/>
        <v>0</v>
      </c>
    </row>
    <row r="1306" spans="1:14">
      <c r="A1306" s="29">
        <v>45866</v>
      </c>
      <c r="B1306" s="30">
        <f t="shared" si="181"/>
        <v>7</v>
      </c>
      <c r="C1306" s="30">
        <f t="shared" si="184"/>
        <v>28</v>
      </c>
      <c r="D1306" s="26">
        <f>MATCH(WEEKDAY(A1306),そのた定義!A:A,0)</f>
        <v>3</v>
      </c>
      <c r="E1306" s="26" t="str">
        <f t="shared" ca="1" si="185"/>
        <v>月</v>
      </c>
      <c r="F1306" s="26">
        <f t="shared" si="186"/>
        <v>0</v>
      </c>
      <c r="G1306" s="26">
        <f>IF(ISNA(MATCH(A1306,祝日定義!E:E,0)),0,1)</f>
        <v>0</v>
      </c>
      <c r="H1306" s="26">
        <f>IF(ISNA(MATCH(B1306&amp;"/"&amp;C1306,そのた定義!E:E,0)), 0, 1)</f>
        <v>0</v>
      </c>
      <c r="I1306" s="26" t="b">
        <f t="shared" si="187"/>
        <v>0</v>
      </c>
      <c r="J1306" s="26">
        <v>2</v>
      </c>
      <c r="K1306" s="26" t="b">
        <f t="shared" si="182"/>
        <v>0</v>
      </c>
      <c r="L1306" s="26" t="b">
        <f t="shared" si="183"/>
        <v>0</v>
      </c>
      <c r="M1306" t="b">
        <f t="shared" si="188"/>
        <v>0</v>
      </c>
      <c r="N1306" t="b">
        <f t="shared" si="189"/>
        <v>0</v>
      </c>
    </row>
    <row r="1307" spans="1:14">
      <c r="A1307" s="29">
        <v>45867</v>
      </c>
      <c r="B1307" s="30">
        <f t="shared" si="181"/>
        <v>7</v>
      </c>
      <c r="C1307" s="30">
        <f t="shared" si="184"/>
        <v>29</v>
      </c>
      <c r="D1307" s="26">
        <f>MATCH(WEEKDAY(A1307),そのた定義!A:A,0)</f>
        <v>4</v>
      </c>
      <c r="E1307" s="26" t="str">
        <f t="shared" ca="1" si="185"/>
        <v>火</v>
      </c>
      <c r="F1307" s="26">
        <f t="shared" si="186"/>
        <v>0</v>
      </c>
      <c r="G1307" s="26">
        <f>IF(ISNA(MATCH(A1307,祝日定義!E:E,0)),0,1)</f>
        <v>0</v>
      </c>
      <c r="H1307" s="26">
        <f>IF(ISNA(MATCH(B1307&amp;"/"&amp;C1307,そのた定義!E:E,0)), 0, 1)</f>
        <v>0</v>
      </c>
      <c r="I1307" s="26" t="b">
        <f t="shared" si="187"/>
        <v>0</v>
      </c>
      <c r="J1307" s="26">
        <v>0</v>
      </c>
      <c r="K1307" s="26" t="b">
        <f t="shared" si="182"/>
        <v>0</v>
      </c>
      <c r="L1307" s="26" t="b">
        <f t="shared" si="183"/>
        <v>0</v>
      </c>
      <c r="M1307" t="b">
        <f t="shared" si="188"/>
        <v>0</v>
      </c>
      <c r="N1307" t="b">
        <f t="shared" si="189"/>
        <v>0</v>
      </c>
    </row>
    <row r="1308" spans="1:14">
      <c r="A1308" s="29">
        <v>45868</v>
      </c>
      <c r="B1308" s="30">
        <f t="shared" si="181"/>
        <v>7</v>
      </c>
      <c r="C1308" s="30">
        <f t="shared" si="184"/>
        <v>30</v>
      </c>
      <c r="D1308" s="26">
        <f>MATCH(WEEKDAY(A1308),そのた定義!A:A,0)</f>
        <v>5</v>
      </c>
      <c r="E1308" s="26" t="str">
        <f t="shared" ca="1" si="185"/>
        <v>水</v>
      </c>
      <c r="F1308" s="26">
        <f t="shared" si="186"/>
        <v>0</v>
      </c>
      <c r="G1308" s="26">
        <f>IF(ISNA(MATCH(A1308,祝日定義!E:E,0)),0,1)</f>
        <v>0</v>
      </c>
      <c r="H1308" s="26">
        <f>IF(ISNA(MATCH(B1308&amp;"/"&amp;C1308,そのた定義!E:E,0)), 0, 1)</f>
        <v>0</v>
      </c>
      <c r="I1308" s="26" t="b">
        <f t="shared" si="187"/>
        <v>0</v>
      </c>
      <c r="J1308" s="26">
        <v>0</v>
      </c>
      <c r="K1308" s="26" t="b">
        <f t="shared" si="182"/>
        <v>0</v>
      </c>
      <c r="L1308" s="26" t="b">
        <f t="shared" si="183"/>
        <v>0</v>
      </c>
      <c r="M1308" t="b">
        <f t="shared" si="188"/>
        <v>0</v>
      </c>
      <c r="N1308" t="b">
        <f t="shared" si="189"/>
        <v>0</v>
      </c>
    </row>
    <row r="1309" spans="1:14">
      <c r="A1309" s="29">
        <v>45869</v>
      </c>
      <c r="B1309" s="30">
        <f t="shared" si="181"/>
        <v>7</v>
      </c>
      <c r="C1309" s="30">
        <f t="shared" si="184"/>
        <v>31</v>
      </c>
      <c r="D1309" s="26">
        <f>MATCH(WEEKDAY(A1309),そのた定義!A:A,0)</f>
        <v>6</v>
      </c>
      <c r="E1309" s="26" t="str">
        <f t="shared" ca="1" si="185"/>
        <v>木</v>
      </c>
      <c r="F1309" s="26">
        <f t="shared" si="186"/>
        <v>0</v>
      </c>
      <c r="G1309" s="26">
        <f>IF(ISNA(MATCH(A1309,祝日定義!E:E,0)),0,1)</f>
        <v>0</v>
      </c>
      <c r="H1309" s="26">
        <f>IF(ISNA(MATCH(B1309&amp;"/"&amp;C1309,そのた定義!E:E,0)), 0, 1)</f>
        <v>0</v>
      </c>
      <c r="I1309" s="26" t="b">
        <f t="shared" si="187"/>
        <v>0</v>
      </c>
      <c r="J1309" s="26">
        <v>0</v>
      </c>
      <c r="K1309" s="26" t="b">
        <f t="shared" si="182"/>
        <v>0</v>
      </c>
      <c r="L1309" s="26" t="b">
        <f t="shared" si="183"/>
        <v>0</v>
      </c>
      <c r="M1309" t="b">
        <f t="shared" si="188"/>
        <v>0</v>
      </c>
      <c r="N1309" t="b">
        <f t="shared" si="189"/>
        <v>1</v>
      </c>
    </row>
    <row r="1310" spans="1:14">
      <c r="A1310" s="29">
        <v>45870</v>
      </c>
      <c r="B1310" s="30">
        <f t="shared" si="181"/>
        <v>8</v>
      </c>
      <c r="C1310" s="30">
        <f t="shared" si="184"/>
        <v>1</v>
      </c>
      <c r="D1310" s="26">
        <f>MATCH(WEEKDAY(A1310),そのた定義!A:A,0)</f>
        <v>7</v>
      </c>
      <c r="E1310" s="26" t="str">
        <f t="shared" ca="1" si="185"/>
        <v>金</v>
      </c>
      <c r="F1310" s="26">
        <f t="shared" si="186"/>
        <v>0</v>
      </c>
      <c r="G1310" s="26">
        <f>IF(ISNA(MATCH(A1310,祝日定義!E:E,0)),0,1)</f>
        <v>0</v>
      </c>
      <c r="H1310" s="26">
        <f>IF(ISNA(MATCH(B1310&amp;"/"&amp;C1310,そのた定義!E:E,0)), 0, 1)</f>
        <v>0</v>
      </c>
      <c r="I1310" s="26" t="b">
        <f t="shared" si="187"/>
        <v>0</v>
      </c>
      <c r="J1310" s="26">
        <v>0</v>
      </c>
      <c r="K1310" s="26" t="b">
        <f t="shared" si="182"/>
        <v>0</v>
      </c>
      <c r="L1310" s="26" t="b">
        <f t="shared" si="183"/>
        <v>0</v>
      </c>
      <c r="M1310" t="b">
        <f t="shared" si="188"/>
        <v>0</v>
      </c>
      <c r="N1310" t="b">
        <f t="shared" si="189"/>
        <v>0</v>
      </c>
    </row>
    <row r="1311" spans="1:14">
      <c r="A1311" s="29">
        <v>45871</v>
      </c>
      <c r="B1311" s="30">
        <f t="shared" si="181"/>
        <v>8</v>
      </c>
      <c r="C1311" s="30">
        <f t="shared" si="184"/>
        <v>2</v>
      </c>
      <c r="D1311" s="26">
        <f>MATCH(WEEKDAY(A1311),そのた定義!A:A,0)</f>
        <v>8</v>
      </c>
      <c r="E1311" s="33" t="str">
        <f t="shared" ca="1" si="185"/>
        <v>土</v>
      </c>
      <c r="F1311" s="26">
        <f t="shared" si="186"/>
        <v>1</v>
      </c>
      <c r="G1311" s="26">
        <f>IF(ISNA(MATCH(A1311,祝日定義!E:E,0)),0,1)</f>
        <v>0</v>
      </c>
      <c r="H1311" s="26">
        <f>IF(ISNA(MATCH(B1311&amp;"/"&amp;C1311,そのた定義!E:E,0)), 0, 1)</f>
        <v>0</v>
      </c>
      <c r="I1311" s="23" t="b">
        <f t="shared" si="187"/>
        <v>1</v>
      </c>
      <c r="J1311" s="26">
        <v>0</v>
      </c>
      <c r="K1311" s="26" t="b">
        <f t="shared" si="182"/>
        <v>0</v>
      </c>
      <c r="L1311" s="26" t="b">
        <f t="shared" si="183"/>
        <v>0</v>
      </c>
      <c r="M1311" t="b">
        <f t="shared" si="188"/>
        <v>0</v>
      </c>
      <c r="N1311" t="b">
        <f t="shared" si="189"/>
        <v>0</v>
      </c>
    </row>
    <row r="1312" spans="1:14">
      <c r="A1312" s="29">
        <v>45872</v>
      </c>
      <c r="B1312" s="30">
        <f t="shared" si="181"/>
        <v>8</v>
      </c>
      <c r="C1312" s="30">
        <f t="shared" si="184"/>
        <v>3</v>
      </c>
      <c r="D1312" s="26">
        <f>MATCH(WEEKDAY(A1312),そのた定義!A:A,0)</f>
        <v>2</v>
      </c>
      <c r="E1312" s="32" t="str">
        <f t="shared" ca="1" si="185"/>
        <v>日</v>
      </c>
      <c r="F1312" s="26">
        <f t="shared" si="186"/>
        <v>1</v>
      </c>
      <c r="G1312" s="26">
        <f>IF(ISNA(MATCH(A1312,祝日定義!E:E,0)),0,1)</f>
        <v>0</v>
      </c>
      <c r="H1312" s="26">
        <f>IF(ISNA(MATCH(B1312&amp;"/"&amp;C1312,そのた定義!E:E,0)), 0, 1)</f>
        <v>0</v>
      </c>
      <c r="I1312" s="23" t="b">
        <f t="shared" si="187"/>
        <v>1</v>
      </c>
      <c r="J1312" s="26">
        <v>0</v>
      </c>
      <c r="K1312" s="26" t="b">
        <f t="shared" si="182"/>
        <v>0</v>
      </c>
      <c r="L1312" s="26" t="b">
        <f t="shared" si="183"/>
        <v>0</v>
      </c>
      <c r="M1312" t="b">
        <f t="shared" si="188"/>
        <v>0</v>
      </c>
      <c r="N1312" t="b">
        <f t="shared" si="189"/>
        <v>0</v>
      </c>
    </row>
    <row r="1313" spans="1:14">
      <c r="A1313" s="29">
        <v>45873</v>
      </c>
      <c r="B1313" s="30">
        <f t="shared" si="181"/>
        <v>8</v>
      </c>
      <c r="C1313" s="30">
        <f t="shared" si="184"/>
        <v>4</v>
      </c>
      <c r="D1313" s="26">
        <f>MATCH(WEEKDAY(A1313),そのた定義!A:A,0)</f>
        <v>3</v>
      </c>
      <c r="E1313" s="26" t="str">
        <f t="shared" ca="1" si="185"/>
        <v>月</v>
      </c>
      <c r="F1313" s="26">
        <f t="shared" si="186"/>
        <v>0</v>
      </c>
      <c r="G1313" s="26">
        <f>IF(ISNA(MATCH(A1313,祝日定義!E:E,0)),0,1)</f>
        <v>0</v>
      </c>
      <c r="H1313" s="26">
        <f>IF(ISNA(MATCH(B1313&amp;"/"&amp;C1313,そのた定義!E:E,0)), 0, 1)</f>
        <v>0</v>
      </c>
      <c r="I1313" s="26" t="b">
        <f t="shared" si="187"/>
        <v>0</v>
      </c>
      <c r="J1313" s="26">
        <v>2</v>
      </c>
      <c r="K1313" s="26" t="b">
        <f t="shared" si="182"/>
        <v>0</v>
      </c>
      <c r="L1313" s="26" t="b">
        <f t="shared" si="183"/>
        <v>0</v>
      </c>
      <c r="M1313" t="b">
        <f t="shared" si="188"/>
        <v>0</v>
      </c>
      <c r="N1313" t="b">
        <f t="shared" si="189"/>
        <v>0</v>
      </c>
    </row>
    <row r="1314" spans="1:14">
      <c r="A1314" s="29">
        <v>45874</v>
      </c>
      <c r="B1314" s="30">
        <f t="shared" si="181"/>
        <v>8</v>
      </c>
      <c r="C1314" s="30">
        <f t="shared" si="184"/>
        <v>5</v>
      </c>
      <c r="D1314" s="26">
        <f>MATCH(WEEKDAY(A1314),そのた定義!A:A,0)</f>
        <v>4</v>
      </c>
      <c r="E1314" s="26" t="str">
        <f t="shared" ca="1" si="185"/>
        <v>火</v>
      </c>
      <c r="F1314" s="26">
        <f t="shared" si="186"/>
        <v>0</v>
      </c>
      <c r="G1314" s="26">
        <f>IF(ISNA(MATCH(A1314,祝日定義!E:E,0)),0,1)</f>
        <v>0</v>
      </c>
      <c r="H1314" s="26">
        <f>IF(ISNA(MATCH(B1314&amp;"/"&amp;C1314,そのた定義!E:E,0)), 0, 1)</f>
        <v>0</v>
      </c>
      <c r="I1314" s="26" t="b">
        <f t="shared" si="187"/>
        <v>0</v>
      </c>
      <c r="J1314" s="26">
        <v>0</v>
      </c>
      <c r="K1314" s="26" t="b">
        <f t="shared" si="182"/>
        <v>0</v>
      </c>
      <c r="L1314" s="26" t="b">
        <f t="shared" si="183"/>
        <v>0</v>
      </c>
      <c r="M1314" t="b">
        <f t="shared" si="188"/>
        <v>0</v>
      </c>
      <c r="N1314" t="b">
        <f t="shared" si="189"/>
        <v>0</v>
      </c>
    </row>
    <row r="1315" spans="1:14">
      <c r="A1315" s="29">
        <v>45875</v>
      </c>
      <c r="B1315" s="30">
        <f t="shared" si="181"/>
        <v>8</v>
      </c>
      <c r="C1315" s="30">
        <f t="shared" si="184"/>
        <v>6</v>
      </c>
      <c r="D1315" s="26">
        <f>MATCH(WEEKDAY(A1315),そのた定義!A:A,0)</f>
        <v>5</v>
      </c>
      <c r="E1315" s="26" t="str">
        <f t="shared" ca="1" si="185"/>
        <v>水</v>
      </c>
      <c r="F1315" s="26">
        <f t="shared" si="186"/>
        <v>0</v>
      </c>
      <c r="G1315" s="26">
        <f>IF(ISNA(MATCH(A1315,祝日定義!E:E,0)),0,1)</f>
        <v>0</v>
      </c>
      <c r="H1315" s="26">
        <f>IF(ISNA(MATCH(B1315&amp;"/"&amp;C1315,そのた定義!E:E,0)), 0, 1)</f>
        <v>0</v>
      </c>
      <c r="I1315" s="26" t="b">
        <f t="shared" si="187"/>
        <v>0</v>
      </c>
      <c r="J1315" s="26">
        <v>0</v>
      </c>
      <c r="K1315" s="26" t="b">
        <f t="shared" si="182"/>
        <v>0</v>
      </c>
      <c r="L1315" s="26" t="b">
        <f t="shared" si="183"/>
        <v>0</v>
      </c>
      <c r="M1315" t="b">
        <f t="shared" si="188"/>
        <v>0</v>
      </c>
      <c r="N1315" t="b">
        <f t="shared" si="189"/>
        <v>0</v>
      </c>
    </row>
    <row r="1316" spans="1:14">
      <c r="A1316" s="29">
        <v>45876</v>
      </c>
      <c r="B1316" s="30">
        <f t="shared" si="181"/>
        <v>8</v>
      </c>
      <c r="C1316" s="30">
        <f t="shared" si="184"/>
        <v>7</v>
      </c>
      <c r="D1316" s="26">
        <f>MATCH(WEEKDAY(A1316),そのた定義!A:A,0)</f>
        <v>6</v>
      </c>
      <c r="E1316" s="26" t="str">
        <f t="shared" ca="1" si="185"/>
        <v>木</v>
      </c>
      <c r="F1316" s="26">
        <f t="shared" si="186"/>
        <v>0</v>
      </c>
      <c r="G1316" s="26">
        <f>IF(ISNA(MATCH(A1316,祝日定義!E:E,0)),0,1)</f>
        <v>0</v>
      </c>
      <c r="H1316" s="26">
        <f>IF(ISNA(MATCH(B1316&amp;"/"&amp;C1316,そのた定義!E:E,0)), 0, 1)</f>
        <v>0</v>
      </c>
      <c r="I1316" s="26" t="b">
        <f t="shared" si="187"/>
        <v>0</v>
      </c>
      <c r="J1316" s="26">
        <v>0</v>
      </c>
      <c r="K1316" s="26" t="b">
        <f t="shared" si="182"/>
        <v>0</v>
      </c>
      <c r="L1316" s="26" t="b">
        <f t="shared" si="183"/>
        <v>0</v>
      </c>
      <c r="M1316" t="b">
        <f t="shared" si="188"/>
        <v>0</v>
      </c>
      <c r="N1316" t="b">
        <f t="shared" si="189"/>
        <v>0</v>
      </c>
    </row>
    <row r="1317" spans="1:14">
      <c r="A1317" s="29">
        <v>45877</v>
      </c>
      <c r="B1317" s="30">
        <f t="shared" si="181"/>
        <v>8</v>
      </c>
      <c r="C1317" s="30">
        <f t="shared" si="184"/>
        <v>8</v>
      </c>
      <c r="D1317" s="26">
        <f>MATCH(WEEKDAY(A1317),そのた定義!A:A,0)</f>
        <v>7</v>
      </c>
      <c r="E1317" s="26" t="str">
        <f t="shared" ca="1" si="185"/>
        <v>金</v>
      </c>
      <c r="F1317" s="26">
        <f t="shared" si="186"/>
        <v>0</v>
      </c>
      <c r="G1317" s="26">
        <f>IF(ISNA(MATCH(A1317,祝日定義!E:E,0)),0,1)</f>
        <v>0</v>
      </c>
      <c r="H1317" s="26">
        <f>IF(ISNA(MATCH(B1317&amp;"/"&amp;C1317,そのた定義!E:E,0)), 0, 1)</f>
        <v>0</v>
      </c>
      <c r="I1317" s="26" t="b">
        <f t="shared" si="187"/>
        <v>0</v>
      </c>
      <c r="J1317" s="26">
        <v>0</v>
      </c>
      <c r="K1317" s="26" t="b">
        <f t="shared" si="182"/>
        <v>0</v>
      </c>
      <c r="L1317" s="26" t="b">
        <f t="shared" si="183"/>
        <v>0</v>
      </c>
      <c r="M1317" t="b">
        <f t="shared" si="188"/>
        <v>0</v>
      </c>
      <c r="N1317" t="b">
        <f t="shared" si="189"/>
        <v>0</v>
      </c>
    </row>
    <row r="1318" spans="1:14">
      <c r="A1318" s="29">
        <v>45878</v>
      </c>
      <c r="B1318" s="30">
        <f t="shared" si="181"/>
        <v>8</v>
      </c>
      <c r="C1318" s="30">
        <f t="shared" si="184"/>
        <v>9</v>
      </c>
      <c r="D1318" s="26">
        <f>MATCH(WEEKDAY(A1318),そのた定義!A:A,0)</f>
        <v>8</v>
      </c>
      <c r="E1318" s="33" t="str">
        <f t="shared" ca="1" si="185"/>
        <v>土</v>
      </c>
      <c r="F1318" s="26">
        <f t="shared" si="186"/>
        <v>1</v>
      </c>
      <c r="G1318" s="26">
        <f>IF(ISNA(MATCH(A1318,祝日定義!E:E,0)),0,1)</f>
        <v>0</v>
      </c>
      <c r="H1318" s="26">
        <f>IF(ISNA(MATCH(B1318&amp;"/"&amp;C1318,そのた定義!E:E,0)), 0, 1)</f>
        <v>0</v>
      </c>
      <c r="I1318" s="23" t="b">
        <f t="shared" si="187"/>
        <v>1</v>
      </c>
      <c r="J1318" s="26">
        <v>0</v>
      </c>
      <c r="K1318" s="26" t="b">
        <f t="shared" si="182"/>
        <v>0</v>
      </c>
      <c r="L1318" s="26" t="b">
        <f t="shared" si="183"/>
        <v>0</v>
      </c>
      <c r="M1318" t="b">
        <f t="shared" si="188"/>
        <v>0</v>
      </c>
      <c r="N1318" t="b">
        <f t="shared" si="189"/>
        <v>0</v>
      </c>
    </row>
    <row r="1319" spans="1:14">
      <c r="A1319" s="29">
        <v>45879</v>
      </c>
      <c r="B1319" s="30">
        <f t="shared" si="181"/>
        <v>8</v>
      </c>
      <c r="C1319" s="30">
        <f t="shared" si="184"/>
        <v>10</v>
      </c>
      <c r="D1319" s="26">
        <f>MATCH(WEEKDAY(A1319),そのた定義!A:A,0)</f>
        <v>2</v>
      </c>
      <c r="E1319" s="32" t="str">
        <f t="shared" ca="1" si="185"/>
        <v>日</v>
      </c>
      <c r="F1319" s="26">
        <f t="shared" si="186"/>
        <v>1</v>
      </c>
      <c r="G1319" s="26">
        <f>IF(ISNA(MATCH(A1319,祝日定義!E:E,0)),0,1)</f>
        <v>0</v>
      </c>
      <c r="H1319" s="26">
        <f>IF(ISNA(MATCH(B1319&amp;"/"&amp;C1319,そのた定義!E:E,0)), 0, 1)</f>
        <v>0</v>
      </c>
      <c r="I1319" s="23" t="b">
        <f t="shared" si="187"/>
        <v>1</v>
      </c>
      <c r="J1319" s="26">
        <v>0</v>
      </c>
      <c r="K1319" s="26" t="b">
        <f t="shared" si="182"/>
        <v>0</v>
      </c>
      <c r="L1319" s="26" t="b">
        <f t="shared" si="183"/>
        <v>0</v>
      </c>
      <c r="M1319" t="b">
        <f t="shared" si="188"/>
        <v>0</v>
      </c>
      <c r="N1319" t="b">
        <f t="shared" si="189"/>
        <v>0</v>
      </c>
    </row>
    <row r="1320" spans="1:14">
      <c r="A1320" s="29">
        <v>45880</v>
      </c>
      <c r="B1320" s="30">
        <f t="shared" si="181"/>
        <v>8</v>
      </c>
      <c r="C1320" s="30">
        <f t="shared" si="184"/>
        <v>11</v>
      </c>
      <c r="D1320" s="26">
        <f>MATCH(WEEKDAY(A1320),そのた定義!A:A,0)</f>
        <v>3</v>
      </c>
      <c r="E1320" s="31" t="str">
        <f t="shared" ca="1" si="185"/>
        <v>月</v>
      </c>
      <c r="F1320" s="26">
        <f t="shared" si="186"/>
        <v>0</v>
      </c>
      <c r="G1320" s="26">
        <f>IF(ISNA(MATCH(A1320,祝日定義!E:E,0)),0,1)</f>
        <v>1</v>
      </c>
      <c r="H1320" s="26">
        <f>IF(ISNA(MATCH(B1320&amp;"/"&amp;C1320,そのた定義!E:E,0)), 0, 1)</f>
        <v>0</v>
      </c>
      <c r="I1320" s="23" t="b">
        <f t="shared" si="187"/>
        <v>1</v>
      </c>
      <c r="J1320" s="26">
        <v>0</v>
      </c>
      <c r="K1320" s="26" t="b">
        <f t="shared" si="182"/>
        <v>0</v>
      </c>
      <c r="L1320" s="26" t="b">
        <f t="shared" si="183"/>
        <v>0</v>
      </c>
      <c r="M1320" t="b">
        <f t="shared" si="188"/>
        <v>0</v>
      </c>
      <c r="N1320" t="b">
        <f t="shared" si="189"/>
        <v>0</v>
      </c>
    </row>
    <row r="1321" spans="1:14">
      <c r="A1321" s="29">
        <v>45881</v>
      </c>
      <c r="B1321" s="30">
        <f t="shared" si="181"/>
        <v>8</v>
      </c>
      <c r="C1321" s="30">
        <f t="shared" si="184"/>
        <v>12</v>
      </c>
      <c r="D1321" s="26">
        <f>MATCH(WEEKDAY(A1321),そのた定義!A:A,0)</f>
        <v>4</v>
      </c>
      <c r="E1321" s="26" t="str">
        <f t="shared" ca="1" si="185"/>
        <v>火</v>
      </c>
      <c r="F1321" s="26">
        <f t="shared" si="186"/>
        <v>0</v>
      </c>
      <c r="G1321" s="26">
        <f>IF(ISNA(MATCH(A1321,祝日定義!E:E,0)),0,1)</f>
        <v>0</v>
      </c>
      <c r="H1321" s="26">
        <f>IF(ISNA(MATCH(B1321&amp;"/"&amp;C1321,そのた定義!E:E,0)), 0, 1)</f>
        <v>0</v>
      </c>
      <c r="I1321" s="26" t="b">
        <f t="shared" si="187"/>
        <v>0</v>
      </c>
      <c r="J1321" s="26">
        <v>3</v>
      </c>
      <c r="K1321" s="26" t="b">
        <f t="shared" si="182"/>
        <v>0</v>
      </c>
      <c r="L1321" s="26" t="b">
        <f t="shared" si="183"/>
        <v>0</v>
      </c>
      <c r="M1321" t="b">
        <f t="shared" si="188"/>
        <v>0</v>
      </c>
      <c r="N1321" t="b">
        <f t="shared" si="189"/>
        <v>0</v>
      </c>
    </row>
    <row r="1322" spans="1:14">
      <c r="A1322" s="29">
        <v>45882</v>
      </c>
      <c r="B1322" s="30">
        <f t="shared" si="181"/>
        <v>8</v>
      </c>
      <c r="C1322" s="30">
        <f t="shared" si="184"/>
        <v>13</v>
      </c>
      <c r="D1322" s="26">
        <f>MATCH(WEEKDAY(A1322),そのた定義!A:A,0)</f>
        <v>5</v>
      </c>
      <c r="E1322" s="26" t="str">
        <f t="shared" ca="1" si="185"/>
        <v>水</v>
      </c>
      <c r="F1322" s="26">
        <f t="shared" si="186"/>
        <v>0</v>
      </c>
      <c r="G1322" s="26">
        <f>IF(ISNA(MATCH(A1322,祝日定義!E:E,0)),0,1)</f>
        <v>0</v>
      </c>
      <c r="H1322" s="26">
        <f>IF(ISNA(MATCH(B1322&amp;"/"&amp;C1322,そのた定義!E:E,0)), 0, 1)</f>
        <v>0</v>
      </c>
      <c r="I1322" s="26" t="b">
        <f t="shared" si="187"/>
        <v>0</v>
      </c>
      <c r="J1322" s="26">
        <v>0</v>
      </c>
      <c r="K1322" s="26" t="b">
        <f t="shared" si="182"/>
        <v>0</v>
      </c>
      <c r="L1322" s="26" t="b">
        <f t="shared" si="183"/>
        <v>0</v>
      </c>
      <c r="M1322" t="b">
        <f t="shared" si="188"/>
        <v>0</v>
      </c>
      <c r="N1322" t="b">
        <f t="shared" si="189"/>
        <v>0</v>
      </c>
    </row>
    <row r="1323" spans="1:14">
      <c r="A1323" s="29">
        <v>45883</v>
      </c>
      <c r="B1323" s="30">
        <f t="shared" si="181"/>
        <v>8</v>
      </c>
      <c r="C1323" s="30">
        <f t="shared" si="184"/>
        <v>14</v>
      </c>
      <c r="D1323" s="26">
        <f>MATCH(WEEKDAY(A1323),そのた定義!A:A,0)</f>
        <v>6</v>
      </c>
      <c r="E1323" s="26" t="str">
        <f t="shared" ca="1" si="185"/>
        <v>木</v>
      </c>
      <c r="F1323" s="26">
        <f t="shared" si="186"/>
        <v>0</v>
      </c>
      <c r="G1323" s="26">
        <f>IF(ISNA(MATCH(A1323,祝日定義!E:E,0)),0,1)</f>
        <v>0</v>
      </c>
      <c r="H1323" s="26">
        <f>IF(ISNA(MATCH(B1323&amp;"/"&amp;C1323,そのた定義!E:E,0)), 0, 1)</f>
        <v>0</v>
      </c>
      <c r="I1323" s="26" t="b">
        <f t="shared" si="187"/>
        <v>0</v>
      </c>
      <c r="J1323" s="26">
        <v>0</v>
      </c>
      <c r="K1323" s="26" t="b">
        <f t="shared" si="182"/>
        <v>0</v>
      </c>
      <c r="L1323" s="26" t="b">
        <f t="shared" si="183"/>
        <v>0</v>
      </c>
      <c r="M1323" t="b">
        <f t="shared" si="188"/>
        <v>0</v>
      </c>
      <c r="N1323" t="b">
        <f t="shared" si="189"/>
        <v>0</v>
      </c>
    </row>
    <row r="1324" spans="1:14">
      <c r="A1324" s="29">
        <v>45884</v>
      </c>
      <c r="B1324" s="30">
        <f t="shared" si="181"/>
        <v>8</v>
      </c>
      <c r="C1324" s="30">
        <f t="shared" si="184"/>
        <v>15</v>
      </c>
      <c r="D1324" s="26">
        <f>MATCH(WEEKDAY(A1324),そのた定義!A:A,0)</f>
        <v>7</v>
      </c>
      <c r="E1324" s="26" t="str">
        <f t="shared" ca="1" si="185"/>
        <v>金</v>
      </c>
      <c r="F1324" s="26">
        <f t="shared" si="186"/>
        <v>0</v>
      </c>
      <c r="G1324" s="26">
        <f>IF(ISNA(MATCH(A1324,祝日定義!E:E,0)),0,1)</f>
        <v>0</v>
      </c>
      <c r="H1324" s="26">
        <f>IF(ISNA(MATCH(B1324&amp;"/"&amp;C1324,そのた定義!E:E,0)), 0, 1)</f>
        <v>0</v>
      </c>
      <c r="I1324" s="26" t="b">
        <f t="shared" si="187"/>
        <v>0</v>
      </c>
      <c r="J1324" s="26">
        <v>0</v>
      </c>
      <c r="K1324" s="26" t="b">
        <f t="shared" si="182"/>
        <v>0</v>
      </c>
      <c r="L1324" s="26" t="b">
        <f t="shared" si="183"/>
        <v>0</v>
      </c>
      <c r="M1324" t="b">
        <f t="shared" si="188"/>
        <v>0</v>
      </c>
      <c r="N1324" t="b">
        <f t="shared" si="189"/>
        <v>0</v>
      </c>
    </row>
    <row r="1325" spans="1:14">
      <c r="A1325" s="29">
        <v>45885</v>
      </c>
      <c r="B1325" s="30">
        <f t="shared" si="181"/>
        <v>8</v>
      </c>
      <c r="C1325" s="30">
        <f t="shared" si="184"/>
        <v>16</v>
      </c>
      <c r="D1325" s="26">
        <f>MATCH(WEEKDAY(A1325),そのた定義!A:A,0)</f>
        <v>8</v>
      </c>
      <c r="E1325" s="33" t="str">
        <f t="shared" ca="1" si="185"/>
        <v>土</v>
      </c>
      <c r="F1325" s="26">
        <f t="shared" si="186"/>
        <v>1</v>
      </c>
      <c r="G1325" s="26">
        <f>IF(ISNA(MATCH(A1325,祝日定義!E:E,0)),0,1)</f>
        <v>0</v>
      </c>
      <c r="H1325" s="26">
        <f>IF(ISNA(MATCH(B1325&amp;"/"&amp;C1325,そのた定義!E:E,0)), 0, 1)</f>
        <v>0</v>
      </c>
      <c r="I1325" s="23" t="b">
        <f t="shared" si="187"/>
        <v>1</v>
      </c>
      <c r="J1325" s="26">
        <v>0</v>
      </c>
      <c r="K1325" s="26" t="b">
        <f t="shared" si="182"/>
        <v>0</v>
      </c>
      <c r="L1325" s="26" t="b">
        <f t="shared" si="183"/>
        <v>0</v>
      </c>
      <c r="M1325" t="b">
        <f t="shared" si="188"/>
        <v>0</v>
      </c>
      <c r="N1325" t="b">
        <f t="shared" si="189"/>
        <v>0</v>
      </c>
    </row>
    <row r="1326" spans="1:14">
      <c r="A1326" s="29">
        <v>45886</v>
      </c>
      <c r="B1326" s="30">
        <f t="shared" si="181"/>
        <v>8</v>
      </c>
      <c r="C1326" s="30">
        <f t="shared" si="184"/>
        <v>17</v>
      </c>
      <c r="D1326" s="26">
        <f>MATCH(WEEKDAY(A1326),そのた定義!A:A,0)</f>
        <v>2</v>
      </c>
      <c r="E1326" s="32" t="str">
        <f t="shared" ca="1" si="185"/>
        <v>日</v>
      </c>
      <c r="F1326" s="26">
        <f t="shared" si="186"/>
        <v>1</v>
      </c>
      <c r="G1326" s="26">
        <f>IF(ISNA(MATCH(A1326,祝日定義!E:E,0)),0,1)</f>
        <v>0</v>
      </c>
      <c r="H1326" s="26">
        <f>IF(ISNA(MATCH(B1326&amp;"/"&amp;C1326,そのた定義!E:E,0)), 0, 1)</f>
        <v>0</v>
      </c>
      <c r="I1326" s="23" t="b">
        <f t="shared" si="187"/>
        <v>1</v>
      </c>
      <c r="J1326" s="26">
        <v>0</v>
      </c>
      <c r="K1326" s="26" t="b">
        <f t="shared" si="182"/>
        <v>0</v>
      </c>
      <c r="L1326" s="26" t="b">
        <f t="shared" si="183"/>
        <v>0</v>
      </c>
      <c r="M1326" t="b">
        <f t="shared" si="188"/>
        <v>0</v>
      </c>
      <c r="N1326" t="b">
        <f t="shared" si="189"/>
        <v>0</v>
      </c>
    </row>
    <row r="1327" spans="1:14">
      <c r="A1327" s="29">
        <v>45887</v>
      </c>
      <c r="B1327" s="30">
        <f t="shared" si="181"/>
        <v>8</v>
      </c>
      <c r="C1327" s="30">
        <f t="shared" si="184"/>
        <v>18</v>
      </c>
      <c r="D1327" s="26">
        <f>MATCH(WEEKDAY(A1327),そのた定義!A:A,0)</f>
        <v>3</v>
      </c>
      <c r="E1327" s="26" t="str">
        <f t="shared" ca="1" si="185"/>
        <v>月</v>
      </c>
      <c r="F1327" s="26">
        <f t="shared" si="186"/>
        <v>0</v>
      </c>
      <c r="G1327" s="26">
        <f>IF(ISNA(MATCH(A1327,祝日定義!E:E,0)),0,1)</f>
        <v>0</v>
      </c>
      <c r="H1327" s="26">
        <f>IF(ISNA(MATCH(B1327&amp;"/"&amp;C1327,そのた定義!E:E,0)), 0, 1)</f>
        <v>0</v>
      </c>
      <c r="I1327" s="26" t="b">
        <f t="shared" si="187"/>
        <v>0</v>
      </c>
      <c r="J1327" s="26">
        <v>2</v>
      </c>
      <c r="K1327" s="26" t="b">
        <f t="shared" si="182"/>
        <v>0</v>
      </c>
      <c r="L1327" s="26" t="b">
        <f t="shared" si="183"/>
        <v>0</v>
      </c>
      <c r="M1327" t="b">
        <f t="shared" si="188"/>
        <v>0</v>
      </c>
      <c r="N1327" t="b">
        <f t="shared" si="189"/>
        <v>0</v>
      </c>
    </row>
    <row r="1328" spans="1:14">
      <c r="A1328" s="29">
        <v>45888</v>
      </c>
      <c r="B1328" s="30">
        <f t="shared" si="181"/>
        <v>8</v>
      </c>
      <c r="C1328" s="30">
        <f t="shared" si="184"/>
        <v>19</v>
      </c>
      <c r="D1328" s="26">
        <f>MATCH(WEEKDAY(A1328),そのた定義!A:A,0)</f>
        <v>4</v>
      </c>
      <c r="E1328" s="26" t="str">
        <f t="shared" ca="1" si="185"/>
        <v>火</v>
      </c>
      <c r="F1328" s="26">
        <f t="shared" si="186"/>
        <v>0</v>
      </c>
      <c r="G1328" s="26">
        <f>IF(ISNA(MATCH(A1328,祝日定義!E:E,0)),0,1)</f>
        <v>0</v>
      </c>
      <c r="H1328" s="26">
        <f>IF(ISNA(MATCH(B1328&amp;"/"&amp;C1328,そのた定義!E:E,0)), 0, 1)</f>
        <v>0</v>
      </c>
      <c r="I1328" s="26" t="b">
        <f t="shared" si="187"/>
        <v>0</v>
      </c>
      <c r="J1328" s="26">
        <v>0</v>
      </c>
      <c r="K1328" s="26" t="b">
        <f t="shared" si="182"/>
        <v>0</v>
      </c>
      <c r="L1328" s="26" t="b">
        <f t="shared" si="183"/>
        <v>0</v>
      </c>
      <c r="M1328" t="b">
        <f t="shared" si="188"/>
        <v>0</v>
      </c>
      <c r="N1328" t="b">
        <f t="shared" si="189"/>
        <v>0</v>
      </c>
    </row>
    <row r="1329" spans="1:14">
      <c r="A1329" s="29">
        <v>45889</v>
      </c>
      <c r="B1329" s="30">
        <f t="shared" si="181"/>
        <v>8</v>
      </c>
      <c r="C1329" s="30">
        <f t="shared" si="184"/>
        <v>20</v>
      </c>
      <c r="D1329" s="26">
        <f>MATCH(WEEKDAY(A1329),そのた定義!A:A,0)</f>
        <v>5</v>
      </c>
      <c r="E1329" s="26" t="str">
        <f t="shared" ca="1" si="185"/>
        <v>水</v>
      </c>
      <c r="F1329" s="26">
        <f t="shared" si="186"/>
        <v>0</v>
      </c>
      <c r="G1329" s="26">
        <f>IF(ISNA(MATCH(A1329,祝日定義!E:E,0)),0,1)</f>
        <v>0</v>
      </c>
      <c r="H1329" s="26">
        <f>IF(ISNA(MATCH(B1329&amp;"/"&amp;C1329,そのた定義!E:E,0)), 0, 1)</f>
        <v>0</v>
      </c>
      <c r="I1329" s="26" t="b">
        <f t="shared" si="187"/>
        <v>0</v>
      </c>
      <c r="J1329" s="26">
        <v>0</v>
      </c>
      <c r="K1329" s="26" t="b">
        <f t="shared" si="182"/>
        <v>0</v>
      </c>
      <c r="L1329" s="26" t="b">
        <f t="shared" si="183"/>
        <v>0</v>
      </c>
      <c r="M1329" t="b">
        <f t="shared" si="188"/>
        <v>0</v>
      </c>
      <c r="N1329" t="b">
        <f t="shared" si="189"/>
        <v>0</v>
      </c>
    </row>
    <row r="1330" spans="1:14">
      <c r="A1330" s="29">
        <v>45890</v>
      </c>
      <c r="B1330" s="30">
        <f t="shared" si="181"/>
        <v>8</v>
      </c>
      <c r="C1330" s="30">
        <f t="shared" si="184"/>
        <v>21</v>
      </c>
      <c r="D1330" s="26">
        <f>MATCH(WEEKDAY(A1330),そのた定義!A:A,0)</f>
        <v>6</v>
      </c>
      <c r="E1330" s="26" t="str">
        <f t="shared" ca="1" si="185"/>
        <v>木</v>
      </c>
      <c r="F1330" s="26">
        <f t="shared" si="186"/>
        <v>0</v>
      </c>
      <c r="G1330" s="26">
        <f>IF(ISNA(MATCH(A1330,祝日定義!E:E,0)),0,1)</f>
        <v>0</v>
      </c>
      <c r="H1330" s="26">
        <f>IF(ISNA(MATCH(B1330&amp;"/"&amp;C1330,そのた定義!E:E,0)), 0, 1)</f>
        <v>0</v>
      </c>
      <c r="I1330" s="26" t="b">
        <f t="shared" si="187"/>
        <v>0</v>
      </c>
      <c r="J1330" s="26">
        <v>0</v>
      </c>
      <c r="K1330" s="26" t="b">
        <f t="shared" si="182"/>
        <v>0</v>
      </c>
      <c r="L1330" s="26" t="b">
        <f t="shared" si="183"/>
        <v>0</v>
      </c>
      <c r="M1330" t="b">
        <f t="shared" si="188"/>
        <v>0</v>
      </c>
      <c r="N1330" t="b">
        <f t="shared" si="189"/>
        <v>0</v>
      </c>
    </row>
    <row r="1331" spans="1:14">
      <c r="A1331" s="29">
        <v>45891</v>
      </c>
      <c r="B1331" s="30">
        <f t="shared" si="181"/>
        <v>8</v>
      </c>
      <c r="C1331" s="30">
        <f t="shared" si="184"/>
        <v>22</v>
      </c>
      <c r="D1331" s="26">
        <f>MATCH(WEEKDAY(A1331),そのた定義!A:A,0)</f>
        <v>7</v>
      </c>
      <c r="E1331" s="26" t="str">
        <f t="shared" ca="1" si="185"/>
        <v>金</v>
      </c>
      <c r="F1331" s="26">
        <f t="shared" si="186"/>
        <v>0</v>
      </c>
      <c r="G1331" s="26">
        <f>IF(ISNA(MATCH(A1331,祝日定義!E:E,0)),0,1)</f>
        <v>0</v>
      </c>
      <c r="H1331" s="26">
        <f>IF(ISNA(MATCH(B1331&amp;"/"&amp;C1331,そのた定義!E:E,0)), 0, 1)</f>
        <v>0</v>
      </c>
      <c r="I1331" s="26" t="b">
        <f t="shared" si="187"/>
        <v>0</v>
      </c>
      <c r="J1331" s="26">
        <v>0</v>
      </c>
      <c r="K1331" s="26" t="b">
        <f t="shared" si="182"/>
        <v>0</v>
      </c>
      <c r="L1331" s="26" t="b">
        <f t="shared" si="183"/>
        <v>0</v>
      </c>
      <c r="M1331" t="b">
        <f t="shared" si="188"/>
        <v>0</v>
      </c>
      <c r="N1331" t="b">
        <f t="shared" si="189"/>
        <v>0</v>
      </c>
    </row>
    <row r="1332" spans="1:14">
      <c r="A1332" s="29">
        <v>45892</v>
      </c>
      <c r="B1332" s="30">
        <f t="shared" si="181"/>
        <v>8</v>
      </c>
      <c r="C1332" s="30">
        <f t="shared" si="184"/>
        <v>23</v>
      </c>
      <c r="D1332" s="26">
        <f>MATCH(WEEKDAY(A1332),そのた定義!A:A,0)</f>
        <v>8</v>
      </c>
      <c r="E1332" s="33" t="str">
        <f t="shared" ca="1" si="185"/>
        <v>土</v>
      </c>
      <c r="F1332" s="26">
        <f t="shared" si="186"/>
        <v>1</v>
      </c>
      <c r="G1332" s="26">
        <f>IF(ISNA(MATCH(A1332,祝日定義!E:E,0)),0,1)</f>
        <v>0</v>
      </c>
      <c r="H1332" s="26">
        <f>IF(ISNA(MATCH(B1332&amp;"/"&amp;C1332,そのた定義!E:E,0)), 0, 1)</f>
        <v>0</v>
      </c>
      <c r="I1332" s="23" t="b">
        <f t="shared" si="187"/>
        <v>1</v>
      </c>
      <c r="J1332" s="26">
        <v>0</v>
      </c>
      <c r="K1332" s="26" t="b">
        <f t="shared" si="182"/>
        <v>0</v>
      </c>
      <c r="L1332" s="26" t="b">
        <f t="shared" si="183"/>
        <v>0</v>
      </c>
      <c r="M1332" t="b">
        <f t="shared" si="188"/>
        <v>0</v>
      </c>
      <c r="N1332" t="b">
        <f t="shared" si="189"/>
        <v>0</v>
      </c>
    </row>
    <row r="1333" spans="1:14">
      <c r="A1333" s="29">
        <v>45893</v>
      </c>
      <c r="B1333" s="30">
        <f t="shared" si="181"/>
        <v>8</v>
      </c>
      <c r="C1333" s="30">
        <f t="shared" si="184"/>
        <v>24</v>
      </c>
      <c r="D1333" s="26">
        <f>MATCH(WEEKDAY(A1333),そのた定義!A:A,0)</f>
        <v>2</v>
      </c>
      <c r="E1333" s="32" t="str">
        <f t="shared" ca="1" si="185"/>
        <v>日</v>
      </c>
      <c r="F1333" s="26">
        <f t="shared" si="186"/>
        <v>1</v>
      </c>
      <c r="G1333" s="26">
        <f>IF(ISNA(MATCH(A1333,祝日定義!E:E,0)),0,1)</f>
        <v>0</v>
      </c>
      <c r="H1333" s="26">
        <f>IF(ISNA(MATCH(B1333&amp;"/"&amp;C1333,そのた定義!E:E,0)), 0, 1)</f>
        <v>0</v>
      </c>
      <c r="I1333" s="23" t="b">
        <f t="shared" si="187"/>
        <v>1</v>
      </c>
      <c r="J1333" s="26">
        <v>0</v>
      </c>
      <c r="K1333" s="26" t="b">
        <f t="shared" si="182"/>
        <v>0</v>
      </c>
      <c r="L1333" s="26" t="b">
        <f t="shared" si="183"/>
        <v>0</v>
      </c>
      <c r="M1333" t="b">
        <f t="shared" si="188"/>
        <v>0</v>
      </c>
      <c r="N1333" t="b">
        <f t="shared" si="189"/>
        <v>0</v>
      </c>
    </row>
    <row r="1334" spans="1:14">
      <c r="A1334" s="29">
        <v>45894</v>
      </c>
      <c r="B1334" s="30">
        <f t="shared" si="181"/>
        <v>8</v>
      </c>
      <c r="C1334" s="30">
        <f t="shared" si="184"/>
        <v>25</v>
      </c>
      <c r="D1334" s="26">
        <f>MATCH(WEEKDAY(A1334),そのた定義!A:A,0)</f>
        <v>3</v>
      </c>
      <c r="E1334" s="26" t="str">
        <f t="shared" ca="1" si="185"/>
        <v>月</v>
      </c>
      <c r="F1334" s="26">
        <f t="shared" si="186"/>
        <v>0</v>
      </c>
      <c r="G1334" s="26">
        <f>IF(ISNA(MATCH(A1334,祝日定義!E:E,0)),0,1)</f>
        <v>0</v>
      </c>
      <c r="H1334" s="26">
        <f>IF(ISNA(MATCH(B1334&amp;"/"&amp;C1334,そのた定義!E:E,0)), 0, 1)</f>
        <v>0</v>
      </c>
      <c r="I1334" s="26" t="b">
        <f t="shared" si="187"/>
        <v>0</v>
      </c>
      <c r="J1334" s="26">
        <v>2</v>
      </c>
      <c r="K1334" s="26" t="b">
        <f t="shared" si="182"/>
        <v>0</v>
      </c>
      <c r="L1334" s="23" t="b">
        <f t="shared" si="183"/>
        <v>1</v>
      </c>
      <c r="M1334" t="b">
        <f t="shared" si="188"/>
        <v>0</v>
      </c>
      <c r="N1334" t="b">
        <f t="shared" si="189"/>
        <v>0</v>
      </c>
    </row>
    <row r="1335" spans="1:14">
      <c r="A1335" s="29">
        <v>45895</v>
      </c>
      <c r="B1335" s="30">
        <f t="shared" si="181"/>
        <v>8</v>
      </c>
      <c r="C1335" s="30">
        <f t="shared" si="184"/>
        <v>26</v>
      </c>
      <c r="D1335" s="26">
        <f>MATCH(WEEKDAY(A1335),そのた定義!A:A,0)</f>
        <v>4</v>
      </c>
      <c r="E1335" s="26" t="str">
        <f t="shared" ca="1" si="185"/>
        <v>火</v>
      </c>
      <c r="F1335" s="26">
        <f t="shared" si="186"/>
        <v>0</v>
      </c>
      <c r="G1335" s="26">
        <f>IF(ISNA(MATCH(A1335,祝日定義!E:E,0)),0,1)</f>
        <v>0</v>
      </c>
      <c r="H1335" s="26">
        <f>IF(ISNA(MATCH(B1335&amp;"/"&amp;C1335,そのた定義!E:E,0)), 0, 1)</f>
        <v>0</v>
      </c>
      <c r="I1335" s="26" t="b">
        <f t="shared" si="187"/>
        <v>0</v>
      </c>
      <c r="J1335" s="26">
        <v>0</v>
      </c>
      <c r="K1335" s="26" t="b">
        <f t="shared" si="182"/>
        <v>0</v>
      </c>
      <c r="L1335" s="26" t="b">
        <f t="shared" si="183"/>
        <v>0</v>
      </c>
      <c r="M1335" t="b">
        <f t="shared" si="188"/>
        <v>0</v>
      </c>
      <c r="N1335" t="b">
        <f t="shared" si="189"/>
        <v>0</v>
      </c>
    </row>
    <row r="1336" spans="1:14">
      <c r="A1336" s="29">
        <v>45896</v>
      </c>
      <c r="B1336" s="30">
        <f t="shared" si="181"/>
        <v>8</v>
      </c>
      <c r="C1336" s="30">
        <f t="shared" si="184"/>
        <v>27</v>
      </c>
      <c r="D1336" s="26">
        <f>MATCH(WEEKDAY(A1336),そのた定義!A:A,0)</f>
        <v>5</v>
      </c>
      <c r="E1336" s="26" t="str">
        <f t="shared" ca="1" si="185"/>
        <v>水</v>
      </c>
      <c r="F1336" s="26">
        <f t="shared" si="186"/>
        <v>0</v>
      </c>
      <c r="G1336" s="26">
        <f>IF(ISNA(MATCH(A1336,祝日定義!E:E,0)),0,1)</f>
        <v>0</v>
      </c>
      <c r="H1336" s="26">
        <f>IF(ISNA(MATCH(B1336&amp;"/"&amp;C1336,そのた定義!E:E,0)), 0, 1)</f>
        <v>0</v>
      </c>
      <c r="I1336" s="26" t="b">
        <f t="shared" si="187"/>
        <v>0</v>
      </c>
      <c r="J1336" s="26">
        <v>0</v>
      </c>
      <c r="K1336" s="26" t="b">
        <f t="shared" si="182"/>
        <v>0</v>
      </c>
      <c r="L1336" s="26" t="b">
        <f t="shared" si="183"/>
        <v>0</v>
      </c>
      <c r="M1336" t="b">
        <f t="shared" si="188"/>
        <v>0</v>
      </c>
      <c r="N1336" t="b">
        <f t="shared" si="189"/>
        <v>0</v>
      </c>
    </row>
    <row r="1337" spans="1:14">
      <c r="A1337" s="29">
        <v>45897</v>
      </c>
      <c r="B1337" s="30">
        <f t="shared" si="181"/>
        <v>8</v>
      </c>
      <c r="C1337" s="30">
        <f t="shared" si="184"/>
        <v>28</v>
      </c>
      <c r="D1337" s="26">
        <f>MATCH(WEEKDAY(A1337),そのた定義!A:A,0)</f>
        <v>6</v>
      </c>
      <c r="E1337" s="26" t="str">
        <f t="shared" ca="1" si="185"/>
        <v>木</v>
      </c>
      <c r="F1337" s="26">
        <f t="shared" si="186"/>
        <v>0</v>
      </c>
      <c r="G1337" s="26">
        <f>IF(ISNA(MATCH(A1337,祝日定義!E:E,0)),0,1)</f>
        <v>0</v>
      </c>
      <c r="H1337" s="26">
        <f>IF(ISNA(MATCH(B1337&amp;"/"&amp;C1337,そのた定義!E:E,0)), 0, 1)</f>
        <v>0</v>
      </c>
      <c r="I1337" s="26" t="b">
        <f t="shared" si="187"/>
        <v>0</v>
      </c>
      <c r="J1337" s="26">
        <v>0</v>
      </c>
      <c r="K1337" s="26" t="b">
        <f t="shared" si="182"/>
        <v>0</v>
      </c>
      <c r="L1337" s="26" t="b">
        <f t="shared" si="183"/>
        <v>0</v>
      </c>
      <c r="M1337" t="b">
        <f t="shared" si="188"/>
        <v>0</v>
      </c>
      <c r="N1337" t="b">
        <f t="shared" si="189"/>
        <v>0</v>
      </c>
    </row>
    <row r="1338" spans="1:14">
      <c r="A1338" s="29">
        <v>45898</v>
      </c>
      <c r="B1338" s="30">
        <f t="shared" si="181"/>
        <v>8</v>
      </c>
      <c r="C1338" s="30">
        <f t="shared" si="184"/>
        <v>29</v>
      </c>
      <c r="D1338" s="26">
        <f>MATCH(WEEKDAY(A1338),そのた定義!A:A,0)</f>
        <v>7</v>
      </c>
      <c r="E1338" s="26" t="str">
        <f t="shared" ca="1" si="185"/>
        <v>金</v>
      </c>
      <c r="F1338" s="26">
        <f t="shared" si="186"/>
        <v>0</v>
      </c>
      <c r="G1338" s="26">
        <f>IF(ISNA(MATCH(A1338,祝日定義!E:E,0)),0,1)</f>
        <v>0</v>
      </c>
      <c r="H1338" s="26">
        <f>IF(ISNA(MATCH(B1338&amp;"/"&amp;C1338,そのた定義!E:E,0)), 0, 1)</f>
        <v>0</v>
      </c>
      <c r="I1338" s="26" t="b">
        <f t="shared" si="187"/>
        <v>0</v>
      </c>
      <c r="J1338" s="26">
        <v>0</v>
      </c>
      <c r="K1338" s="26" t="b">
        <f t="shared" si="182"/>
        <v>0</v>
      </c>
      <c r="L1338" s="26" t="b">
        <f t="shared" si="183"/>
        <v>0</v>
      </c>
      <c r="M1338" t="b">
        <f t="shared" si="188"/>
        <v>0</v>
      </c>
      <c r="N1338" t="b">
        <f t="shared" si="189"/>
        <v>0</v>
      </c>
    </row>
    <row r="1339" spans="1:14">
      <c r="A1339" s="29">
        <v>45899</v>
      </c>
      <c r="B1339" s="30">
        <f t="shared" si="181"/>
        <v>8</v>
      </c>
      <c r="C1339" s="30">
        <f t="shared" si="184"/>
        <v>30</v>
      </c>
      <c r="D1339" s="26">
        <f>MATCH(WEEKDAY(A1339),そのた定義!A:A,0)</f>
        <v>8</v>
      </c>
      <c r="E1339" s="33" t="str">
        <f t="shared" ca="1" si="185"/>
        <v>土</v>
      </c>
      <c r="F1339" s="26">
        <f t="shared" si="186"/>
        <v>1</v>
      </c>
      <c r="G1339" s="26">
        <f>IF(ISNA(MATCH(A1339,祝日定義!E:E,0)),0,1)</f>
        <v>0</v>
      </c>
      <c r="H1339" s="26">
        <f>IF(ISNA(MATCH(B1339&amp;"/"&amp;C1339,そのた定義!E:E,0)), 0, 1)</f>
        <v>0</v>
      </c>
      <c r="I1339" s="23" t="b">
        <f t="shared" si="187"/>
        <v>1</v>
      </c>
      <c r="J1339" s="26">
        <v>0</v>
      </c>
      <c r="K1339" s="26" t="b">
        <f t="shared" si="182"/>
        <v>0</v>
      </c>
      <c r="L1339" s="26" t="b">
        <f t="shared" si="183"/>
        <v>0</v>
      </c>
      <c r="M1339" t="b">
        <f t="shared" si="188"/>
        <v>0</v>
      </c>
      <c r="N1339" t="b">
        <f t="shared" si="189"/>
        <v>0</v>
      </c>
    </row>
    <row r="1340" spans="1:14">
      <c r="A1340" s="29">
        <v>45900</v>
      </c>
      <c r="B1340" s="30">
        <f t="shared" si="181"/>
        <v>8</v>
      </c>
      <c r="C1340" s="30">
        <f t="shared" si="184"/>
        <v>31</v>
      </c>
      <c r="D1340" s="26">
        <f>MATCH(WEEKDAY(A1340),そのた定義!A:A,0)</f>
        <v>2</v>
      </c>
      <c r="E1340" s="32" t="str">
        <f t="shared" ca="1" si="185"/>
        <v>日</v>
      </c>
      <c r="F1340" s="26">
        <f t="shared" si="186"/>
        <v>1</v>
      </c>
      <c r="G1340" s="26">
        <f>IF(ISNA(MATCH(A1340,祝日定義!E:E,0)),0,1)</f>
        <v>0</v>
      </c>
      <c r="H1340" s="26">
        <f>IF(ISNA(MATCH(B1340&amp;"/"&amp;C1340,そのた定義!E:E,0)), 0, 1)</f>
        <v>0</v>
      </c>
      <c r="I1340" s="23" t="b">
        <f t="shared" si="187"/>
        <v>1</v>
      </c>
      <c r="J1340" s="26">
        <v>0</v>
      </c>
      <c r="K1340" s="26" t="b">
        <f t="shared" si="182"/>
        <v>0</v>
      </c>
      <c r="L1340" s="26" t="b">
        <f t="shared" si="183"/>
        <v>0</v>
      </c>
      <c r="M1340" t="b">
        <f t="shared" si="188"/>
        <v>0</v>
      </c>
      <c r="N1340" t="b">
        <f t="shared" si="189"/>
        <v>1</v>
      </c>
    </row>
    <row r="1341" spans="1:14">
      <c r="A1341" s="29">
        <v>45901</v>
      </c>
      <c r="B1341" s="30">
        <f t="shared" si="181"/>
        <v>9</v>
      </c>
      <c r="C1341" s="30">
        <f t="shared" si="184"/>
        <v>1</v>
      </c>
      <c r="D1341" s="26">
        <f>MATCH(WEEKDAY(A1341),そのた定義!A:A,0)</f>
        <v>3</v>
      </c>
      <c r="E1341" s="26" t="str">
        <f t="shared" ca="1" si="185"/>
        <v>月</v>
      </c>
      <c r="F1341" s="26">
        <f t="shared" si="186"/>
        <v>0</v>
      </c>
      <c r="G1341" s="26">
        <f>IF(ISNA(MATCH(A1341,祝日定義!E:E,0)),0,1)</f>
        <v>0</v>
      </c>
      <c r="H1341" s="26">
        <f>IF(ISNA(MATCH(B1341&amp;"/"&amp;C1341,そのた定義!E:E,0)), 0, 1)</f>
        <v>0</v>
      </c>
      <c r="I1341" s="26" t="b">
        <f t="shared" si="187"/>
        <v>0</v>
      </c>
      <c r="J1341" s="26">
        <v>2</v>
      </c>
      <c r="K1341" s="26" t="b">
        <f t="shared" si="182"/>
        <v>0</v>
      </c>
      <c r="L1341" s="26" t="b">
        <f t="shared" si="183"/>
        <v>0</v>
      </c>
      <c r="M1341" t="b">
        <f t="shared" si="188"/>
        <v>1</v>
      </c>
      <c r="N1341" t="b">
        <f t="shared" si="189"/>
        <v>0</v>
      </c>
    </row>
    <row r="1342" spans="1:14">
      <c r="A1342" s="29">
        <v>45902</v>
      </c>
      <c r="B1342" s="30">
        <f t="shared" si="181"/>
        <v>9</v>
      </c>
      <c r="C1342" s="30">
        <f t="shared" si="184"/>
        <v>2</v>
      </c>
      <c r="D1342" s="26">
        <f>MATCH(WEEKDAY(A1342),そのた定義!A:A,0)</f>
        <v>4</v>
      </c>
      <c r="E1342" s="26" t="str">
        <f t="shared" ca="1" si="185"/>
        <v>火</v>
      </c>
      <c r="F1342" s="26">
        <f t="shared" si="186"/>
        <v>0</v>
      </c>
      <c r="G1342" s="26">
        <f>IF(ISNA(MATCH(A1342,祝日定義!E:E,0)),0,1)</f>
        <v>0</v>
      </c>
      <c r="H1342" s="26">
        <f>IF(ISNA(MATCH(B1342&amp;"/"&amp;C1342,そのた定義!E:E,0)), 0, 1)</f>
        <v>0</v>
      </c>
      <c r="I1342" s="26" t="b">
        <f t="shared" si="187"/>
        <v>0</v>
      </c>
      <c r="J1342" s="26">
        <v>0</v>
      </c>
      <c r="K1342" s="26" t="b">
        <f t="shared" si="182"/>
        <v>0</v>
      </c>
      <c r="L1342" s="26" t="b">
        <f t="shared" si="183"/>
        <v>0</v>
      </c>
      <c r="M1342" t="b">
        <f t="shared" si="188"/>
        <v>0</v>
      </c>
      <c r="N1342" t="b">
        <f t="shared" si="189"/>
        <v>0</v>
      </c>
    </row>
    <row r="1343" spans="1:14">
      <c r="A1343" s="29">
        <v>45903</v>
      </c>
      <c r="B1343" s="30">
        <f t="shared" si="181"/>
        <v>9</v>
      </c>
      <c r="C1343" s="30">
        <f t="shared" si="184"/>
        <v>3</v>
      </c>
      <c r="D1343" s="26">
        <f>MATCH(WEEKDAY(A1343),そのた定義!A:A,0)</f>
        <v>5</v>
      </c>
      <c r="E1343" s="26" t="str">
        <f t="shared" ca="1" si="185"/>
        <v>水</v>
      </c>
      <c r="F1343" s="26">
        <f t="shared" si="186"/>
        <v>0</v>
      </c>
      <c r="G1343" s="26">
        <f>IF(ISNA(MATCH(A1343,祝日定義!E:E,0)),0,1)</f>
        <v>0</v>
      </c>
      <c r="H1343" s="26">
        <f>IF(ISNA(MATCH(B1343&amp;"/"&amp;C1343,そのた定義!E:E,0)), 0, 1)</f>
        <v>0</v>
      </c>
      <c r="I1343" s="26" t="b">
        <f t="shared" si="187"/>
        <v>0</v>
      </c>
      <c r="J1343" s="26">
        <v>0</v>
      </c>
      <c r="K1343" s="26" t="b">
        <f t="shared" si="182"/>
        <v>0</v>
      </c>
      <c r="L1343" s="26" t="b">
        <f t="shared" si="183"/>
        <v>0</v>
      </c>
      <c r="M1343" t="b">
        <f t="shared" si="188"/>
        <v>0</v>
      </c>
      <c r="N1343" t="b">
        <f t="shared" si="189"/>
        <v>0</v>
      </c>
    </row>
    <row r="1344" spans="1:14">
      <c r="A1344" s="29">
        <v>45904</v>
      </c>
      <c r="B1344" s="30">
        <f t="shared" si="181"/>
        <v>9</v>
      </c>
      <c r="C1344" s="30">
        <f t="shared" si="184"/>
        <v>4</v>
      </c>
      <c r="D1344" s="26">
        <f>MATCH(WEEKDAY(A1344),そのた定義!A:A,0)</f>
        <v>6</v>
      </c>
      <c r="E1344" s="26" t="str">
        <f t="shared" ca="1" si="185"/>
        <v>木</v>
      </c>
      <c r="F1344" s="26">
        <f t="shared" si="186"/>
        <v>0</v>
      </c>
      <c r="G1344" s="26">
        <f>IF(ISNA(MATCH(A1344,祝日定義!E:E,0)),0,1)</f>
        <v>0</v>
      </c>
      <c r="H1344" s="26">
        <f>IF(ISNA(MATCH(B1344&amp;"/"&amp;C1344,そのた定義!E:E,0)), 0, 1)</f>
        <v>0</v>
      </c>
      <c r="I1344" s="26" t="b">
        <f t="shared" si="187"/>
        <v>0</v>
      </c>
      <c r="J1344" s="26">
        <v>0</v>
      </c>
      <c r="K1344" s="26" t="b">
        <f t="shared" si="182"/>
        <v>0</v>
      </c>
      <c r="L1344" s="26" t="b">
        <f t="shared" si="183"/>
        <v>0</v>
      </c>
      <c r="M1344" t="b">
        <f t="shared" si="188"/>
        <v>0</v>
      </c>
      <c r="N1344" t="b">
        <f t="shared" si="189"/>
        <v>0</v>
      </c>
    </row>
    <row r="1345" spans="1:14">
      <c r="A1345" s="29">
        <v>45905</v>
      </c>
      <c r="B1345" s="30">
        <f t="shared" si="181"/>
        <v>9</v>
      </c>
      <c r="C1345" s="30">
        <f t="shared" si="184"/>
        <v>5</v>
      </c>
      <c r="D1345" s="26">
        <f>MATCH(WEEKDAY(A1345),そのた定義!A:A,0)</f>
        <v>7</v>
      </c>
      <c r="E1345" s="26" t="str">
        <f t="shared" ca="1" si="185"/>
        <v>金</v>
      </c>
      <c r="F1345" s="26">
        <f t="shared" si="186"/>
        <v>0</v>
      </c>
      <c r="G1345" s="26">
        <f>IF(ISNA(MATCH(A1345,祝日定義!E:E,0)),0,1)</f>
        <v>0</v>
      </c>
      <c r="H1345" s="26">
        <f>IF(ISNA(MATCH(B1345&amp;"/"&amp;C1345,そのた定義!E:E,0)), 0, 1)</f>
        <v>0</v>
      </c>
      <c r="I1345" s="26" t="b">
        <f t="shared" si="187"/>
        <v>0</v>
      </c>
      <c r="J1345" s="26">
        <v>0</v>
      </c>
      <c r="K1345" s="26" t="b">
        <f t="shared" si="182"/>
        <v>0</v>
      </c>
      <c r="L1345" s="26" t="b">
        <f t="shared" si="183"/>
        <v>0</v>
      </c>
      <c r="M1345" t="b">
        <f t="shared" si="188"/>
        <v>0</v>
      </c>
      <c r="N1345" t="b">
        <f t="shared" si="189"/>
        <v>0</v>
      </c>
    </row>
    <row r="1346" spans="1:14">
      <c r="A1346" s="29">
        <v>45906</v>
      </c>
      <c r="B1346" s="30">
        <f t="shared" ref="B1346:B1409" si="190">MONTH(A1346)</f>
        <v>9</v>
      </c>
      <c r="C1346" s="30">
        <f t="shared" si="184"/>
        <v>6</v>
      </c>
      <c r="D1346" s="26">
        <f>MATCH(WEEKDAY(A1346),そのた定義!A:A,0)</f>
        <v>8</v>
      </c>
      <c r="E1346" s="33" t="str">
        <f t="shared" ca="1" si="185"/>
        <v>土</v>
      </c>
      <c r="F1346" s="26">
        <f t="shared" si="186"/>
        <v>1</v>
      </c>
      <c r="G1346" s="26">
        <f>IF(ISNA(MATCH(A1346,祝日定義!E:E,0)),0,1)</f>
        <v>0</v>
      </c>
      <c r="H1346" s="26">
        <f>IF(ISNA(MATCH(B1346&amp;"/"&amp;C1346,そのた定義!E:E,0)), 0, 1)</f>
        <v>0</v>
      </c>
      <c r="I1346" s="23" t="b">
        <f t="shared" si="187"/>
        <v>1</v>
      </c>
      <c r="J1346" s="26">
        <v>0</v>
      </c>
      <c r="K1346" s="26" t="b">
        <f t="shared" ref="K1346:K1409" si="191">AND(C1346&gt;25,DAY(A1346-J1346)&lt;=25)</f>
        <v>0</v>
      </c>
      <c r="L1346" s="26" t="b">
        <f t="shared" ref="L1346:L1409" si="192">C1346=25</f>
        <v>0</v>
      </c>
      <c r="M1346" t="b">
        <f t="shared" si="188"/>
        <v>0</v>
      </c>
      <c r="N1346" t="b">
        <f t="shared" si="189"/>
        <v>0</v>
      </c>
    </row>
    <row r="1347" spans="1:14">
      <c r="A1347" s="29">
        <v>45907</v>
      </c>
      <c r="B1347" s="30">
        <f t="shared" si="190"/>
        <v>9</v>
      </c>
      <c r="C1347" s="30">
        <f t="shared" ref="C1347:C1410" si="193">DAY(A1347)</f>
        <v>7</v>
      </c>
      <c r="D1347" s="26">
        <f>MATCH(WEEKDAY(A1347),そのた定義!A:A,0)</f>
        <v>2</v>
      </c>
      <c r="E1347" s="32" t="str">
        <f t="shared" ref="E1347:E1410" ca="1" si="194">INDIRECT("そのた定義!"&amp;"B"&amp;D1347)</f>
        <v>日</v>
      </c>
      <c r="F1347" s="26">
        <f t="shared" ref="F1347:F1410" si="195">IF(OR(D1347=8,D1347=2),1,0)</f>
        <v>1</v>
      </c>
      <c r="G1347" s="26">
        <f>IF(ISNA(MATCH(A1347,祝日定義!E:E,0)),0,1)</f>
        <v>0</v>
      </c>
      <c r="H1347" s="26">
        <f>IF(ISNA(MATCH(B1347&amp;"/"&amp;C1347,そのた定義!E:E,0)), 0, 1)</f>
        <v>0</v>
      </c>
      <c r="I1347" s="23" t="b">
        <f t="shared" ref="I1347:I1410" si="196">SUM(F1347:H1347)&gt;0</f>
        <v>1</v>
      </c>
      <c r="J1347" s="26">
        <v>0</v>
      </c>
      <c r="K1347" s="26" t="b">
        <f t="shared" si="191"/>
        <v>0</v>
      </c>
      <c r="L1347" s="26" t="b">
        <f t="shared" si="192"/>
        <v>0</v>
      </c>
      <c r="M1347" t="b">
        <f t="shared" ref="M1347:M1410" si="197">B1347&lt;&gt;MONTH(A1347-J1347)</f>
        <v>0</v>
      </c>
      <c r="N1347" t="b">
        <f t="shared" ref="N1347:N1410" si="198">B1347&lt;&gt;MONTH(A1347+1)</f>
        <v>0</v>
      </c>
    </row>
    <row r="1348" spans="1:14">
      <c r="A1348" s="29">
        <v>45908</v>
      </c>
      <c r="B1348" s="30">
        <f t="shared" si="190"/>
        <v>9</v>
      </c>
      <c r="C1348" s="30">
        <f t="shared" si="193"/>
        <v>8</v>
      </c>
      <c r="D1348" s="26">
        <f>MATCH(WEEKDAY(A1348),そのた定義!A:A,0)</f>
        <v>3</v>
      </c>
      <c r="E1348" s="26" t="str">
        <f t="shared" ca="1" si="194"/>
        <v>月</v>
      </c>
      <c r="F1348" s="26">
        <f t="shared" si="195"/>
        <v>0</v>
      </c>
      <c r="G1348" s="26">
        <f>IF(ISNA(MATCH(A1348,祝日定義!E:E,0)),0,1)</f>
        <v>0</v>
      </c>
      <c r="H1348" s="26">
        <f>IF(ISNA(MATCH(B1348&amp;"/"&amp;C1348,そのた定義!E:E,0)), 0, 1)</f>
        <v>0</v>
      </c>
      <c r="I1348" s="26" t="b">
        <f t="shared" si="196"/>
        <v>0</v>
      </c>
      <c r="J1348" s="26">
        <v>2</v>
      </c>
      <c r="K1348" s="26" t="b">
        <f t="shared" si="191"/>
        <v>0</v>
      </c>
      <c r="L1348" s="26" t="b">
        <f t="shared" si="192"/>
        <v>0</v>
      </c>
      <c r="M1348" t="b">
        <f t="shared" si="197"/>
        <v>0</v>
      </c>
      <c r="N1348" t="b">
        <f t="shared" si="198"/>
        <v>0</v>
      </c>
    </row>
    <row r="1349" spans="1:14">
      <c r="A1349" s="29">
        <v>45909</v>
      </c>
      <c r="B1349" s="30">
        <f t="shared" si="190"/>
        <v>9</v>
      </c>
      <c r="C1349" s="30">
        <f t="shared" si="193"/>
        <v>9</v>
      </c>
      <c r="D1349" s="26">
        <f>MATCH(WEEKDAY(A1349),そのた定義!A:A,0)</f>
        <v>4</v>
      </c>
      <c r="E1349" s="26" t="str">
        <f t="shared" ca="1" si="194"/>
        <v>火</v>
      </c>
      <c r="F1349" s="26">
        <f t="shared" si="195"/>
        <v>0</v>
      </c>
      <c r="G1349" s="26">
        <f>IF(ISNA(MATCH(A1349,祝日定義!E:E,0)),0,1)</f>
        <v>0</v>
      </c>
      <c r="H1349" s="26">
        <f>IF(ISNA(MATCH(B1349&amp;"/"&amp;C1349,そのた定義!E:E,0)), 0, 1)</f>
        <v>0</v>
      </c>
      <c r="I1349" s="26" t="b">
        <f t="shared" si="196"/>
        <v>0</v>
      </c>
      <c r="J1349" s="26">
        <v>0</v>
      </c>
      <c r="K1349" s="26" t="b">
        <f t="shared" si="191"/>
        <v>0</v>
      </c>
      <c r="L1349" s="26" t="b">
        <f t="shared" si="192"/>
        <v>0</v>
      </c>
      <c r="M1349" t="b">
        <f t="shared" si="197"/>
        <v>0</v>
      </c>
      <c r="N1349" t="b">
        <f t="shared" si="198"/>
        <v>0</v>
      </c>
    </row>
    <row r="1350" spans="1:14">
      <c r="A1350" s="29">
        <v>45910</v>
      </c>
      <c r="B1350" s="30">
        <f t="shared" si="190"/>
        <v>9</v>
      </c>
      <c r="C1350" s="30">
        <f t="shared" si="193"/>
        <v>10</v>
      </c>
      <c r="D1350" s="26">
        <f>MATCH(WEEKDAY(A1350),そのた定義!A:A,0)</f>
        <v>5</v>
      </c>
      <c r="E1350" s="26" t="str">
        <f t="shared" ca="1" si="194"/>
        <v>水</v>
      </c>
      <c r="F1350" s="26">
        <f t="shared" si="195"/>
        <v>0</v>
      </c>
      <c r="G1350" s="26">
        <f>IF(ISNA(MATCH(A1350,祝日定義!E:E,0)),0,1)</f>
        <v>0</v>
      </c>
      <c r="H1350" s="26">
        <f>IF(ISNA(MATCH(B1350&amp;"/"&amp;C1350,そのた定義!E:E,0)), 0, 1)</f>
        <v>0</v>
      </c>
      <c r="I1350" s="26" t="b">
        <f t="shared" si="196"/>
        <v>0</v>
      </c>
      <c r="J1350" s="26">
        <v>0</v>
      </c>
      <c r="K1350" s="26" t="b">
        <f t="shared" si="191"/>
        <v>0</v>
      </c>
      <c r="L1350" s="26" t="b">
        <f t="shared" si="192"/>
        <v>0</v>
      </c>
      <c r="M1350" t="b">
        <f t="shared" si="197"/>
        <v>0</v>
      </c>
      <c r="N1350" t="b">
        <f t="shared" si="198"/>
        <v>0</v>
      </c>
    </row>
    <row r="1351" spans="1:14">
      <c r="A1351" s="29">
        <v>45911</v>
      </c>
      <c r="B1351" s="30">
        <f t="shared" si="190"/>
        <v>9</v>
      </c>
      <c r="C1351" s="30">
        <f t="shared" si="193"/>
        <v>11</v>
      </c>
      <c r="D1351" s="26">
        <f>MATCH(WEEKDAY(A1351),そのた定義!A:A,0)</f>
        <v>6</v>
      </c>
      <c r="E1351" s="26" t="str">
        <f t="shared" ca="1" si="194"/>
        <v>木</v>
      </c>
      <c r="F1351" s="26">
        <f t="shared" si="195"/>
        <v>0</v>
      </c>
      <c r="G1351" s="26">
        <f>IF(ISNA(MATCH(A1351,祝日定義!E:E,0)),0,1)</f>
        <v>0</v>
      </c>
      <c r="H1351" s="26">
        <f>IF(ISNA(MATCH(B1351&amp;"/"&amp;C1351,そのた定義!E:E,0)), 0, 1)</f>
        <v>0</v>
      </c>
      <c r="I1351" s="26" t="b">
        <f t="shared" si="196"/>
        <v>0</v>
      </c>
      <c r="J1351" s="26">
        <v>0</v>
      </c>
      <c r="K1351" s="26" t="b">
        <f t="shared" si="191"/>
        <v>0</v>
      </c>
      <c r="L1351" s="26" t="b">
        <f t="shared" si="192"/>
        <v>0</v>
      </c>
      <c r="M1351" t="b">
        <f t="shared" si="197"/>
        <v>0</v>
      </c>
      <c r="N1351" t="b">
        <f t="shared" si="198"/>
        <v>0</v>
      </c>
    </row>
    <row r="1352" spans="1:14">
      <c r="A1352" s="29">
        <v>45912</v>
      </c>
      <c r="B1352" s="30">
        <f t="shared" si="190"/>
        <v>9</v>
      </c>
      <c r="C1352" s="30">
        <f t="shared" si="193"/>
        <v>12</v>
      </c>
      <c r="D1352" s="26">
        <f>MATCH(WEEKDAY(A1352),そのた定義!A:A,0)</f>
        <v>7</v>
      </c>
      <c r="E1352" s="26" t="str">
        <f t="shared" ca="1" si="194"/>
        <v>金</v>
      </c>
      <c r="F1352" s="26">
        <f t="shared" si="195"/>
        <v>0</v>
      </c>
      <c r="G1352" s="26">
        <f>IF(ISNA(MATCH(A1352,祝日定義!E:E,0)),0,1)</f>
        <v>0</v>
      </c>
      <c r="H1352" s="26">
        <f>IF(ISNA(MATCH(B1352&amp;"/"&amp;C1352,そのた定義!E:E,0)), 0, 1)</f>
        <v>0</v>
      </c>
      <c r="I1352" s="26" t="b">
        <f t="shared" si="196"/>
        <v>0</v>
      </c>
      <c r="J1352" s="26">
        <v>0</v>
      </c>
      <c r="K1352" s="26" t="b">
        <f t="shared" si="191"/>
        <v>0</v>
      </c>
      <c r="L1352" s="26" t="b">
        <f t="shared" si="192"/>
        <v>0</v>
      </c>
      <c r="M1352" t="b">
        <f t="shared" si="197"/>
        <v>0</v>
      </c>
      <c r="N1352" t="b">
        <f t="shared" si="198"/>
        <v>0</v>
      </c>
    </row>
    <row r="1353" spans="1:14">
      <c r="A1353" s="29">
        <v>45913</v>
      </c>
      <c r="B1353" s="30">
        <f t="shared" si="190"/>
        <v>9</v>
      </c>
      <c r="C1353" s="30">
        <f t="shared" si="193"/>
        <v>13</v>
      </c>
      <c r="D1353" s="26">
        <f>MATCH(WEEKDAY(A1353),そのた定義!A:A,0)</f>
        <v>8</v>
      </c>
      <c r="E1353" s="33" t="str">
        <f t="shared" ca="1" si="194"/>
        <v>土</v>
      </c>
      <c r="F1353" s="26">
        <f t="shared" si="195"/>
        <v>1</v>
      </c>
      <c r="G1353" s="26">
        <f>IF(ISNA(MATCH(A1353,祝日定義!E:E,0)),0,1)</f>
        <v>0</v>
      </c>
      <c r="H1353" s="26">
        <f>IF(ISNA(MATCH(B1353&amp;"/"&amp;C1353,そのた定義!E:E,0)), 0, 1)</f>
        <v>0</v>
      </c>
      <c r="I1353" s="23" t="b">
        <f t="shared" si="196"/>
        <v>1</v>
      </c>
      <c r="J1353" s="26">
        <v>0</v>
      </c>
      <c r="K1353" s="26" t="b">
        <f t="shared" si="191"/>
        <v>0</v>
      </c>
      <c r="L1353" s="26" t="b">
        <f t="shared" si="192"/>
        <v>0</v>
      </c>
      <c r="M1353" t="b">
        <f t="shared" si="197"/>
        <v>0</v>
      </c>
      <c r="N1353" t="b">
        <f t="shared" si="198"/>
        <v>0</v>
      </c>
    </row>
    <row r="1354" spans="1:14">
      <c r="A1354" s="29">
        <v>45914</v>
      </c>
      <c r="B1354" s="30">
        <f t="shared" si="190"/>
        <v>9</v>
      </c>
      <c r="C1354" s="30">
        <f t="shared" si="193"/>
        <v>14</v>
      </c>
      <c r="D1354" s="26">
        <f>MATCH(WEEKDAY(A1354),そのた定義!A:A,0)</f>
        <v>2</v>
      </c>
      <c r="E1354" s="32" t="str">
        <f t="shared" ca="1" si="194"/>
        <v>日</v>
      </c>
      <c r="F1354" s="26">
        <f t="shared" si="195"/>
        <v>1</v>
      </c>
      <c r="G1354" s="26">
        <f>IF(ISNA(MATCH(A1354,祝日定義!E:E,0)),0,1)</f>
        <v>0</v>
      </c>
      <c r="H1354" s="26">
        <f>IF(ISNA(MATCH(B1354&amp;"/"&amp;C1354,そのた定義!E:E,0)), 0, 1)</f>
        <v>0</v>
      </c>
      <c r="I1354" s="23" t="b">
        <f t="shared" si="196"/>
        <v>1</v>
      </c>
      <c r="J1354" s="26">
        <v>0</v>
      </c>
      <c r="K1354" s="26" t="b">
        <f t="shared" si="191"/>
        <v>0</v>
      </c>
      <c r="L1354" s="26" t="b">
        <f t="shared" si="192"/>
        <v>0</v>
      </c>
      <c r="M1354" t="b">
        <f t="shared" si="197"/>
        <v>0</v>
      </c>
      <c r="N1354" t="b">
        <f t="shared" si="198"/>
        <v>0</v>
      </c>
    </row>
    <row r="1355" spans="1:14">
      <c r="A1355" s="29">
        <v>45915</v>
      </c>
      <c r="B1355" s="30">
        <f t="shared" si="190"/>
        <v>9</v>
      </c>
      <c r="C1355" s="30">
        <f t="shared" si="193"/>
        <v>15</v>
      </c>
      <c r="D1355" s="26">
        <f>MATCH(WEEKDAY(A1355),そのた定義!A:A,0)</f>
        <v>3</v>
      </c>
      <c r="E1355" s="31" t="str">
        <f t="shared" ca="1" si="194"/>
        <v>月</v>
      </c>
      <c r="F1355" s="26">
        <f t="shared" si="195"/>
        <v>0</v>
      </c>
      <c r="G1355" s="26">
        <f>IF(ISNA(MATCH(A1355,祝日定義!E:E,0)),0,1)</f>
        <v>1</v>
      </c>
      <c r="H1355" s="26">
        <f>IF(ISNA(MATCH(B1355&amp;"/"&amp;C1355,そのた定義!E:E,0)), 0, 1)</f>
        <v>0</v>
      </c>
      <c r="I1355" s="23" t="b">
        <f t="shared" si="196"/>
        <v>1</v>
      </c>
      <c r="J1355" s="26">
        <v>0</v>
      </c>
      <c r="K1355" s="26" t="b">
        <f t="shared" si="191"/>
        <v>0</v>
      </c>
      <c r="L1355" s="26" t="b">
        <f t="shared" si="192"/>
        <v>0</v>
      </c>
      <c r="M1355" t="b">
        <f t="shared" si="197"/>
        <v>0</v>
      </c>
      <c r="N1355" t="b">
        <f t="shared" si="198"/>
        <v>0</v>
      </c>
    </row>
    <row r="1356" spans="1:14">
      <c r="A1356" s="29">
        <v>45916</v>
      </c>
      <c r="B1356" s="30">
        <f t="shared" si="190"/>
        <v>9</v>
      </c>
      <c r="C1356" s="30">
        <f t="shared" si="193"/>
        <v>16</v>
      </c>
      <c r="D1356" s="26">
        <f>MATCH(WEEKDAY(A1356),そのた定義!A:A,0)</f>
        <v>4</v>
      </c>
      <c r="E1356" s="26" t="str">
        <f t="shared" ca="1" si="194"/>
        <v>火</v>
      </c>
      <c r="F1356" s="26">
        <f t="shared" si="195"/>
        <v>0</v>
      </c>
      <c r="G1356" s="26">
        <f>IF(ISNA(MATCH(A1356,祝日定義!E:E,0)),0,1)</f>
        <v>0</v>
      </c>
      <c r="H1356" s="26">
        <f>IF(ISNA(MATCH(B1356&amp;"/"&amp;C1356,そのた定義!E:E,0)), 0, 1)</f>
        <v>0</v>
      </c>
      <c r="I1356" s="26" t="b">
        <f t="shared" si="196"/>
        <v>0</v>
      </c>
      <c r="J1356" s="26">
        <v>3</v>
      </c>
      <c r="K1356" s="26" t="b">
        <f t="shared" si="191"/>
        <v>0</v>
      </c>
      <c r="L1356" s="26" t="b">
        <f t="shared" si="192"/>
        <v>0</v>
      </c>
      <c r="M1356" t="b">
        <f t="shared" si="197"/>
        <v>0</v>
      </c>
      <c r="N1356" t="b">
        <f t="shared" si="198"/>
        <v>0</v>
      </c>
    </row>
    <row r="1357" spans="1:14">
      <c r="A1357" s="29">
        <v>45917</v>
      </c>
      <c r="B1357" s="30">
        <f t="shared" si="190"/>
        <v>9</v>
      </c>
      <c r="C1357" s="30">
        <f t="shared" si="193"/>
        <v>17</v>
      </c>
      <c r="D1357" s="26">
        <f>MATCH(WEEKDAY(A1357),そのた定義!A:A,0)</f>
        <v>5</v>
      </c>
      <c r="E1357" s="26" t="str">
        <f t="shared" ca="1" si="194"/>
        <v>水</v>
      </c>
      <c r="F1357" s="26">
        <f t="shared" si="195"/>
        <v>0</v>
      </c>
      <c r="G1357" s="26">
        <f>IF(ISNA(MATCH(A1357,祝日定義!E:E,0)),0,1)</f>
        <v>0</v>
      </c>
      <c r="H1357" s="26">
        <f>IF(ISNA(MATCH(B1357&amp;"/"&amp;C1357,そのた定義!E:E,0)), 0, 1)</f>
        <v>0</v>
      </c>
      <c r="I1357" s="26" t="b">
        <f t="shared" si="196"/>
        <v>0</v>
      </c>
      <c r="J1357" s="26">
        <v>0</v>
      </c>
      <c r="K1357" s="26" t="b">
        <f t="shared" si="191"/>
        <v>0</v>
      </c>
      <c r="L1357" s="26" t="b">
        <f t="shared" si="192"/>
        <v>0</v>
      </c>
      <c r="M1357" t="b">
        <f t="shared" si="197"/>
        <v>0</v>
      </c>
      <c r="N1357" t="b">
        <f t="shared" si="198"/>
        <v>0</v>
      </c>
    </row>
    <row r="1358" spans="1:14">
      <c r="A1358" s="29">
        <v>45918</v>
      </c>
      <c r="B1358" s="30">
        <f t="shared" si="190"/>
        <v>9</v>
      </c>
      <c r="C1358" s="30">
        <f t="shared" si="193"/>
        <v>18</v>
      </c>
      <c r="D1358" s="26">
        <f>MATCH(WEEKDAY(A1358),そのた定義!A:A,0)</f>
        <v>6</v>
      </c>
      <c r="E1358" s="26" t="str">
        <f t="shared" ca="1" si="194"/>
        <v>木</v>
      </c>
      <c r="F1358" s="26">
        <f t="shared" si="195"/>
        <v>0</v>
      </c>
      <c r="G1358" s="26">
        <f>IF(ISNA(MATCH(A1358,祝日定義!E:E,0)),0,1)</f>
        <v>0</v>
      </c>
      <c r="H1358" s="26">
        <f>IF(ISNA(MATCH(B1358&amp;"/"&amp;C1358,そのた定義!E:E,0)), 0, 1)</f>
        <v>0</v>
      </c>
      <c r="I1358" s="26" t="b">
        <f t="shared" si="196"/>
        <v>0</v>
      </c>
      <c r="J1358" s="26">
        <v>0</v>
      </c>
      <c r="K1358" s="26" t="b">
        <f t="shared" si="191"/>
        <v>0</v>
      </c>
      <c r="L1358" s="26" t="b">
        <f t="shared" si="192"/>
        <v>0</v>
      </c>
      <c r="M1358" t="b">
        <f t="shared" si="197"/>
        <v>0</v>
      </c>
      <c r="N1358" t="b">
        <f t="shared" si="198"/>
        <v>0</v>
      </c>
    </row>
    <row r="1359" spans="1:14">
      <c r="A1359" s="29">
        <v>45919</v>
      </c>
      <c r="B1359" s="30">
        <f t="shared" si="190"/>
        <v>9</v>
      </c>
      <c r="C1359" s="30">
        <f t="shared" si="193"/>
        <v>19</v>
      </c>
      <c r="D1359" s="26">
        <f>MATCH(WEEKDAY(A1359),そのた定義!A:A,0)</f>
        <v>7</v>
      </c>
      <c r="E1359" s="26" t="str">
        <f t="shared" ca="1" si="194"/>
        <v>金</v>
      </c>
      <c r="F1359" s="26">
        <f t="shared" si="195"/>
        <v>0</v>
      </c>
      <c r="G1359" s="26">
        <f>IF(ISNA(MATCH(A1359,祝日定義!E:E,0)),0,1)</f>
        <v>0</v>
      </c>
      <c r="H1359" s="26">
        <f>IF(ISNA(MATCH(B1359&amp;"/"&amp;C1359,そのた定義!E:E,0)), 0, 1)</f>
        <v>0</v>
      </c>
      <c r="I1359" s="26" t="b">
        <f t="shared" si="196"/>
        <v>0</v>
      </c>
      <c r="J1359" s="26">
        <v>0</v>
      </c>
      <c r="K1359" s="26" t="b">
        <f t="shared" si="191"/>
        <v>0</v>
      </c>
      <c r="L1359" s="26" t="b">
        <f t="shared" si="192"/>
        <v>0</v>
      </c>
      <c r="M1359" t="b">
        <f t="shared" si="197"/>
        <v>0</v>
      </c>
      <c r="N1359" t="b">
        <f t="shared" si="198"/>
        <v>0</v>
      </c>
    </row>
    <row r="1360" spans="1:14">
      <c r="A1360" s="29">
        <v>45920</v>
      </c>
      <c r="B1360" s="30">
        <f t="shared" si="190"/>
        <v>9</v>
      </c>
      <c r="C1360" s="30">
        <f t="shared" si="193"/>
        <v>20</v>
      </c>
      <c r="D1360" s="26">
        <f>MATCH(WEEKDAY(A1360),そのた定義!A:A,0)</f>
        <v>8</v>
      </c>
      <c r="E1360" s="33" t="str">
        <f t="shared" ca="1" si="194"/>
        <v>土</v>
      </c>
      <c r="F1360" s="26">
        <f t="shared" si="195"/>
        <v>1</v>
      </c>
      <c r="G1360" s="26">
        <f>IF(ISNA(MATCH(A1360,祝日定義!E:E,0)),0,1)</f>
        <v>0</v>
      </c>
      <c r="H1360" s="26">
        <f>IF(ISNA(MATCH(B1360&amp;"/"&amp;C1360,そのた定義!E:E,0)), 0, 1)</f>
        <v>0</v>
      </c>
      <c r="I1360" s="23" t="b">
        <f t="shared" si="196"/>
        <v>1</v>
      </c>
      <c r="J1360" s="26">
        <v>0</v>
      </c>
      <c r="K1360" s="26" t="b">
        <f t="shared" si="191"/>
        <v>0</v>
      </c>
      <c r="L1360" s="26" t="b">
        <f t="shared" si="192"/>
        <v>0</v>
      </c>
      <c r="M1360" t="b">
        <f t="shared" si="197"/>
        <v>0</v>
      </c>
      <c r="N1360" t="b">
        <f t="shared" si="198"/>
        <v>0</v>
      </c>
    </row>
    <row r="1361" spans="1:14">
      <c r="A1361" s="29">
        <v>45921</v>
      </c>
      <c r="B1361" s="30">
        <f t="shared" si="190"/>
        <v>9</v>
      </c>
      <c r="C1361" s="30">
        <f t="shared" si="193"/>
        <v>21</v>
      </c>
      <c r="D1361" s="26">
        <f>MATCH(WEEKDAY(A1361),そのた定義!A:A,0)</f>
        <v>2</v>
      </c>
      <c r="E1361" s="32" t="str">
        <f t="shared" ca="1" si="194"/>
        <v>日</v>
      </c>
      <c r="F1361" s="26">
        <f t="shared" si="195"/>
        <v>1</v>
      </c>
      <c r="G1361" s="26">
        <f>IF(ISNA(MATCH(A1361,祝日定義!E:E,0)),0,1)</f>
        <v>0</v>
      </c>
      <c r="H1361" s="26">
        <f>IF(ISNA(MATCH(B1361&amp;"/"&amp;C1361,そのた定義!E:E,0)), 0, 1)</f>
        <v>0</v>
      </c>
      <c r="I1361" s="23" t="b">
        <f t="shared" si="196"/>
        <v>1</v>
      </c>
      <c r="J1361" s="26">
        <v>0</v>
      </c>
      <c r="K1361" s="26" t="b">
        <f t="shared" si="191"/>
        <v>0</v>
      </c>
      <c r="L1361" s="26" t="b">
        <f t="shared" si="192"/>
        <v>0</v>
      </c>
      <c r="M1361" t="b">
        <f t="shared" si="197"/>
        <v>0</v>
      </c>
      <c r="N1361" t="b">
        <f t="shared" si="198"/>
        <v>0</v>
      </c>
    </row>
    <row r="1362" spans="1:14">
      <c r="A1362" s="29">
        <v>45922</v>
      </c>
      <c r="B1362" s="30">
        <f t="shared" si="190"/>
        <v>9</v>
      </c>
      <c r="C1362" s="30">
        <f t="shared" si="193"/>
        <v>22</v>
      </c>
      <c r="D1362" s="26">
        <f>MATCH(WEEKDAY(A1362),そのた定義!A:A,0)</f>
        <v>3</v>
      </c>
      <c r="E1362" s="26" t="str">
        <f t="shared" ca="1" si="194"/>
        <v>月</v>
      </c>
      <c r="F1362" s="26">
        <f t="shared" si="195"/>
        <v>0</v>
      </c>
      <c r="G1362" s="26">
        <f>IF(ISNA(MATCH(A1362,祝日定義!E:E,0)),0,1)</f>
        <v>0</v>
      </c>
      <c r="H1362" s="26">
        <f>IF(ISNA(MATCH(B1362&amp;"/"&amp;C1362,そのた定義!E:E,0)), 0, 1)</f>
        <v>0</v>
      </c>
      <c r="I1362" s="26" t="b">
        <f t="shared" si="196"/>
        <v>0</v>
      </c>
      <c r="J1362" s="26">
        <v>2</v>
      </c>
      <c r="K1362" s="26" t="b">
        <f t="shared" si="191"/>
        <v>0</v>
      </c>
      <c r="L1362" s="26" t="b">
        <f t="shared" si="192"/>
        <v>0</v>
      </c>
      <c r="M1362" t="b">
        <f t="shared" si="197"/>
        <v>0</v>
      </c>
      <c r="N1362" t="b">
        <f t="shared" si="198"/>
        <v>0</v>
      </c>
    </row>
    <row r="1363" spans="1:14">
      <c r="A1363" s="29">
        <v>45923</v>
      </c>
      <c r="B1363" s="30">
        <f t="shared" si="190"/>
        <v>9</v>
      </c>
      <c r="C1363" s="30">
        <f t="shared" si="193"/>
        <v>23</v>
      </c>
      <c r="D1363" s="26">
        <f>MATCH(WEEKDAY(A1363),そのた定義!A:A,0)</f>
        <v>4</v>
      </c>
      <c r="E1363" s="31" t="str">
        <f t="shared" ca="1" si="194"/>
        <v>火</v>
      </c>
      <c r="F1363" s="26">
        <f t="shared" si="195"/>
        <v>0</v>
      </c>
      <c r="G1363" s="26">
        <f>IF(ISNA(MATCH(A1363,祝日定義!E:E,0)),0,1)</f>
        <v>1</v>
      </c>
      <c r="H1363" s="26">
        <f>IF(ISNA(MATCH(B1363&amp;"/"&amp;C1363,そのた定義!E:E,0)), 0, 1)</f>
        <v>0</v>
      </c>
      <c r="I1363" s="23" t="b">
        <f t="shared" si="196"/>
        <v>1</v>
      </c>
      <c r="J1363" s="26">
        <v>0</v>
      </c>
      <c r="K1363" s="26" t="b">
        <f t="shared" si="191"/>
        <v>0</v>
      </c>
      <c r="L1363" s="26" t="b">
        <f t="shared" si="192"/>
        <v>0</v>
      </c>
      <c r="M1363" t="b">
        <f t="shared" si="197"/>
        <v>0</v>
      </c>
      <c r="N1363" t="b">
        <f t="shared" si="198"/>
        <v>0</v>
      </c>
    </row>
    <row r="1364" spans="1:14">
      <c r="A1364" s="29">
        <v>45924</v>
      </c>
      <c r="B1364" s="30">
        <f t="shared" si="190"/>
        <v>9</v>
      </c>
      <c r="C1364" s="30">
        <f t="shared" si="193"/>
        <v>24</v>
      </c>
      <c r="D1364" s="26">
        <f>MATCH(WEEKDAY(A1364),そのた定義!A:A,0)</f>
        <v>5</v>
      </c>
      <c r="E1364" s="26" t="str">
        <f t="shared" ca="1" si="194"/>
        <v>水</v>
      </c>
      <c r="F1364" s="26">
        <f t="shared" si="195"/>
        <v>0</v>
      </c>
      <c r="G1364" s="26">
        <f>IF(ISNA(MATCH(A1364,祝日定義!E:E,0)),0,1)</f>
        <v>0</v>
      </c>
      <c r="H1364" s="26">
        <f>IF(ISNA(MATCH(B1364&amp;"/"&amp;C1364,そのた定義!E:E,0)), 0, 1)</f>
        <v>0</v>
      </c>
      <c r="I1364" s="26" t="b">
        <f t="shared" si="196"/>
        <v>0</v>
      </c>
      <c r="J1364" s="26">
        <v>1</v>
      </c>
      <c r="K1364" s="26" t="b">
        <f t="shared" si="191"/>
        <v>0</v>
      </c>
      <c r="L1364" s="26" t="b">
        <f t="shared" si="192"/>
        <v>0</v>
      </c>
      <c r="M1364" t="b">
        <f t="shared" si="197"/>
        <v>0</v>
      </c>
      <c r="N1364" t="b">
        <f t="shared" si="198"/>
        <v>0</v>
      </c>
    </row>
    <row r="1365" spans="1:14">
      <c r="A1365" s="29">
        <v>45925</v>
      </c>
      <c r="B1365" s="30">
        <f t="shared" si="190"/>
        <v>9</v>
      </c>
      <c r="C1365" s="30">
        <f t="shared" si="193"/>
        <v>25</v>
      </c>
      <c r="D1365" s="26">
        <f>MATCH(WEEKDAY(A1365),そのた定義!A:A,0)</f>
        <v>6</v>
      </c>
      <c r="E1365" s="26" t="str">
        <f t="shared" ca="1" si="194"/>
        <v>木</v>
      </c>
      <c r="F1365" s="26">
        <f t="shared" si="195"/>
        <v>0</v>
      </c>
      <c r="G1365" s="26">
        <f>IF(ISNA(MATCH(A1365,祝日定義!E:E,0)),0,1)</f>
        <v>0</v>
      </c>
      <c r="H1365" s="26">
        <f>IF(ISNA(MATCH(B1365&amp;"/"&amp;C1365,そのた定義!E:E,0)), 0, 1)</f>
        <v>0</v>
      </c>
      <c r="I1365" s="26" t="b">
        <f t="shared" si="196"/>
        <v>0</v>
      </c>
      <c r="J1365" s="26">
        <v>0</v>
      </c>
      <c r="K1365" s="26" t="b">
        <f t="shared" si="191"/>
        <v>0</v>
      </c>
      <c r="L1365" s="23" t="b">
        <f t="shared" si="192"/>
        <v>1</v>
      </c>
      <c r="M1365" t="b">
        <f t="shared" si="197"/>
        <v>0</v>
      </c>
      <c r="N1365" t="b">
        <f t="shared" si="198"/>
        <v>0</v>
      </c>
    </row>
    <row r="1366" spans="1:14">
      <c r="A1366" s="29">
        <v>45926</v>
      </c>
      <c r="B1366" s="30">
        <f t="shared" si="190"/>
        <v>9</v>
      </c>
      <c r="C1366" s="30">
        <f t="shared" si="193"/>
        <v>26</v>
      </c>
      <c r="D1366" s="26">
        <f>MATCH(WEEKDAY(A1366),そのた定義!A:A,0)</f>
        <v>7</v>
      </c>
      <c r="E1366" s="26" t="str">
        <f t="shared" ca="1" si="194"/>
        <v>金</v>
      </c>
      <c r="F1366" s="26">
        <f t="shared" si="195"/>
        <v>0</v>
      </c>
      <c r="G1366" s="26">
        <f>IF(ISNA(MATCH(A1366,祝日定義!E:E,0)),0,1)</f>
        <v>0</v>
      </c>
      <c r="H1366" s="26">
        <f>IF(ISNA(MATCH(B1366&amp;"/"&amp;C1366,そのた定義!E:E,0)), 0, 1)</f>
        <v>0</v>
      </c>
      <c r="I1366" s="26" t="b">
        <f t="shared" si="196"/>
        <v>0</v>
      </c>
      <c r="J1366" s="26">
        <v>0</v>
      </c>
      <c r="K1366" s="26" t="b">
        <f t="shared" si="191"/>
        <v>0</v>
      </c>
      <c r="L1366" s="26" t="b">
        <f t="shared" si="192"/>
        <v>0</v>
      </c>
      <c r="M1366" t="b">
        <f t="shared" si="197"/>
        <v>0</v>
      </c>
      <c r="N1366" t="b">
        <f t="shared" si="198"/>
        <v>0</v>
      </c>
    </row>
    <row r="1367" spans="1:14">
      <c r="A1367" s="29">
        <v>45927</v>
      </c>
      <c r="B1367" s="30">
        <f t="shared" si="190"/>
        <v>9</v>
      </c>
      <c r="C1367" s="30">
        <f t="shared" si="193"/>
        <v>27</v>
      </c>
      <c r="D1367" s="26">
        <f>MATCH(WEEKDAY(A1367),そのた定義!A:A,0)</f>
        <v>8</v>
      </c>
      <c r="E1367" s="33" t="str">
        <f t="shared" ca="1" si="194"/>
        <v>土</v>
      </c>
      <c r="F1367" s="26">
        <f t="shared" si="195"/>
        <v>1</v>
      </c>
      <c r="G1367" s="26">
        <f>IF(ISNA(MATCH(A1367,祝日定義!E:E,0)),0,1)</f>
        <v>0</v>
      </c>
      <c r="H1367" s="26">
        <f>IF(ISNA(MATCH(B1367&amp;"/"&amp;C1367,そのた定義!E:E,0)), 0, 1)</f>
        <v>0</v>
      </c>
      <c r="I1367" s="23" t="b">
        <f t="shared" si="196"/>
        <v>1</v>
      </c>
      <c r="J1367" s="26">
        <v>0</v>
      </c>
      <c r="K1367" s="26" t="b">
        <f t="shared" si="191"/>
        <v>0</v>
      </c>
      <c r="L1367" s="26" t="b">
        <f t="shared" si="192"/>
        <v>0</v>
      </c>
      <c r="M1367" t="b">
        <f t="shared" si="197"/>
        <v>0</v>
      </c>
      <c r="N1367" t="b">
        <f t="shared" si="198"/>
        <v>0</v>
      </c>
    </row>
    <row r="1368" spans="1:14">
      <c r="A1368" s="29">
        <v>45928</v>
      </c>
      <c r="B1368" s="30">
        <f t="shared" si="190"/>
        <v>9</v>
      </c>
      <c r="C1368" s="30">
        <f t="shared" si="193"/>
        <v>28</v>
      </c>
      <c r="D1368" s="26">
        <f>MATCH(WEEKDAY(A1368),そのた定義!A:A,0)</f>
        <v>2</v>
      </c>
      <c r="E1368" s="32" t="str">
        <f t="shared" ca="1" si="194"/>
        <v>日</v>
      </c>
      <c r="F1368" s="26">
        <f t="shared" si="195"/>
        <v>1</v>
      </c>
      <c r="G1368" s="26">
        <f>IF(ISNA(MATCH(A1368,祝日定義!E:E,0)),0,1)</f>
        <v>0</v>
      </c>
      <c r="H1368" s="26">
        <f>IF(ISNA(MATCH(B1368&amp;"/"&amp;C1368,そのた定義!E:E,0)), 0, 1)</f>
        <v>0</v>
      </c>
      <c r="I1368" s="23" t="b">
        <f t="shared" si="196"/>
        <v>1</v>
      </c>
      <c r="J1368" s="26">
        <v>0</v>
      </c>
      <c r="K1368" s="26" t="b">
        <f t="shared" si="191"/>
        <v>0</v>
      </c>
      <c r="L1368" s="26" t="b">
        <f t="shared" si="192"/>
        <v>0</v>
      </c>
      <c r="M1368" t="b">
        <f t="shared" si="197"/>
        <v>0</v>
      </c>
      <c r="N1368" t="b">
        <f t="shared" si="198"/>
        <v>0</v>
      </c>
    </row>
    <row r="1369" spans="1:14">
      <c r="A1369" s="29">
        <v>45929</v>
      </c>
      <c r="B1369" s="30">
        <f t="shared" si="190"/>
        <v>9</v>
      </c>
      <c r="C1369" s="30">
        <f t="shared" si="193"/>
        <v>29</v>
      </c>
      <c r="D1369" s="26">
        <f>MATCH(WEEKDAY(A1369),そのた定義!A:A,0)</f>
        <v>3</v>
      </c>
      <c r="E1369" s="26" t="str">
        <f t="shared" ca="1" si="194"/>
        <v>月</v>
      </c>
      <c r="F1369" s="26">
        <f t="shared" si="195"/>
        <v>0</v>
      </c>
      <c r="G1369" s="26">
        <f>IF(ISNA(MATCH(A1369,祝日定義!E:E,0)),0,1)</f>
        <v>0</v>
      </c>
      <c r="H1369" s="26">
        <f>IF(ISNA(MATCH(B1369&amp;"/"&amp;C1369,そのた定義!E:E,0)), 0, 1)</f>
        <v>0</v>
      </c>
      <c r="I1369" s="26" t="b">
        <f t="shared" si="196"/>
        <v>0</v>
      </c>
      <c r="J1369" s="26">
        <v>2</v>
      </c>
      <c r="K1369" s="26" t="b">
        <f t="shared" si="191"/>
        <v>0</v>
      </c>
      <c r="L1369" s="26" t="b">
        <f t="shared" si="192"/>
        <v>0</v>
      </c>
      <c r="M1369" t="b">
        <f t="shared" si="197"/>
        <v>0</v>
      </c>
      <c r="N1369" t="b">
        <f t="shared" si="198"/>
        <v>0</v>
      </c>
    </row>
    <row r="1370" spans="1:14">
      <c r="A1370" s="29">
        <v>45930</v>
      </c>
      <c r="B1370" s="30">
        <f t="shared" si="190"/>
        <v>9</v>
      </c>
      <c r="C1370" s="30">
        <f t="shared" si="193"/>
        <v>30</v>
      </c>
      <c r="D1370" s="26">
        <f>MATCH(WEEKDAY(A1370),そのた定義!A:A,0)</f>
        <v>4</v>
      </c>
      <c r="E1370" s="26" t="str">
        <f t="shared" ca="1" si="194"/>
        <v>火</v>
      </c>
      <c r="F1370" s="26">
        <f t="shared" si="195"/>
        <v>0</v>
      </c>
      <c r="G1370" s="26">
        <f>IF(ISNA(MATCH(A1370,祝日定義!E:E,0)),0,1)</f>
        <v>0</v>
      </c>
      <c r="H1370" s="26">
        <f>IF(ISNA(MATCH(B1370&amp;"/"&amp;C1370,そのた定義!E:E,0)), 0, 1)</f>
        <v>0</v>
      </c>
      <c r="I1370" s="26" t="b">
        <f t="shared" si="196"/>
        <v>0</v>
      </c>
      <c r="J1370" s="26">
        <v>0</v>
      </c>
      <c r="K1370" s="26" t="b">
        <f t="shared" si="191"/>
        <v>0</v>
      </c>
      <c r="L1370" s="26" t="b">
        <f t="shared" si="192"/>
        <v>0</v>
      </c>
      <c r="M1370" t="b">
        <f t="shared" si="197"/>
        <v>0</v>
      </c>
      <c r="N1370" t="b">
        <f t="shared" si="198"/>
        <v>1</v>
      </c>
    </row>
    <row r="1371" spans="1:14">
      <c r="A1371" s="29">
        <v>45931</v>
      </c>
      <c r="B1371" s="30">
        <f t="shared" si="190"/>
        <v>10</v>
      </c>
      <c r="C1371" s="30">
        <f t="shared" si="193"/>
        <v>1</v>
      </c>
      <c r="D1371" s="26">
        <f>MATCH(WEEKDAY(A1371),そのた定義!A:A,0)</f>
        <v>5</v>
      </c>
      <c r="E1371" s="26" t="str">
        <f t="shared" ca="1" si="194"/>
        <v>水</v>
      </c>
      <c r="F1371" s="26">
        <f t="shared" si="195"/>
        <v>0</v>
      </c>
      <c r="G1371" s="26">
        <f>IF(ISNA(MATCH(A1371,祝日定義!E:E,0)),0,1)</f>
        <v>0</v>
      </c>
      <c r="H1371" s="26">
        <f>IF(ISNA(MATCH(B1371&amp;"/"&amp;C1371,そのた定義!E:E,0)), 0, 1)</f>
        <v>0</v>
      </c>
      <c r="I1371" s="26" t="b">
        <f t="shared" si="196"/>
        <v>0</v>
      </c>
      <c r="J1371" s="26">
        <v>0</v>
      </c>
      <c r="K1371" s="26" t="b">
        <f t="shared" si="191"/>
        <v>0</v>
      </c>
      <c r="L1371" s="26" t="b">
        <f t="shared" si="192"/>
        <v>0</v>
      </c>
      <c r="M1371" t="b">
        <f t="shared" si="197"/>
        <v>0</v>
      </c>
      <c r="N1371" t="b">
        <f t="shared" si="198"/>
        <v>0</v>
      </c>
    </row>
    <row r="1372" spans="1:14">
      <c r="A1372" s="29">
        <v>45932</v>
      </c>
      <c r="B1372" s="30">
        <f t="shared" si="190"/>
        <v>10</v>
      </c>
      <c r="C1372" s="30">
        <f t="shared" si="193"/>
        <v>2</v>
      </c>
      <c r="D1372" s="26">
        <f>MATCH(WEEKDAY(A1372),そのた定義!A:A,0)</f>
        <v>6</v>
      </c>
      <c r="E1372" s="26" t="str">
        <f t="shared" ca="1" si="194"/>
        <v>木</v>
      </c>
      <c r="F1372" s="26">
        <f t="shared" si="195"/>
        <v>0</v>
      </c>
      <c r="G1372" s="26">
        <f>IF(ISNA(MATCH(A1372,祝日定義!E:E,0)),0,1)</f>
        <v>0</v>
      </c>
      <c r="H1372" s="26">
        <f>IF(ISNA(MATCH(B1372&amp;"/"&amp;C1372,そのた定義!E:E,0)), 0, 1)</f>
        <v>0</v>
      </c>
      <c r="I1372" s="26" t="b">
        <f t="shared" si="196"/>
        <v>0</v>
      </c>
      <c r="J1372" s="26">
        <v>0</v>
      </c>
      <c r="K1372" s="26" t="b">
        <f t="shared" si="191"/>
        <v>0</v>
      </c>
      <c r="L1372" s="26" t="b">
        <f t="shared" si="192"/>
        <v>0</v>
      </c>
      <c r="M1372" t="b">
        <f t="shared" si="197"/>
        <v>0</v>
      </c>
      <c r="N1372" t="b">
        <f t="shared" si="198"/>
        <v>0</v>
      </c>
    </row>
    <row r="1373" spans="1:14">
      <c r="A1373" s="29">
        <v>45933</v>
      </c>
      <c r="B1373" s="30">
        <f t="shared" si="190"/>
        <v>10</v>
      </c>
      <c r="C1373" s="30">
        <f t="shared" si="193"/>
        <v>3</v>
      </c>
      <c r="D1373" s="26">
        <f>MATCH(WEEKDAY(A1373),そのた定義!A:A,0)</f>
        <v>7</v>
      </c>
      <c r="E1373" s="26" t="str">
        <f t="shared" ca="1" si="194"/>
        <v>金</v>
      </c>
      <c r="F1373" s="26">
        <f t="shared" si="195"/>
        <v>0</v>
      </c>
      <c r="G1373" s="26">
        <f>IF(ISNA(MATCH(A1373,祝日定義!E:E,0)),0,1)</f>
        <v>0</v>
      </c>
      <c r="H1373" s="26">
        <f>IF(ISNA(MATCH(B1373&amp;"/"&amp;C1373,そのた定義!E:E,0)), 0, 1)</f>
        <v>0</v>
      </c>
      <c r="I1373" s="26" t="b">
        <f t="shared" si="196"/>
        <v>0</v>
      </c>
      <c r="J1373" s="26">
        <v>0</v>
      </c>
      <c r="K1373" s="26" t="b">
        <f t="shared" si="191"/>
        <v>0</v>
      </c>
      <c r="L1373" s="26" t="b">
        <f t="shared" si="192"/>
        <v>0</v>
      </c>
      <c r="M1373" t="b">
        <f t="shared" si="197"/>
        <v>0</v>
      </c>
      <c r="N1373" t="b">
        <f t="shared" si="198"/>
        <v>0</v>
      </c>
    </row>
    <row r="1374" spans="1:14">
      <c r="A1374" s="29">
        <v>45934</v>
      </c>
      <c r="B1374" s="30">
        <f t="shared" si="190"/>
        <v>10</v>
      </c>
      <c r="C1374" s="30">
        <f t="shared" si="193"/>
        <v>4</v>
      </c>
      <c r="D1374" s="26">
        <f>MATCH(WEEKDAY(A1374),そのた定義!A:A,0)</f>
        <v>8</v>
      </c>
      <c r="E1374" s="33" t="str">
        <f t="shared" ca="1" si="194"/>
        <v>土</v>
      </c>
      <c r="F1374" s="26">
        <f t="shared" si="195"/>
        <v>1</v>
      </c>
      <c r="G1374" s="26">
        <f>IF(ISNA(MATCH(A1374,祝日定義!E:E,0)),0,1)</f>
        <v>0</v>
      </c>
      <c r="H1374" s="26">
        <f>IF(ISNA(MATCH(B1374&amp;"/"&amp;C1374,そのた定義!E:E,0)), 0, 1)</f>
        <v>0</v>
      </c>
      <c r="I1374" s="23" t="b">
        <f t="shared" si="196"/>
        <v>1</v>
      </c>
      <c r="J1374" s="26">
        <v>0</v>
      </c>
      <c r="K1374" s="26" t="b">
        <f t="shared" si="191"/>
        <v>0</v>
      </c>
      <c r="L1374" s="26" t="b">
        <f t="shared" si="192"/>
        <v>0</v>
      </c>
      <c r="M1374" t="b">
        <f t="shared" si="197"/>
        <v>0</v>
      </c>
      <c r="N1374" t="b">
        <f t="shared" si="198"/>
        <v>0</v>
      </c>
    </row>
    <row r="1375" spans="1:14">
      <c r="A1375" s="29">
        <v>45935</v>
      </c>
      <c r="B1375" s="30">
        <f t="shared" si="190"/>
        <v>10</v>
      </c>
      <c r="C1375" s="30">
        <f t="shared" si="193"/>
        <v>5</v>
      </c>
      <c r="D1375" s="26">
        <f>MATCH(WEEKDAY(A1375),そのた定義!A:A,0)</f>
        <v>2</v>
      </c>
      <c r="E1375" s="32" t="str">
        <f t="shared" ca="1" si="194"/>
        <v>日</v>
      </c>
      <c r="F1375" s="26">
        <f t="shared" si="195"/>
        <v>1</v>
      </c>
      <c r="G1375" s="26">
        <f>IF(ISNA(MATCH(A1375,祝日定義!E:E,0)),0,1)</f>
        <v>0</v>
      </c>
      <c r="H1375" s="26">
        <f>IF(ISNA(MATCH(B1375&amp;"/"&amp;C1375,そのた定義!E:E,0)), 0, 1)</f>
        <v>0</v>
      </c>
      <c r="I1375" s="23" t="b">
        <f t="shared" si="196"/>
        <v>1</v>
      </c>
      <c r="J1375" s="26">
        <v>0</v>
      </c>
      <c r="K1375" s="26" t="b">
        <f t="shared" si="191"/>
        <v>0</v>
      </c>
      <c r="L1375" s="26" t="b">
        <f t="shared" si="192"/>
        <v>0</v>
      </c>
      <c r="M1375" t="b">
        <f t="shared" si="197"/>
        <v>0</v>
      </c>
      <c r="N1375" t="b">
        <f t="shared" si="198"/>
        <v>0</v>
      </c>
    </row>
    <row r="1376" spans="1:14">
      <c r="A1376" s="29">
        <v>45936</v>
      </c>
      <c r="B1376" s="30">
        <f t="shared" si="190"/>
        <v>10</v>
      </c>
      <c r="C1376" s="30">
        <f t="shared" si="193"/>
        <v>6</v>
      </c>
      <c r="D1376" s="26">
        <f>MATCH(WEEKDAY(A1376),そのた定義!A:A,0)</f>
        <v>3</v>
      </c>
      <c r="E1376" s="26" t="str">
        <f t="shared" ca="1" si="194"/>
        <v>月</v>
      </c>
      <c r="F1376" s="26">
        <f t="shared" si="195"/>
        <v>0</v>
      </c>
      <c r="G1376" s="26">
        <f>IF(ISNA(MATCH(A1376,祝日定義!E:E,0)),0,1)</f>
        <v>0</v>
      </c>
      <c r="H1376" s="26">
        <f>IF(ISNA(MATCH(B1376&amp;"/"&amp;C1376,そのた定義!E:E,0)), 0, 1)</f>
        <v>0</v>
      </c>
      <c r="I1376" s="26" t="b">
        <f t="shared" si="196"/>
        <v>0</v>
      </c>
      <c r="J1376" s="26">
        <v>2</v>
      </c>
      <c r="K1376" s="26" t="b">
        <f t="shared" si="191"/>
        <v>0</v>
      </c>
      <c r="L1376" s="26" t="b">
        <f t="shared" si="192"/>
        <v>0</v>
      </c>
      <c r="M1376" t="b">
        <f t="shared" si="197"/>
        <v>0</v>
      </c>
      <c r="N1376" t="b">
        <f t="shared" si="198"/>
        <v>0</v>
      </c>
    </row>
    <row r="1377" spans="1:14">
      <c r="A1377" s="29">
        <v>45937</v>
      </c>
      <c r="B1377" s="30">
        <f t="shared" si="190"/>
        <v>10</v>
      </c>
      <c r="C1377" s="30">
        <f t="shared" si="193"/>
        <v>7</v>
      </c>
      <c r="D1377" s="26">
        <f>MATCH(WEEKDAY(A1377),そのた定義!A:A,0)</f>
        <v>4</v>
      </c>
      <c r="E1377" s="26" t="str">
        <f t="shared" ca="1" si="194"/>
        <v>火</v>
      </c>
      <c r="F1377" s="26">
        <f t="shared" si="195"/>
        <v>0</v>
      </c>
      <c r="G1377" s="26">
        <f>IF(ISNA(MATCH(A1377,祝日定義!E:E,0)),0,1)</f>
        <v>0</v>
      </c>
      <c r="H1377" s="26">
        <f>IF(ISNA(MATCH(B1377&amp;"/"&amp;C1377,そのた定義!E:E,0)), 0, 1)</f>
        <v>0</v>
      </c>
      <c r="I1377" s="26" t="b">
        <f t="shared" si="196"/>
        <v>0</v>
      </c>
      <c r="J1377" s="26">
        <v>0</v>
      </c>
      <c r="K1377" s="26" t="b">
        <f t="shared" si="191"/>
        <v>0</v>
      </c>
      <c r="L1377" s="26" t="b">
        <f t="shared" si="192"/>
        <v>0</v>
      </c>
      <c r="M1377" t="b">
        <f t="shared" si="197"/>
        <v>0</v>
      </c>
      <c r="N1377" t="b">
        <f t="shared" si="198"/>
        <v>0</v>
      </c>
    </row>
    <row r="1378" spans="1:14">
      <c r="A1378" s="29">
        <v>45938</v>
      </c>
      <c r="B1378" s="30">
        <f t="shared" si="190"/>
        <v>10</v>
      </c>
      <c r="C1378" s="30">
        <f t="shared" si="193"/>
        <v>8</v>
      </c>
      <c r="D1378" s="26">
        <f>MATCH(WEEKDAY(A1378),そのた定義!A:A,0)</f>
        <v>5</v>
      </c>
      <c r="E1378" s="26" t="str">
        <f t="shared" ca="1" si="194"/>
        <v>水</v>
      </c>
      <c r="F1378" s="26">
        <f t="shared" si="195"/>
        <v>0</v>
      </c>
      <c r="G1378" s="26">
        <f>IF(ISNA(MATCH(A1378,祝日定義!E:E,0)),0,1)</f>
        <v>0</v>
      </c>
      <c r="H1378" s="26">
        <f>IF(ISNA(MATCH(B1378&amp;"/"&amp;C1378,そのた定義!E:E,0)), 0, 1)</f>
        <v>0</v>
      </c>
      <c r="I1378" s="26" t="b">
        <f t="shared" si="196"/>
        <v>0</v>
      </c>
      <c r="J1378" s="26">
        <v>0</v>
      </c>
      <c r="K1378" s="26" t="b">
        <f t="shared" si="191"/>
        <v>0</v>
      </c>
      <c r="L1378" s="26" t="b">
        <f t="shared" si="192"/>
        <v>0</v>
      </c>
      <c r="M1378" t="b">
        <f t="shared" si="197"/>
        <v>0</v>
      </c>
      <c r="N1378" t="b">
        <f t="shared" si="198"/>
        <v>0</v>
      </c>
    </row>
    <row r="1379" spans="1:14">
      <c r="A1379" s="29">
        <v>45939</v>
      </c>
      <c r="B1379" s="30">
        <f t="shared" si="190"/>
        <v>10</v>
      </c>
      <c r="C1379" s="30">
        <f t="shared" si="193"/>
        <v>9</v>
      </c>
      <c r="D1379" s="26">
        <f>MATCH(WEEKDAY(A1379),そのた定義!A:A,0)</f>
        <v>6</v>
      </c>
      <c r="E1379" s="26" t="str">
        <f t="shared" ca="1" si="194"/>
        <v>木</v>
      </c>
      <c r="F1379" s="26">
        <f t="shared" si="195"/>
        <v>0</v>
      </c>
      <c r="G1379" s="26">
        <f>IF(ISNA(MATCH(A1379,祝日定義!E:E,0)),0,1)</f>
        <v>0</v>
      </c>
      <c r="H1379" s="26">
        <f>IF(ISNA(MATCH(B1379&amp;"/"&amp;C1379,そのた定義!E:E,0)), 0, 1)</f>
        <v>0</v>
      </c>
      <c r="I1379" s="26" t="b">
        <f t="shared" si="196"/>
        <v>0</v>
      </c>
      <c r="J1379" s="26">
        <v>0</v>
      </c>
      <c r="K1379" s="26" t="b">
        <f t="shared" si="191"/>
        <v>0</v>
      </c>
      <c r="L1379" s="26" t="b">
        <f t="shared" si="192"/>
        <v>0</v>
      </c>
      <c r="M1379" t="b">
        <f t="shared" si="197"/>
        <v>0</v>
      </c>
      <c r="N1379" t="b">
        <f t="shared" si="198"/>
        <v>0</v>
      </c>
    </row>
    <row r="1380" spans="1:14">
      <c r="A1380" s="29">
        <v>45940</v>
      </c>
      <c r="B1380" s="30">
        <f t="shared" si="190"/>
        <v>10</v>
      </c>
      <c r="C1380" s="30">
        <f t="shared" si="193"/>
        <v>10</v>
      </c>
      <c r="D1380" s="26">
        <f>MATCH(WEEKDAY(A1380),そのた定義!A:A,0)</f>
        <v>7</v>
      </c>
      <c r="E1380" s="26" t="str">
        <f t="shared" ca="1" si="194"/>
        <v>金</v>
      </c>
      <c r="F1380" s="26">
        <f t="shared" si="195"/>
        <v>0</v>
      </c>
      <c r="G1380" s="26">
        <f>IF(ISNA(MATCH(A1380,祝日定義!E:E,0)),0,1)</f>
        <v>0</v>
      </c>
      <c r="H1380" s="26">
        <f>IF(ISNA(MATCH(B1380&amp;"/"&amp;C1380,そのた定義!E:E,0)), 0, 1)</f>
        <v>0</v>
      </c>
      <c r="I1380" s="26" t="b">
        <f t="shared" si="196"/>
        <v>0</v>
      </c>
      <c r="J1380" s="26">
        <v>0</v>
      </c>
      <c r="K1380" s="26" t="b">
        <f t="shared" si="191"/>
        <v>0</v>
      </c>
      <c r="L1380" s="26" t="b">
        <f t="shared" si="192"/>
        <v>0</v>
      </c>
      <c r="M1380" t="b">
        <f t="shared" si="197"/>
        <v>0</v>
      </c>
      <c r="N1380" t="b">
        <f t="shared" si="198"/>
        <v>0</v>
      </c>
    </row>
    <row r="1381" spans="1:14">
      <c r="A1381" s="29">
        <v>45941</v>
      </c>
      <c r="B1381" s="30">
        <f t="shared" si="190"/>
        <v>10</v>
      </c>
      <c r="C1381" s="30">
        <f t="shared" si="193"/>
        <v>11</v>
      </c>
      <c r="D1381" s="26">
        <f>MATCH(WEEKDAY(A1381),そのた定義!A:A,0)</f>
        <v>8</v>
      </c>
      <c r="E1381" s="33" t="str">
        <f t="shared" ca="1" si="194"/>
        <v>土</v>
      </c>
      <c r="F1381" s="26">
        <f t="shared" si="195"/>
        <v>1</v>
      </c>
      <c r="G1381" s="26">
        <f>IF(ISNA(MATCH(A1381,祝日定義!E:E,0)),0,1)</f>
        <v>0</v>
      </c>
      <c r="H1381" s="26">
        <f>IF(ISNA(MATCH(B1381&amp;"/"&amp;C1381,そのた定義!E:E,0)), 0, 1)</f>
        <v>0</v>
      </c>
      <c r="I1381" s="23" t="b">
        <f t="shared" si="196"/>
        <v>1</v>
      </c>
      <c r="J1381" s="26">
        <v>0</v>
      </c>
      <c r="K1381" s="26" t="b">
        <f t="shared" si="191"/>
        <v>0</v>
      </c>
      <c r="L1381" s="26" t="b">
        <f t="shared" si="192"/>
        <v>0</v>
      </c>
      <c r="M1381" t="b">
        <f t="shared" si="197"/>
        <v>0</v>
      </c>
      <c r="N1381" t="b">
        <f t="shared" si="198"/>
        <v>0</v>
      </c>
    </row>
    <row r="1382" spans="1:14">
      <c r="A1382" s="29">
        <v>45942</v>
      </c>
      <c r="B1382" s="30">
        <f t="shared" si="190"/>
        <v>10</v>
      </c>
      <c r="C1382" s="30">
        <f t="shared" si="193"/>
        <v>12</v>
      </c>
      <c r="D1382" s="26">
        <f>MATCH(WEEKDAY(A1382),そのた定義!A:A,0)</f>
        <v>2</v>
      </c>
      <c r="E1382" s="32" t="str">
        <f t="shared" ca="1" si="194"/>
        <v>日</v>
      </c>
      <c r="F1382" s="26">
        <f t="shared" si="195"/>
        <v>1</v>
      </c>
      <c r="G1382" s="26">
        <f>IF(ISNA(MATCH(A1382,祝日定義!E:E,0)),0,1)</f>
        <v>0</v>
      </c>
      <c r="H1382" s="26">
        <f>IF(ISNA(MATCH(B1382&amp;"/"&amp;C1382,そのた定義!E:E,0)), 0, 1)</f>
        <v>0</v>
      </c>
      <c r="I1382" s="23" t="b">
        <f t="shared" si="196"/>
        <v>1</v>
      </c>
      <c r="J1382" s="26">
        <v>0</v>
      </c>
      <c r="K1382" s="26" t="b">
        <f t="shared" si="191"/>
        <v>0</v>
      </c>
      <c r="L1382" s="26" t="b">
        <f t="shared" si="192"/>
        <v>0</v>
      </c>
      <c r="M1382" t="b">
        <f t="shared" si="197"/>
        <v>0</v>
      </c>
      <c r="N1382" t="b">
        <f t="shared" si="198"/>
        <v>0</v>
      </c>
    </row>
    <row r="1383" spans="1:14">
      <c r="A1383" s="29">
        <v>45943</v>
      </c>
      <c r="B1383" s="30">
        <f t="shared" si="190"/>
        <v>10</v>
      </c>
      <c r="C1383" s="30">
        <f t="shared" si="193"/>
        <v>13</v>
      </c>
      <c r="D1383" s="26">
        <f>MATCH(WEEKDAY(A1383),そのた定義!A:A,0)</f>
        <v>3</v>
      </c>
      <c r="E1383" s="31" t="str">
        <f t="shared" ca="1" si="194"/>
        <v>月</v>
      </c>
      <c r="F1383" s="26">
        <f t="shared" si="195"/>
        <v>0</v>
      </c>
      <c r="G1383" s="26">
        <f>IF(ISNA(MATCH(A1383,祝日定義!E:E,0)),0,1)</f>
        <v>1</v>
      </c>
      <c r="H1383" s="26">
        <f>IF(ISNA(MATCH(B1383&amp;"/"&amp;C1383,そのた定義!E:E,0)), 0, 1)</f>
        <v>0</v>
      </c>
      <c r="I1383" s="23" t="b">
        <f t="shared" si="196"/>
        <v>1</v>
      </c>
      <c r="J1383" s="26">
        <v>0</v>
      </c>
      <c r="K1383" s="26" t="b">
        <f t="shared" si="191"/>
        <v>0</v>
      </c>
      <c r="L1383" s="26" t="b">
        <f t="shared" si="192"/>
        <v>0</v>
      </c>
      <c r="M1383" t="b">
        <f t="shared" si="197"/>
        <v>0</v>
      </c>
      <c r="N1383" t="b">
        <f t="shared" si="198"/>
        <v>0</v>
      </c>
    </row>
    <row r="1384" spans="1:14">
      <c r="A1384" s="29">
        <v>45944</v>
      </c>
      <c r="B1384" s="30">
        <f t="shared" si="190"/>
        <v>10</v>
      </c>
      <c r="C1384" s="30">
        <f t="shared" si="193"/>
        <v>14</v>
      </c>
      <c r="D1384" s="26">
        <f>MATCH(WEEKDAY(A1384),そのた定義!A:A,0)</f>
        <v>4</v>
      </c>
      <c r="E1384" s="26" t="str">
        <f t="shared" ca="1" si="194"/>
        <v>火</v>
      </c>
      <c r="F1384" s="26">
        <f t="shared" si="195"/>
        <v>0</v>
      </c>
      <c r="G1384" s="26">
        <f>IF(ISNA(MATCH(A1384,祝日定義!E:E,0)),0,1)</f>
        <v>0</v>
      </c>
      <c r="H1384" s="26">
        <f>IF(ISNA(MATCH(B1384&amp;"/"&amp;C1384,そのた定義!E:E,0)), 0, 1)</f>
        <v>0</v>
      </c>
      <c r="I1384" s="26" t="b">
        <f t="shared" si="196"/>
        <v>0</v>
      </c>
      <c r="J1384" s="26">
        <v>3</v>
      </c>
      <c r="K1384" s="26" t="b">
        <f t="shared" si="191"/>
        <v>0</v>
      </c>
      <c r="L1384" s="26" t="b">
        <f t="shared" si="192"/>
        <v>0</v>
      </c>
      <c r="M1384" t="b">
        <f t="shared" si="197"/>
        <v>0</v>
      </c>
      <c r="N1384" t="b">
        <f t="shared" si="198"/>
        <v>0</v>
      </c>
    </row>
    <row r="1385" spans="1:14">
      <c r="A1385" s="29">
        <v>45945</v>
      </c>
      <c r="B1385" s="30">
        <f t="shared" si="190"/>
        <v>10</v>
      </c>
      <c r="C1385" s="30">
        <f t="shared" si="193"/>
        <v>15</v>
      </c>
      <c r="D1385" s="26">
        <f>MATCH(WEEKDAY(A1385),そのた定義!A:A,0)</f>
        <v>5</v>
      </c>
      <c r="E1385" s="26" t="str">
        <f t="shared" ca="1" si="194"/>
        <v>水</v>
      </c>
      <c r="F1385" s="26">
        <f t="shared" si="195"/>
        <v>0</v>
      </c>
      <c r="G1385" s="26">
        <f>IF(ISNA(MATCH(A1385,祝日定義!E:E,0)),0,1)</f>
        <v>0</v>
      </c>
      <c r="H1385" s="26">
        <f>IF(ISNA(MATCH(B1385&amp;"/"&amp;C1385,そのた定義!E:E,0)), 0, 1)</f>
        <v>0</v>
      </c>
      <c r="I1385" s="26" t="b">
        <f t="shared" si="196"/>
        <v>0</v>
      </c>
      <c r="J1385" s="26">
        <v>0</v>
      </c>
      <c r="K1385" s="26" t="b">
        <f t="shared" si="191"/>
        <v>0</v>
      </c>
      <c r="L1385" s="26" t="b">
        <f t="shared" si="192"/>
        <v>0</v>
      </c>
      <c r="M1385" t="b">
        <f t="shared" si="197"/>
        <v>0</v>
      </c>
      <c r="N1385" t="b">
        <f t="shared" si="198"/>
        <v>0</v>
      </c>
    </row>
    <row r="1386" spans="1:14">
      <c r="A1386" s="29">
        <v>45946</v>
      </c>
      <c r="B1386" s="30">
        <f t="shared" si="190"/>
        <v>10</v>
      </c>
      <c r="C1386" s="30">
        <f t="shared" si="193"/>
        <v>16</v>
      </c>
      <c r="D1386" s="26">
        <f>MATCH(WEEKDAY(A1386),そのた定義!A:A,0)</f>
        <v>6</v>
      </c>
      <c r="E1386" s="26" t="str">
        <f t="shared" ca="1" si="194"/>
        <v>木</v>
      </c>
      <c r="F1386" s="26">
        <f t="shared" si="195"/>
        <v>0</v>
      </c>
      <c r="G1386" s="26">
        <f>IF(ISNA(MATCH(A1386,祝日定義!E:E,0)),0,1)</f>
        <v>0</v>
      </c>
      <c r="H1386" s="26">
        <f>IF(ISNA(MATCH(B1386&amp;"/"&amp;C1386,そのた定義!E:E,0)), 0, 1)</f>
        <v>0</v>
      </c>
      <c r="I1386" s="26" t="b">
        <f t="shared" si="196"/>
        <v>0</v>
      </c>
      <c r="J1386" s="26">
        <v>0</v>
      </c>
      <c r="K1386" s="26" t="b">
        <f t="shared" si="191"/>
        <v>0</v>
      </c>
      <c r="L1386" s="26" t="b">
        <f t="shared" si="192"/>
        <v>0</v>
      </c>
      <c r="M1386" t="b">
        <f t="shared" si="197"/>
        <v>0</v>
      </c>
      <c r="N1386" t="b">
        <f t="shared" si="198"/>
        <v>0</v>
      </c>
    </row>
    <row r="1387" spans="1:14">
      <c r="A1387" s="29">
        <v>45947</v>
      </c>
      <c r="B1387" s="30">
        <f t="shared" si="190"/>
        <v>10</v>
      </c>
      <c r="C1387" s="30">
        <f t="shared" si="193"/>
        <v>17</v>
      </c>
      <c r="D1387" s="26">
        <f>MATCH(WEEKDAY(A1387),そのた定義!A:A,0)</f>
        <v>7</v>
      </c>
      <c r="E1387" s="26" t="str">
        <f t="shared" ca="1" si="194"/>
        <v>金</v>
      </c>
      <c r="F1387" s="26">
        <f t="shared" si="195"/>
        <v>0</v>
      </c>
      <c r="G1387" s="26">
        <f>IF(ISNA(MATCH(A1387,祝日定義!E:E,0)),0,1)</f>
        <v>0</v>
      </c>
      <c r="H1387" s="26">
        <f>IF(ISNA(MATCH(B1387&amp;"/"&amp;C1387,そのた定義!E:E,0)), 0, 1)</f>
        <v>0</v>
      </c>
      <c r="I1387" s="26" t="b">
        <f t="shared" si="196"/>
        <v>0</v>
      </c>
      <c r="J1387" s="26">
        <v>0</v>
      </c>
      <c r="K1387" s="26" t="b">
        <f t="shared" si="191"/>
        <v>0</v>
      </c>
      <c r="L1387" s="26" t="b">
        <f t="shared" si="192"/>
        <v>0</v>
      </c>
      <c r="M1387" t="b">
        <f t="shared" si="197"/>
        <v>0</v>
      </c>
      <c r="N1387" t="b">
        <f t="shared" si="198"/>
        <v>0</v>
      </c>
    </row>
    <row r="1388" spans="1:14">
      <c r="A1388" s="29">
        <v>45948</v>
      </c>
      <c r="B1388" s="30">
        <f t="shared" si="190"/>
        <v>10</v>
      </c>
      <c r="C1388" s="30">
        <f t="shared" si="193"/>
        <v>18</v>
      </c>
      <c r="D1388" s="26">
        <f>MATCH(WEEKDAY(A1388),そのた定義!A:A,0)</f>
        <v>8</v>
      </c>
      <c r="E1388" s="33" t="str">
        <f t="shared" ca="1" si="194"/>
        <v>土</v>
      </c>
      <c r="F1388" s="26">
        <f t="shared" si="195"/>
        <v>1</v>
      </c>
      <c r="G1388" s="26">
        <f>IF(ISNA(MATCH(A1388,祝日定義!E:E,0)),0,1)</f>
        <v>0</v>
      </c>
      <c r="H1388" s="26">
        <f>IF(ISNA(MATCH(B1388&amp;"/"&amp;C1388,そのた定義!E:E,0)), 0, 1)</f>
        <v>0</v>
      </c>
      <c r="I1388" s="23" t="b">
        <f t="shared" si="196"/>
        <v>1</v>
      </c>
      <c r="J1388" s="26">
        <v>0</v>
      </c>
      <c r="K1388" s="26" t="b">
        <f t="shared" si="191"/>
        <v>0</v>
      </c>
      <c r="L1388" s="26" t="b">
        <f t="shared" si="192"/>
        <v>0</v>
      </c>
      <c r="M1388" t="b">
        <f t="shared" si="197"/>
        <v>0</v>
      </c>
      <c r="N1388" t="b">
        <f t="shared" si="198"/>
        <v>0</v>
      </c>
    </row>
    <row r="1389" spans="1:14">
      <c r="A1389" s="29">
        <v>45949</v>
      </c>
      <c r="B1389" s="30">
        <f t="shared" si="190"/>
        <v>10</v>
      </c>
      <c r="C1389" s="30">
        <f t="shared" si="193"/>
        <v>19</v>
      </c>
      <c r="D1389" s="26">
        <f>MATCH(WEEKDAY(A1389),そのた定義!A:A,0)</f>
        <v>2</v>
      </c>
      <c r="E1389" s="32" t="str">
        <f t="shared" ca="1" si="194"/>
        <v>日</v>
      </c>
      <c r="F1389" s="26">
        <f t="shared" si="195"/>
        <v>1</v>
      </c>
      <c r="G1389" s="26">
        <f>IF(ISNA(MATCH(A1389,祝日定義!E:E,0)),0,1)</f>
        <v>0</v>
      </c>
      <c r="H1389" s="26">
        <f>IF(ISNA(MATCH(B1389&amp;"/"&amp;C1389,そのた定義!E:E,0)), 0, 1)</f>
        <v>0</v>
      </c>
      <c r="I1389" s="23" t="b">
        <f t="shared" si="196"/>
        <v>1</v>
      </c>
      <c r="J1389" s="26">
        <v>0</v>
      </c>
      <c r="K1389" s="26" t="b">
        <f t="shared" si="191"/>
        <v>0</v>
      </c>
      <c r="L1389" s="26" t="b">
        <f t="shared" si="192"/>
        <v>0</v>
      </c>
      <c r="M1389" t="b">
        <f t="shared" si="197"/>
        <v>0</v>
      </c>
      <c r="N1389" t="b">
        <f t="shared" si="198"/>
        <v>0</v>
      </c>
    </row>
    <row r="1390" spans="1:14">
      <c r="A1390" s="29">
        <v>45950</v>
      </c>
      <c r="B1390" s="30">
        <f t="shared" si="190"/>
        <v>10</v>
      </c>
      <c r="C1390" s="30">
        <f t="shared" si="193"/>
        <v>20</v>
      </c>
      <c r="D1390" s="26">
        <f>MATCH(WEEKDAY(A1390),そのた定義!A:A,0)</f>
        <v>3</v>
      </c>
      <c r="E1390" s="26" t="str">
        <f t="shared" ca="1" si="194"/>
        <v>月</v>
      </c>
      <c r="F1390" s="26">
        <f t="shared" si="195"/>
        <v>0</v>
      </c>
      <c r="G1390" s="26">
        <f>IF(ISNA(MATCH(A1390,祝日定義!E:E,0)),0,1)</f>
        <v>0</v>
      </c>
      <c r="H1390" s="26">
        <f>IF(ISNA(MATCH(B1390&amp;"/"&amp;C1390,そのた定義!E:E,0)), 0, 1)</f>
        <v>0</v>
      </c>
      <c r="I1390" s="26" t="b">
        <f t="shared" si="196"/>
        <v>0</v>
      </c>
      <c r="J1390" s="26">
        <v>2</v>
      </c>
      <c r="K1390" s="26" t="b">
        <f t="shared" si="191"/>
        <v>0</v>
      </c>
      <c r="L1390" s="26" t="b">
        <f t="shared" si="192"/>
        <v>0</v>
      </c>
      <c r="M1390" t="b">
        <f t="shared" si="197"/>
        <v>0</v>
      </c>
      <c r="N1390" t="b">
        <f t="shared" si="198"/>
        <v>0</v>
      </c>
    </row>
    <row r="1391" spans="1:14">
      <c r="A1391" s="29">
        <v>45951</v>
      </c>
      <c r="B1391" s="30">
        <f t="shared" si="190"/>
        <v>10</v>
      </c>
      <c r="C1391" s="30">
        <f t="shared" si="193"/>
        <v>21</v>
      </c>
      <c r="D1391" s="26">
        <f>MATCH(WEEKDAY(A1391),そのた定義!A:A,0)</f>
        <v>4</v>
      </c>
      <c r="E1391" s="26" t="str">
        <f t="shared" ca="1" si="194"/>
        <v>火</v>
      </c>
      <c r="F1391" s="26">
        <f t="shared" si="195"/>
        <v>0</v>
      </c>
      <c r="G1391" s="26">
        <f>IF(ISNA(MATCH(A1391,祝日定義!E:E,0)),0,1)</f>
        <v>0</v>
      </c>
      <c r="H1391" s="26">
        <f>IF(ISNA(MATCH(B1391&amp;"/"&amp;C1391,そのた定義!E:E,0)), 0, 1)</f>
        <v>0</v>
      </c>
      <c r="I1391" s="26" t="b">
        <f t="shared" si="196"/>
        <v>0</v>
      </c>
      <c r="J1391" s="26">
        <v>0</v>
      </c>
      <c r="K1391" s="26" t="b">
        <f t="shared" si="191"/>
        <v>0</v>
      </c>
      <c r="L1391" s="26" t="b">
        <f t="shared" si="192"/>
        <v>0</v>
      </c>
      <c r="M1391" t="b">
        <f t="shared" si="197"/>
        <v>0</v>
      </c>
      <c r="N1391" t="b">
        <f t="shared" si="198"/>
        <v>0</v>
      </c>
    </row>
    <row r="1392" spans="1:14">
      <c r="A1392" s="29">
        <v>45952</v>
      </c>
      <c r="B1392" s="30">
        <f t="shared" si="190"/>
        <v>10</v>
      </c>
      <c r="C1392" s="30">
        <f t="shared" si="193"/>
        <v>22</v>
      </c>
      <c r="D1392" s="26">
        <f>MATCH(WEEKDAY(A1392),そのた定義!A:A,0)</f>
        <v>5</v>
      </c>
      <c r="E1392" s="26" t="str">
        <f t="shared" ca="1" si="194"/>
        <v>水</v>
      </c>
      <c r="F1392" s="26">
        <f t="shared" si="195"/>
        <v>0</v>
      </c>
      <c r="G1392" s="26">
        <f>IF(ISNA(MATCH(A1392,祝日定義!E:E,0)),0,1)</f>
        <v>0</v>
      </c>
      <c r="H1392" s="26">
        <f>IF(ISNA(MATCH(B1392&amp;"/"&amp;C1392,そのた定義!E:E,0)), 0, 1)</f>
        <v>0</v>
      </c>
      <c r="I1392" s="26" t="b">
        <f t="shared" si="196"/>
        <v>0</v>
      </c>
      <c r="J1392" s="26">
        <v>0</v>
      </c>
      <c r="K1392" s="26" t="b">
        <f t="shared" si="191"/>
        <v>0</v>
      </c>
      <c r="L1392" s="26" t="b">
        <f t="shared" si="192"/>
        <v>0</v>
      </c>
      <c r="M1392" t="b">
        <f t="shared" si="197"/>
        <v>0</v>
      </c>
      <c r="N1392" t="b">
        <f t="shared" si="198"/>
        <v>0</v>
      </c>
    </row>
    <row r="1393" spans="1:14">
      <c r="A1393" s="29">
        <v>45953</v>
      </c>
      <c r="B1393" s="30">
        <f t="shared" si="190"/>
        <v>10</v>
      </c>
      <c r="C1393" s="30">
        <f t="shared" si="193"/>
        <v>23</v>
      </c>
      <c r="D1393" s="26">
        <f>MATCH(WEEKDAY(A1393),そのた定義!A:A,0)</f>
        <v>6</v>
      </c>
      <c r="E1393" s="26" t="str">
        <f t="shared" ca="1" si="194"/>
        <v>木</v>
      </c>
      <c r="F1393" s="26">
        <f t="shared" si="195"/>
        <v>0</v>
      </c>
      <c r="G1393" s="26">
        <f>IF(ISNA(MATCH(A1393,祝日定義!E:E,0)),0,1)</f>
        <v>0</v>
      </c>
      <c r="H1393" s="26">
        <f>IF(ISNA(MATCH(B1393&amp;"/"&amp;C1393,そのた定義!E:E,0)), 0, 1)</f>
        <v>0</v>
      </c>
      <c r="I1393" s="26" t="b">
        <f t="shared" si="196"/>
        <v>0</v>
      </c>
      <c r="J1393" s="26">
        <v>0</v>
      </c>
      <c r="K1393" s="26" t="b">
        <f t="shared" si="191"/>
        <v>0</v>
      </c>
      <c r="L1393" s="26" t="b">
        <f t="shared" si="192"/>
        <v>0</v>
      </c>
      <c r="M1393" t="b">
        <f t="shared" si="197"/>
        <v>0</v>
      </c>
      <c r="N1393" t="b">
        <f t="shared" si="198"/>
        <v>0</v>
      </c>
    </row>
    <row r="1394" spans="1:14">
      <c r="A1394" s="29">
        <v>45954</v>
      </c>
      <c r="B1394" s="30">
        <f t="shared" si="190"/>
        <v>10</v>
      </c>
      <c r="C1394" s="30">
        <f t="shared" si="193"/>
        <v>24</v>
      </c>
      <c r="D1394" s="26">
        <f>MATCH(WEEKDAY(A1394),そのた定義!A:A,0)</f>
        <v>7</v>
      </c>
      <c r="E1394" s="26" t="str">
        <f t="shared" ca="1" si="194"/>
        <v>金</v>
      </c>
      <c r="F1394" s="26">
        <f t="shared" si="195"/>
        <v>0</v>
      </c>
      <c r="G1394" s="26">
        <f>IF(ISNA(MATCH(A1394,祝日定義!E:E,0)),0,1)</f>
        <v>0</v>
      </c>
      <c r="H1394" s="26">
        <f>IF(ISNA(MATCH(B1394&amp;"/"&amp;C1394,そのた定義!E:E,0)), 0, 1)</f>
        <v>0</v>
      </c>
      <c r="I1394" s="26" t="b">
        <f t="shared" si="196"/>
        <v>0</v>
      </c>
      <c r="J1394" s="26">
        <v>0</v>
      </c>
      <c r="K1394" s="26" t="b">
        <f t="shared" si="191"/>
        <v>0</v>
      </c>
      <c r="L1394" s="26" t="b">
        <f t="shared" si="192"/>
        <v>0</v>
      </c>
      <c r="M1394" t="b">
        <f t="shared" si="197"/>
        <v>0</v>
      </c>
      <c r="N1394" t="b">
        <f t="shared" si="198"/>
        <v>0</v>
      </c>
    </row>
    <row r="1395" spans="1:14">
      <c r="A1395" s="29">
        <v>45955</v>
      </c>
      <c r="B1395" s="30">
        <f t="shared" si="190"/>
        <v>10</v>
      </c>
      <c r="C1395" s="30">
        <f t="shared" si="193"/>
        <v>25</v>
      </c>
      <c r="D1395" s="26">
        <f>MATCH(WEEKDAY(A1395),そのた定義!A:A,0)</f>
        <v>8</v>
      </c>
      <c r="E1395" s="33" t="str">
        <f t="shared" ca="1" si="194"/>
        <v>土</v>
      </c>
      <c r="F1395" s="26">
        <f t="shared" si="195"/>
        <v>1</v>
      </c>
      <c r="G1395" s="26">
        <f>IF(ISNA(MATCH(A1395,祝日定義!E:E,0)),0,1)</f>
        <v>0</v>
      </c>
      <c r="H1395" s="26">
        <f>IF(ISNA(MATCH(B1395&amp;"/"&amp;C1395,そのた定義!E:E,0)), 0, 1)</f>
        <v>0</v>
      </c>
      <c r="I1395" s="23" t="b">
        <f t="shared" si="196"/>
        <v>1</v>
      </c>
      <c r="J1395" s="26">
        <v>0</v>
      </c>
      <c r="K1395" s="26" t="b">
        <f t="shared" si="191"/>
        <v>0</v>
      </c>
      <c r="L1395" s="23" t="b">
        <f t="shared" si="192"/>
        <v>1</v>
      </c>
      <c r="M1395" t="b">
        <f t="shared" si="197"/>
        <v>0</v>
      </c>
      <c r="N1395" t="b">
        <f t="shared" si="198"/>
        <v>0</v>
      </c>
    </row>
    <row r="1396" spans="1:14">
      <c r="A1396" s="29">
        <v>45956</v>
      </c>
      <c r="B1396" s="30">
        <f t="shared" si="190"/>
        <v>10</v>
      </c>
      <c r="C1396" s="30">
        <f t="shared" si="193"/>
        <v>26</v>
      </c>
      <c r="D1396" s="26">
        <f>MATCH(WEEKDAY(A1396),そのた定義!A:A,0)</f>
        <v>2</v>
      </c>
      <c r="E1396" s="32" t="str">
        <f t="shared" ca="1" si="194"/>
        <v>日</v>
      </c>
      <c r="F1396" s="26">
        <f t="shared" si="195"/>
        <v>1</v>
      </c>
      <c r="G1396" s="26">
        <f>IF(ISNA(MATCH(A1396,祝日定義!E:E,0)),0,1)</f>
        <v>0</v>
      </c>
      <c r="H1396" s="26">
        <f>IF(ISNA(MATCH(B1396&amp;"/"&amp;C1396,そのた定義!E:E,0)), 0, 1)</f>
        <v>0</v>
      </c>
      <c r="I1396" s="23" t="b">
        <f t="shared" si="196"/>
        <v>1</v>
      </c>
      <c r="J1396" s="26">
        <v>0</v>
      </c>
      <c r="K1396" s="26" t="b">
        <f t="shared" si="191"/>
        <v>0</v>
      </c>
      <c r="L1396" s="26" t="b">
        <f t="shared" si="192"/>
        <v>0</v>
      </c>
      <c r="M1396" t="b">
        <f t="shared" si="197"/>
        <v>0</v>
      </c>
      <c r="N1396" t="b">
        <f t="shared" si="198"/>
        <v>0</v>
      </c>
    </row>
    <row r="1397" spans="1:14">
      <c r="A1397" s="29">
        <v>45957</v>
      </c>
      <c r="B1397" s="30">
        <f t="shared" si="190"/>
        <v>10</v>
      </c>
      <c r="C1397" s="30">
        <f t="shared" si="193"/>
        <v>27</v>
      </c>
      <c r="D1397" s="26">
        <f>MATCH(WEEKDAY(A1397),そのた定義!A:A,0)</f>
        <v>3</v>
      </c>
      <c r="E1397" s="26" t="str">
        <f t="shared" ca="1" si="194"/>
        <v>月</v>
      </c>
      <c r="F1397" s="26">
        <f t="shared" si="195"/>
        <v>0</v>
      </c>
      <c r="G1397" s="26">
        <f>IF(ISNA(MATCH(A1397,祝日定義!E:E,0)),0,1)</f>
        <v>0</v>
      </c>
      <c r="H1397" s="26">
        <f>IF(ISNA(MATCH(B1397&amp;"/"&amp;C1397,そのた定義!E:E,0)), 0, 1)</f>
        <v>0</v>
      </c>
      <c r="I1397" s="26" t="b">
        <f t="shared" si="196"/>
        <v>0</v>
      </c>
      <c r="J1397" s="26">
        <v>2</v>
      </c>
      <c r="K1397" s="23" t="b">
        <f t="shared" si="191"/>
        <v>1</v>
      </c>
      <c r="L1397" s="26" t="b">
        <f t="shared" si="192"/>
        <v>0</v>
      </c>
      <c r="M1397" t="b">
        <f t="shared" si="197"/>
        <v>0</v>
      </c>
      <c r="N1397" t="b">
        <f t="shared" si="198"/>
        <v>0</v>
      </c>
    </row>
    <row r="1398" spans="1:14">
      <c r="A1398" s="29">
        <v>45958</v>
      </c>
      <c r="B1398" s="30">
        <f t="shared" si="190"/>
        <v>10</v>
      </c>
      <c r="C1398" s="30">
        <f t="shared" si="193"/>
        <v>28</v>
      </c>
      <c r="D1398" s="26">
        <f>MATCH(WEEKDAY(A1398),そのた定義!A:A,0)</f>
        <v>4</v>
      </c>
      <c r="E1398" s="26" t="str">
        <f t="shared" ca="1" si="194"/>
        <v>火</v>
      </c>
      <c r="F1398" s="26">
        <f t="shared" si="195"/>
        <v>0</v>
      </c>
      <c r="G1398" s="26">
        <f>IF(ISNA(MATCH(A1398,祝日定義!E:E,0)),0,1)</f>
        <v>0</v>
      </c>
      <c r="H1398" s="26">
        <f>IF(ISNA(MATCH(B1398&amp;"/"&amp;C1398,そのた定義!E:E,0)), 0, 1)</f>
        <v>0</v>
      </c>
      <c r="I1398" s="26" t="b">
        <f t="shared" si="196"/>
        <v>0</v>
      </c>
      <c r="J1398" s="26">
        <v>0</v>
      </c>
      <c r="K1398" s="26" t="b">
        <f t="shared" si="191"/>
        <v>0</v>
      </c>
      <c r="L1398" s="26" t="b">
        <f t="shared" si="192"/>
        <v>0</v>
      </c>
      <c r="M1398" t="b">
        <f t="shared" si="197"/>
        <v>0</v>
      </c>
      <c r="N1398" t="b">
        <f t="shared" si="198"/>
        <v>0</v>
      </c>
    </row>
    <row r="1399" spans="1:14">
      <c r="A1399" s="29">
        <v>45959</v>
      </c>
      <c r="B1399" s="30">
        <f t="shared" si="190"/>
        <v>10</v>
      </c>
      <c r="C1399" s="30">
        <f t="shared" si="193"/>
        <v>29</v>
      </c>
      <c r="D1399" s="26">
        <f>MATCH(WEEKDAY(A1399),そのた定義!A:A,0)</f>
        <v>5</v>
      </c>
      <c r="E1399" s="26" t="str">
        <f t="shared" ca="1" si="194"/>
        <v>水</v>
      </c>
      <c r="F1399" s="26">
        <f t="shared" si="195"/>
        <v>0</v>
      </c>
      <c r="G1399" s="26">
        <f>IF(ISNA(MATCH(A1399,祝日定義!E:E,0)),0,1)</f>
        <v>0</v>
      </c>
      <c r="H1399" s="26">
        <f>IF(ISNA(MATCH(B1399&amp;"/"&amp;C1399,そのた定義!E:E,0)), 0, 1)</f>
        <v>0</v>
      </c>
      <c r="I1399" s="26" t="b">
        <f t="shared" si="196"/>
        <v>0</v>
      </c>
      <c r="J1399" s="26">
        <v>0</v>
      </c>
      <c r="K1399" s="26" t="b">
        <f t="shared" si="191"/>
        <v>0</v>
      </c>
      <c r="L1399" s="26" t="b">
        <f t="shared" si="192"/>
        <v>0</v>
      </c>
      <c r="M1399" t="b">
        <f t="shared" si="197"/>
        <v>0</v>
      </c>
      <c r="N1399" t="b">
        <f t="shared" si="198"/>
        <v>0</v>
      </c>
    </row>
    <row r="1400" spans="1:14">
      <c r="A1400" s="29">
        <v>45960</v>
      </c>
      <c r="B1400" s="30">
        <f t="shared" si="190"/>
        <v>10</v>
      </c>
      <c r="C1400" s="30">
        <f t="shared" si="193"/>
        <v>30</v>
      </c>
      <c r="D1400" s="26">
        <f>MATCH(WEEKDAY(A1400),そのた定義!A:A,0)</f>
        <v>6</v>
      </c>
      <c r="E1400" s="26" t="str">
        <f t="shared" ca="1" si="194"/>
        <v>木</v>
      </c>
      <c r="F1400" s="26">
        <f t="shared" si="195"/>
        <v>0</v>
      </c>
      <c r="G1400" s="26">
        <f>IF(ISNA(MATCH(A1400,祝日定義!E:E,0)),0,1)</f>
        <v>0</v>
      </c>
      <c r="H1400" s="26">
        <f>IF(ISNA(MATCH(B1400&amp;"/"&amp;C1400,そのた定義!E:E,0)), 0, 1)</f>
        <v>0</v>
      </c>
      <c r="I1400" s="26" t="b">
        <f t="shared" si="196"/>
        <v>0</v>
      </c>
      <c r="J1400" s="26">
        <v>0</v>
      </c>
      <c r="K1400" s="26" t="b">
        <f t="shared" si="191"/>
        <v>0</v>
      </c>
      <c r="L1400" s="26" t="b">
        <f t="shared" si="192"/>
        <v>0</v>
      </c>
      <c r="M1400" t="b">
        <f t="shared" si="197"/>
        <v>0</v>
      </c>
      <c r="N1400" t="b">
        <f t="shared" si="198"/>
        <v>0</v>
      </c>
    </row>
    <row r="1401" spans="1:14">
      <c r="A1401" s="29">
        <v>45961</v>
      </c>
      <c r="B1401" s="30">
        <f t="shared" si="190"/>
        <v>10</v>
      </c>
      <c r="C1401" s="30">
        <f t="shared" si="193"/>
        <v>31</v>
      </c>
      <c r="D1401" s="26">
        <f>MATCH(WEEKDAY(A1401),そのた定義!A:A,0)</f>
        <v>7</v>
      </c>
      <c r="E1401" s="26" t="str">
        <f t="shared" ca="1" si="194"/>
        <v>金</v>
      </c>
      <c r="F1401" s="26">
        <f t="shared" si="195"/>
        <v>0</v>
      </c>
      <c r="G1401" s="26">
        <f>IF(ISNA(MATCH(A1401,祝日定義!E:E,0)),0,1)</f>
        <v>0</v>
      </c>
      <c r="H1401" s="26">
        <f>IF(ISNA(MATCH(B1401&amp;"/"&amp;C1401,そのた定義!E:E,0)), 0, 1)</f>
        <v>0</v>
      </c>
      <c r="I1401" s="26" t="b">
        <f t="shared" si="196"/>
        <v>0</v>
      </c>
      <c r="J1401" s="26">
        <v>0</v>
      </c>
      <c r="K1401" s="26" t="b">
        <f t="shared" si="191"/>
        <v>0</v>
      </c>
      <c r="L1401" s="26" t="b">
        <f t="shared" si="192"/>
        <v>0</v>
      </c>
      <c r="M1401" t="b">
        <f t="shared" si="197"/>
        <v>0</v>
      </c>
      <c r="N1401" t="b">
        <f t="shared" si="198"/>
        <v>1</v>
      </c>
    </row>
    <row r="1402" spans="1:14">
      <c r="A1402" s="29">
        <v>45962</v>
      </c>
      <c r="B1402" s="30">
        <f t="shared" si="190"/>
        <v>11</v>
      </c>
      <c r="C1402" s="30">
        <f t="shared" si="193"/>
        <v>1</v>
      </c>
      <c r="D1402" s="26">
        <f>MATCH(WEEKDAY(A1402),そのた定義!A:A,0)</f>
        <v>8</v>
      </c>
      <c r="E1402" s="33" t="str">
        <f t="shared" ca="1" si="194"/>
        <v>土</v>
      </c>
      <c r="F1402" s="26">
        <f t="shared" si="195"/>
        <v>1</v>
      </c>
      <c r="G1402" s="26">
        <f>IF(ISNA(MATCH(A1402,祝日定義!E:E,0)),0,1)</f>
        <v>0</v>
      </c>
      <c r="H1402" s="26">
        <f>IF(ISNA(MATCH(B1402&amp;"/"&amp;C1402,そのた定義!E:E,0)), 0, 1)</f>
        <v>0</v>
      </c>
      <c r="I1402" s="23" t="b">
        <f t="shared" si="196"/>
        <v>1</v>
      </c>
      <c r="J1402" s="26">
        <v>0</v>
      </c>
      <c r="K1402" s="26" t="b">
        <f t="shared" si="191"/>
        <v>0</v>
      </c>
      <c r="L1402" s="26" t="b">
        <f t="shared" si="192"/>
        <v>0</v>
      </c>
      <c r="M1402" t="b">
        <f t="shared" si="197"/>
        <v>0</v>
      </c>
      <c r="N1402" t="b">
        <f t="shared" si="198"/>
        <v>0</v>
      </c>
    </row>
    <row r="1403" spans="1:14">
      <c r="A1403" s="29">
        <v>45963</v>
      </c>
      <c r="B1403" s="30">
        <f t="shared" si="190"/>
        <v>11</v>
      </c>
      <c r="C1403" s="30">
        <f t="shared" si="193"/>
        <v>2</v>
      </c>
      <c r="D1403" s="26">
        <f>MATCH(WEEKDAY(A1403),そのた定義!A:A,0)</f>
        <v>2</v>
      </c>
      <c r="E1403" s="32" t="str">
        <f t="shared" ca="1" si="194"/>
        <v>日</v>
      </c>
      <c r="F1403" s="26">
        <f t="shared" si="195"/>
        <v>1</v>
      </c>
      <c r="G1403" s="26">
        <f>IF(ISNA(MATCH(A1403,祝日定義!E:E,0)),0,1)</f>
        <v>0</v>
      </c>
      <c r="H1403" s="26">
        <f>IF(ISNA(MATCH(B1403&amp;"/"&amp;C1403,そのた定義!E:E,0)), 0, 1)</f>
        <v>0</v>
      </c>
      <c r="I1403" s="23" t="b">
        <f t="shared" si="196"/>
        <v>1</v>
      </c>
      <c r="J1403" s="26">
        <v>0</v>
      </c>
      <c r="K1403" s="26" t="b">
        <f t="shared" si="191"/>
        <v>0</v>
      </c>
      <c r="L1403" s="26" t="b">
        <f t="shared" si="192"/>
        <v>0</v>
      </c>
      <c r="M1403" t="b">
        <f t="shared" si="197"/>
        <v>0</v>
      </c>
      <c r="N1403" t="b">
        <f t="shared" si="198"/>
        <v>0</v>
      </c>
    </row>
    <row r="1404" spans="1:14">
      <c r="A1404" s="29">
        <v>45964</v>
      </c>
      <c r="B1404" s="30">
        <f t="shared" si="190"/>
        <v>11</v>
      </c>
      <c r="C1404" s="30">
        <f t="shared" si="193"/>
        <v>3</v>
      </c>
      <c r="D1404" s="26">
        <f>MATCH(WEEKDAY(A1404),そのた定義!A:A,0)</f>
        <v>3</v>
      </c>
      <c r="E1404" s="31" t="str">
        <f t="shared" ca="1" si="194"/>
        <v>月</v>
      </c>
      <c r="F1404" s="26">
        <f t="shared" si="195"/>
        <v>0</v>
      </c>
      <c r="G1404" s="26">
        <f>IF(ISNA(MATCH(A1404,祝日定義!E:E,0)),0,1)</f>
        <v>1</v>
      </c>
      <c r="H1404" s="26">
        <f>IF(ISNA(MATCH(B1404&amp;"/"&amp;C1404,そのた定義!E:E,0)), 0, 1)</f>
        <v>0</v>
      </c>
      <c r="I1404" s="23" t="b">
        <f t="shared" si="196"/>
        <v>1</v>
      </c>
      <c r="J1404" s="26">
        <v>0</v>
      </c>
      <c r="K1404" s="26" t="b">
        <f t="shared" si="191"/>
        <v>0</v>
      </c>
      <c r="L1404" s="26" t="b">
        <f t="shared" si="192"/>
        <v>0</v>
      </c>
      <c r="M1404" t="b">
        <f t="shared" si="197"/>
        <v>0</v>
      </c>
      <c r="N1404" t="b">
        <f t="shared" si="198"/>
        <v>0</v>
      </c>
    </row>
    <row r="1405" spans="1:14">
      <c r="A1405" s="29">
        <v>45965</v>
      </c>
      <c r="B1405" s="30">
        <f t="shared" si="190"/>
        <v>11</v>
      </c>
      <c r="C1405" s="30">
        <f t="shared" si="193"/>
        <v>4</v>
      </c>
      <c r="D1405" s="26">
        <f>MATCH(WEEKDAY(A1405),そのた定義!A:A,0)</f>
        <v>4</v>
      </c>
      <c r="E1405" s="26" t="str">
        <f t="shared" ca="1" si="194"/>
        <v>火</v>
      </c>
      <c r="F1405" s="26">
        <f t="shared" si="195"/>
        <v>0</v>
      </c>
      <c r="G1405" s="26">
        <f>IF(ISNA(MATCH(A1405,祝日定義!E:E,0)),0,1)</f>
        <v>0</v>
      </c>
      <c r="H1405" s="26">
        <f>IF(ISNA(MATCH(B1405&amp;"/"&amp;C1405,そのた定義!E:E,0)), 0, 1)</f>
        <v>0</v>
      </c>
      <c r="I1405" s="26" t="b">
        <f t="shared" si="196"/>
        <v>0</v>
      </c>
      <c r="J1405" s="26">
        <v>3</v>
      </c>
      <c r="K1405" s="26" t="b">
        <f t="shared" si="191"/>
        <v>0</v>
      </c>
      <c r="L1405" s="26" t="b">
        <f t="shared" si="192"/>
        <v>0</v>
      </c>
      <c r="M1405" t="b">
        <f t="shared" si="197"/>
        <v>0</v>
      </c>
      <c r="N1405" t="b">
        <f t="shared" si="198"/>
        <v>0</v>
      </c>
    </row>
    <row r="1406" spans="1:14">
      <c r="A1406" s="29">
        <v>45966</v>
      </c>
      <c r="B1406" s="30">
        <f t="shared" si="190"/>
        <v>11</v>
      </c>
      <c r="C1406" s="30">
        <f t="shared" si="193"/>
        <v>5</v>
      </c>
      <c r="D1406" s="26">
        <f>MATCH(WEEKDAY(A1406),そのた定義!A:A,0)</f>
        <v>5</v>
      </c>
      <c r="E1406" s="26" t="str">
        <f t="shared" ca="1" si="194"/>
        <v>水</v>
      </c>
      <c r="F1406" s="26">
        <f t="shared" si="195"/>
        <v>0</v>
      </c>
      <c r="G1406" s="26">
        <f>IF(ISNA(MATCH(A1406,祝日定義!E:E,0)),0,1)</f>
        <v>0</v>
      </c>
      <c r="H1406" s="26">
        <f>IF(ISNA(MATCH(B1406&amp;"/"&amp;C1406,そのた定義!E:E,0)), 0, 1)</f>
        <v>0</v>
      </c>
      <c r="I1406" s="26" t="b">
        <f t="shared" si="196"/>
        <v>0</v>
      </c>
      <c r="J1406" s="26">
        <v>0</v>
      </c>
      <c r="K1406" s="26" t="b">
        <f t="shared" si="191"/>
        <v>0</v>
      </c>
      <c r="L1406" s="26" t="b">
        <f t="shared" si="192"/>
        <v>0</v>
      </c>
      <c r="M1406" t="b">
        <f t="shared" si="197"/>
        <v>0</v>
      </c>
      <c r="N1406" t="b">
        <f t="shared" si="198"/>
        <v>0</v>
      </c>
    </row>
    <row r="1407" spans="1:14">
      <c r="A1407" s="29">
        <v>45967</v>
      </c>
      <c r="B1407" s="30">
        <f t="shared" si="190"/>
        <v>11</v>
      </c>
      <c r="C1407" s="30">
        <f t="shared" si="193"/>
        <v>6</v>
      </c>
      <c r="D1407" s="26">
        <f>MATCH(WEEKDAY(A1407),そのた定義!A:A,0)</f>
        <v>6</v>
      </c>
      <c r="E1407" s="26" t="str">
        <f t="shared" ca="1" si="194"/>
        <v>木</v>
      </c>
      <c r="F1407" s="26">
        <f t="shared" si="195"/>
        <v>0</v>
      </c>
      <c r="G1407" s="26">
        <f>IF(ISNA(MATCH(A1407,祝日定義!E:E,0)),0,1)</f>
        <v>0</v>
      </c>
      <c r="H1407" s="26">
        <f>IF(ISNA(MATCH(B1407&amp;"/"&amp;C1407,そのた定義!E:E,0)), 0, 1)</f>
        <v>0</v>
      </c>
      <c r="I1407" s="26" t="b">
        <f t="shared" si="196"/>
        <v>0</v>
      </c>
      <c r="J1407" s="26">
        <v>0</v>
      </c>
      <c r="K1407" s="26" t="b">
        <f t="shared" si="191"/>
        <v>0</v>
      </c>
      <c r="L1407" s="26" t="b">
        <f t="shared" si="192"/>
        <v>0</v>
      </c>
      <c r="M1407" t="b">
        <f t="shared" si="197"/>
        <v>0</v>
      </c>
      <c r="N1407" t="b">
        <f t="shared" si="198"/>
        <v>0</v>
      </c>
    </row>
    <row r="1408" spans="1:14">
      <c r="A1408" s="29">
        <v>45968</v>
      </c>
      <c r="B1408" s="30">
        <f t="shared" si="190"/>
        <v>11</v>
      </c>
      <c r="C1408" s="30">
        <f t="shared" si="193"/>
        <v>7</v>
      </c>
      <c r="D1408" s="26">
        <f>MATCH(WEEKDAY(A1408),そのた定義!A:A,0)</f>
        <v>7</v>
      </c>
      <c r="E1408" s="26" t="str">
        <f t="shared" ca="1" si="194"/>
        <v>金</v>
      </c>
      <c r="F1408" s="26">
        <f t="shared" si="195"/>
        <v>0</v>
      </c>
      <c r="G1408" s="26">
        <f>IF(ISNA(MATCH(A1408,祝日定義!E:E,0)),0,1)</f>
        <v>0</v>
      </c>
      <c r="H1408" s="26">
        <f>IF(ISNA(MATCH(B1408&amp;"/"&amp;C1408,そのた定義!E:E,0)), 0, 1)</f>
        <v>0</v>
      </c>
      <c r="I1408" s="26" t="b">
        <f t="shared" si="196"/>
        <v>0</v>
      </c>
      <c r="J1408" s="26">
        <v>0</v>
      </c>
      <c r="K1408" s="26" t="b">
        <f t="shared" si="191"/>
        <v>0</v>
      </c>
      <c r="L1408" s="26" t="b">
        <f t="shared" si="192"/>
        <v>0</v>
      </c>
      <c r="M1408" t="b">
        <f t="shared" si="197"/>
        <v>0</v>
      </c>
      <c r="N1408" t="b">
        <f t="shared" si="198"/>
        <v>0</v>
      </c>
    </row>
    <row r="1409" spans="1:14">
      <c r="A1409" s="29">
        <v>45969</v>
      </c>
      <c r="B1409" s="30">
        <f t="shared" si="190"/>
        <v>11</v>
      </c>
      <c r="C1409" s="30">
        <f t="shared" si="193"/>
        <v>8</v>
      </c>
      <c r="D1409" s="26">
        <f>MATCH(WEEKDAY(A1409),そのた定義!A:A,0)</f>
        <v>8</v>
      </c>
      <c r="E1409" s="33" t="str">
        <f t="shared" ca="1" si="194"/>
        <v>土</v>
      </c>
      <c r="F1409" s="26">
        <f t="shared" si="195"/>
        <v>1</v>
      </c>
      <c r="G1409" s="26">
        <f>IF(ISNA(MATCH(A1409,祝日定義!E:E,0)),0,1)</f>
        <v>0</v>
      </c>
      <c r="H1409" s="26">
        <f>IF(ISNA(MATCH(B1409&amp;"/"&amp;C1409,そのた定義!E:E,0)), 0, 1)</f>
        <v>0</v>
      </c>
      <c r="I1409" s="23" t="b">
        <f t="shared" si="196"/>
        <v>1</v>
      </c>
      <c r="J1409" s="26">
        <v>0</v>
      </c>
      <c r="K1409" s="26" t="b">
        <f t="shared" si="191"/>
        <v>0</v>
      </c>
      <c r="L1409" s="26" t="b">
        <f t="shared" si="192"/>
        <v>0</v>
      </c>
      <c r="M1409" t="b">
        <f t="shared" si="197"/>
        <v>0</v>
      </c>
      <c r="N1409" t="b">
        <f t="shared" si="198"/>
        <v>0</v>
      </c>
    </row>
    <row r="1410" spans="1:14">
      <c r="A1410" s="29">
        <v>45970</v>
      </c>
      <c r="B1410" s="30">
        <f t="shared" ref="B1410:B1473" si="199">MONTH(A1410)</f>
        <v>11</v>
      </c>
      <c r="C1410" s="30">
        <f t="shared" si="193"/>
        <v>9</v>
      </c>
      <c r="D1410" s="26">
        <f>MATCH(WEEKDAY(A1410),そのた定義!A:A,0)</f>
        <v>2</v>
      </c>
      <c r="E1410" s="32" t="str">
        <f t="shared" ca="1" si="194"/>
        <v>日</v>
      </c>
      <c r="F1410" s="26">
        <f t="shared" si="195"/>
        <v>1</v>
      </c>
      <c r="G1410" s="26">
        <f>IF(ISNA(MATCH(A1410,祝日定義!E:E,0)),0,1)</f>
        <v>0</v>
      </c>
      <c r="H1410" s="26">
        <f>IF(ISNA(MATCH(B1410&amp;"/"&amp;C1410,そのた定義!E:E,0)), 0, 1)</f>
        <v>0</v>
      </c>
      <c r="I1410" s="23" t="b">
        <f t="shared" si="196"/>
        <v>1</v>
      </c>
      <c r="J1410" s="26">
        <v>0</v>
      </c>
      <c r="K1410" s="26" t="b">
        <f t="shared" ref="K1410:K1473" si="200">AND(C1410&gt;25,DAY(A1410-J1410)&lt;=25)</f>
        <v>0</v>
      </c>
      <c r="L1410" s="26" t="b">
        <f t="shared" ref="L1410:L1473" si="201">C1410=25</f>
        <v>0</v>
      </c>
      <c r="M1410" t="b">
        <f t="shared" si="197"/>
        <v>0</v>
      </c>
      <c r="N1410" t="b">
        <f t="shared" si="198"/>
        <v>0</v>
      </c>
    </row>
    <row r="1411" spans="1:14">
      <c r="A1411" s="29">
        <v>45971</v>
      </c>
      <c r="B1411" s="30">
        <f t="shared" si="199"/>
        <v>11</v>
      </c>
      <c r="C1411" s="30">
        <f t="shared" ref="C1411:C1474" si="202">DAY(A1411)</f>
        <v>10</v>
      </c>
      <c r="D1411" s="26">
        <f>MATCH(WEEKDAY(A1411),そのた定義!A:A,0)</f>
        <v>3</v>
      </c>
      <c r="E1411" s="26" t="str">
        <f t="shared" ref="E1411:E1474" ca="1" si="203">INDIRECT("そのた定義!"&amp;"B"&amp;D1411)</f>
        <v>月</v>
      </c>
      <c r="F1411" s="26">
        <f t="shared" ref="F1411:F1474" si="204">IF(OR(D1411=8,D1411=2),1,0)</f>
        <v>0</v>
      </c>
      <c r="G1411" s="26">
        <f>IF(ISNA(MATCH(A1411,祝日定義!E:E,0)),0,1)</f>
        <v>0</v>
      </c>
      <c r="H1411" s="26">
        <f>IF(ISNA(MATCH(B1411&amp;"/"&amp;C1411,そのた定義!E:E,0)), 0, 1)</f>
        <v>0</v>
      </c>
      <c r="I1411" s="26" t="b">
        <f t="shared" ref="I1411:I1474" si="205">SUM(F1411:H1411)&gt;0</f>
        <v>0</v>
      </c>
      <c r="J1411" s="26">
        <v>2</v>
      </c>
      <c r="K1411" s="26" t="b">
        <f t="shared" si="200"/>
        <v>0</v>
      </c>
      <c r="L1411" s="26" t="b">
        <f t="shared" si="201"/>
        <v>0</v>
      </c>
      <c r="M1411" t="b">
        <f t="shared" ref="M1411:M1474" si="206">B1411&lt;&gt;MONTH(A1411-J1411)</f>
        <v>0</v>
      </c>
      <c r="N1411" t="b">
        <f t="shared" ref="N1411:N1474" si="207">B1411&lt;&gt;MONTH(A1411+1)</f>
        <v>0</v>
      </c>
    </row>
    <row r="1412" spans="1:14">
      <c r="A1412" s="29">
        <v>45972</v>
      </c>
      <c r="B1412" s="30">
        <f t="shared" si="199"/>
        <v>11</v>
      </c>
      <c r="C1412" s="30">
        <f t="shared" si="202"/>
        <v>11</v>
      </c>
      <c r="D1412" s="26">
        <f>MATCH(WEEKDAY(A1412),そのた定義!A:A,0)</f>
        <v>4</v>
      </c>
      <c r="E1412" s="26" t="str">
        <f t="shared" ca="1" si="203"/>
        <v>火</v>
      </c>
      <c r="F1412" s="26">
        <f t="shared" si="204"/>
        <v>0</v>
      </c>
      <c r="G1412" s="26">
        <f>IF(ISNA(MATCH(A1412,祝日定義!E:E,0)),0,1)</f>
        <v>0</v>
      </c>
      <c r="H1412" s="26">
        <f>IF(ISNA(MATCH(B1412&amp;"/"&amp;C1412,そのた定義!E:E,0)), 0, 1)</f>
        <v>0</v>
      </c>
      <c r="I1412" s="26" t="b">
        <f t="shared" si="205"/>
        <v>0</v>
      </c>
      <c r="J1412" s="26">
        <v>0</v>
      </c>
      <c r="K1412" s="26" t="b">
        <f t="shared" si="200"/>
        <v>0</v>
      </c>
      <c r="L1412" s="26" t="b">
        <f t="shared" si="201"/>
        <v>0</v>
      </c>
      <c r="M1412" t="b">
        <f t="shared" si="206"/>
        <v>0</v>
      </c>
      <c r="N1412" t="b">
        <f t="shared" si="207"/>
        <v>0</v>
      </c>
    </row>
    <row r="1413" spans="1:14">
      <c r="A1413" s="29">
        <v>45973</v>
      </c>
      <c r="B1413" s="30">
        <f t="shared" si="199"/>
        <v>11</v>
      </c>
      <c r="C1413" s="30">
        <f t="shared" si="202"/>
        <v>12</v>
      </c>
      <c r="D1413" s="26">
        <f>MATCH(WEEKDAY(A1413),そのた定義!A:A,0)</f>
        <v>5</v>
      </c>
      <c r="E1413" s="26" t="str">
        <f t="shared" ca="1" si="203"/>
        <v>水</v>
      </c>
      <c r="F1413" s="26">
        <f t="shared" si="204"/>
        <v>0</v>
      </c>
      <c r="G1413" s="26">
        <f>IF(ISNA(MATCH(A1413,祝日定義!E:E,0)),0,1)</f>
        <v>0</v>
      </c>
      <c r="H1413" s="26">
        <f>IF(ISNA(MATCH(B1413&amp;"/"&amp;C1413,そのた定義!E:E,0)), 0, 1)</f>
        <v>0</v>
      </c>
      <c r="I1413" s="26" t="b">
        <f t="shared" si="205"/>
        <v>0</v>
      </c>
      <c r="J1413" s="26">
        <v>0</v>
      </c>
      <c r="K1413" s="26" t="b">
        <f t="shared" si="200"/>
        <v>0</v>
      </c>
      <c r="L1413" s="26" t="b">
        <f t="shared" si="201"/>
        <v>0</v>
      </c>
      <c r="M1413" t="b">
        <f t="shared" si="206"/>
        <v>0</v>
      </c>
      <c r="N1413" t="b">
        <f t="shared" si="207"/>
        <v>0</v>
      </c>
    </row>
    <row r="1414" spans="1:14">
      <c r="A1414" s="29">
        <v>45974</v>
      </c>
      <c r="B1414" s="30">
        <f t="shared" si="199"/>
        <v>11</v>
      </c>
      <c r="C1414" s="30">
        <f t="shared" si="202"/>
        <v>13</v>
      </c>
      <c r="D1414" s="26">
        <f>MATCH(WEEKDAY(A1414),そのた定義!A:A,0)</f>
        <v>6</v>
      </c>
      <c r="E1414" s="26" t="str">
        <f t="shared" ca="1" si="203"/>
        <v>木</v>
      </c>
      <c r="F1414" s="26">
        <f t="shared" si="204"/>
        <v>0</v>
      </c>
      <c r="G1414" s="26">
        <f>IF(ISNA(MATCH(A1414,祝日定義!E:E,0)),0,1)</f>
        <v>0</v>
      </c>
      <c r="H1414" s="26">
        <f>IF(ISNA(MATCH(B1414&amp;"/"&amp;C1414,そのた定義!E:E,0)), 0, 1)</f>
        <v>0</v>
      </c>
      <c r="I1414" s="26" t="b">
        <f t="shared" si="205"/>
        <v>0</v>
      </c>
      <c r="J1414" s="26">
        <v>0</v>
      </c>
      <c r="K1414" s="26" t="b">
        <f t="shared" si="200"/>
        <v>0</v>
      </c>
      <c r="L1414" s="26" t="b">
        <f t="shared" si="201"/>
        <v>0</v>
      </c>
      <c r="M1414" t="b">
        <f t="shared" si="206"/>
        <v>0</v>
      </c>
      <c r="N1414" t="b">
        <f t="shared" si="207"/>
        <v>0</v>
      </c>
    </row>
    <row r="1415" spans="1:14">
      <c r="A1415" s="29">
        <v>45975</v>
      </c>
      <c r="B1415" s="30">
        <f t="shared" si="199"/>
        <v>11</v>
      </c>
      <c r="C1415" s="30">
        <f t="shared" si="202"/>
        <v>14</v>
      </c>
      <c r="D1415" s="26">
        <f>MATCH(WEEKDAY(A1415),そのた定義!A:A,0)</f>
        <v>7</v>
      </c>
      <c r="E1415" s="26" t="str">
        <f t="shared" ca="1" si="203"/>
        <v>金</v>
      </c>
      <c r="F1415" s="26">
        <f t="shared" si="204"/>
        <v>0</v>
      </c>
      <c r="G1415" s="26">
        <f>IF(ISNA(MATCH(A1415,祝日定義!E:E,0)),0,1)</f>
        <v>0</v>
      </c>
      <c r="H1415" s="26">
        <f>IF(ISNA(MATCH(B1415&amp;"/"&amp;C1415,そのた定義!E:E,0)), 0, 1)</f>
        <v>0</v>
      </c>
      <c r="I1415" s="26" t="b">
        <f t="shared" si="205"/>
        <v>0</v>
      </c>
      <c r="J1415" s="26">
        <v>0</v>
      </c>
      <c r="K1415" s="26" t="b">
        <f t="shared" si="200"/>
        <v>0</v>
      </c>
      <c r="L1415" s="26" t="b">
        <f t="shared" si="201"/>
        <v>0</v>
      </c>
      <c r="M1415" t="b">
        <f t="shared" si="206"/>
        <v>0</v>
      </c>
      <c r="N1415" t="b">
        <f t="shared" si="207"/>
        <v>0</v>
      </c>
    </row>
    <row r="1416" spans="1:14">
      <c r="A1416" s="29">
        <v>45976</v>
      </c>
      <c r="B1416" s="30">
        <f t="shared" si="199"/>
        <v>11</v>
      </c>
      <c r="C1416" s="30">
        <f t="shared" si="202"/>
        <v>15</v>
      </c>
      <c r="D1416" s="26">
        <f>MATCH(WEEKDAY(A1416),そのた定義!A:A,0)</f>
        <v>8</v>
      </c>
      <c r="E1416" s="33" t="str">
        <f t="shared" ca="1" si="203"/>
        <v>土</v>
      </c>
      <c r="F1416" s="26">
        <f t="shared" si="204"/>
        <v>1</v>
      </c>
      <c r="G1416" s="26">
        <f>IF(ISNA(MATCH(A1416,祝日定義!E:E,0)),0,1)</f>
        <v>0</v>
      </c>
      <c r="H1416" s="26">
        <f>IF(ISNA(MATCH(B1416&amp;"/"&amp;C1416,そのた定義!E:E,0)), 0, 1)</f>
        <v>0</v>
      </c>
      <c r="I1416" s="23" t="b">
        <f t="shared" si="205"/>
        <v>1</v>
      </c>
      <c r="J1416" s="26">
        <v>0</v>
      </c>
      <c r="K1416" s="26" t="b">
        <f t="shared" si="200"/>
        <v>0</v>
      </c>
      <c r="L1416" s="26" t="b">
        <f t="shared" si="201"/>
        <v>0</v>
      </c>
      <c r="M1416" t="b">
        <f t="shared" si="206"/>
        <v>0</v>
      </c>
      <c r="N1416" t="b">
        <f t="shared" si="207"/>
        <v>0</v>
      </c>
    </row>
    <row r="1417" spans="1:14">
      <c r="A1417" s="29">
        <v>45977</v>
      </c>
      <c r="B1417" s="30">
        <f t="shared" si="199"/>
        <v>11</v>
      </c>
      <c r="C1417" s="30">
        <f t="shared" si="202"/>
        <v>16</v>
      </c>
      <c r="D1417" s="26">
        <f>MATCH(WEEKDAY(A1417),そのた定義!A:A,0)</f>
        <v>2</v>
      </c>
      <c r="E1417" s="32" t="str">
        <f t="shared" ca="1" si="203"/>
        <v>日</v>
      </c>
      <c r="F1417" s="26">
        <f t="shared" si="204"/>
        <v>1</v>
      </c>
      <c r="G1417" s="26">
        <f>IF(ISNA(MATCH(A1417,祝日定義!E:E,0)),0,1)</f>
        <v>0</v>
      </c>
      <c r="H1417" s="26">
        <f>IF(ISNA(MATCH(B1417&amp;"/"&amp;C1417,そのた定義!E:E,0)), 0, 1)</f>
        <v>0</v>
      </c>
      <c r="I1417" s="23" t="b">
        <f t="shared" si="205"/>
        <v>1</v>
      </c>
      <c r="J1417" s="26">
        <v>0</v>
      </c>
      <c r="K1417" s="26" t="b">
        <f t="shared" si="200"/>
        <v>0</v>
      </c>
      <c r="L1417" s="26" t="b">
        <f t="shared" si="201"/>
        <v>0</v>
      </c>
      <c r="M1417" t="b">
        <f t="shared" si="206"/>
        <v>0</v>
      </c>
      <c r="N1417" t="b">
        <f t="shared" si="207"/>
        <v>0</v>
      </c>
    </row>
    <row r="1418" spans="1:14">
      <c r="A1418" s="29">
        <v>45978</v>
      </c>
      <c r="B1418" s="30">
        <f t="shared" si="199"/>
        <v>11</v>
      </c>
      <c r="C1418" s="30">
        <f t="shared" si="202"/>
        <v>17</v>
      </c>
      <c r="D1418" s="26">
        <f>MATCH(WEEKDAY(A1418),そのた定義!A:A,0)</f>
        <v>3</v>
      </c>
      <c r="E1418" s="26" t="str">
        <f t="shared" ca="1" si="203"/>
        <v>月</v>
      </c>
      <c r="F1418" s="26">
        <f t="shared" si="204"/>
        <v>0</v>
      </c>
      <c r="G1418" s="26">
        <f>IF(ISNA(MATCH(A1418,祝日定義!E:E,0)),0,1)</f>
        <v>0</v>
      </c>
      <c r="H1418" s="26">
        <f>IF(ISNA(MATCH(B1418&amp;"/"&amp;C1418,そのた定義!E:E,0)), 0, 1)</f>
        <v>0</v>
      </c>
      <c r="I1418" s="26" t="b">
        <f t="shared" si="205"/>
        <v>0</v>
      </c>
      <c r="J1418" s="26">
        <v>2</v>
      </c>
      <c r="K1418" s="26" t="b">
        <f t="shared" si="200"/>
        <v>0</v>
      </c>
      <c r="L1418" s="26" t="b">
        <f t="shared" si="201"/>
        <v>0</v>
      </c>
      <c r="M1418" t="b">
        <f t="shared" si="206"/>
        <v>0</v>
      </c>
      <c r="N1418" t="b">
        <f t="shared" si="207"/>
        <v>0</v>
      </c>
    </row>
    <row r="1419" spans="1:14">
      <c r="A1419" s="29">
        <v>45979</v>
      </c>
      <c r="B1419" s="30">
        <f t="shared" si="199"/>
        <v>11</v>
      </c>
      <c r="C1419" s="30">
        <f t="shared" si="202"/>
        <v>18</v>
      </c>
      <c r="D1419" s="26">
        <f>MATCH(WEEKDAY(A1419),そのた定義!A:A,0)</f>
        <v>4</v>
      </c>
      <c r="E1419" s="26" t="str">
        <f t="shared" ca="1" si="203"/>
        <v>火</v>
      </c>
      <c r="F1419" s="26">
        <f t="shared" si="204"/>
        <v>0</v>
      </c>
      <c r="G1419" s="26">
        <f>IF(ISNA(MATCH(A1419,祝日定義!E:E,0)),0,1)</f>
        <v>0</v>
      </c>
      <c r="H1419" s="26">
        <f>IF(ISNA(MATCH(B1419&amp;"/"&amp;C1419,そのた定義!E:E,0)), 0, 1)</f>
        <v>0</v>
      </c>
      <c r="I1419" s="26" t="b">
        <f t="shared" si="205"/>
        <v>0</v>
      </c>
      <c r="J1419" s="26">
        <v>0</v>
      </c>
      <c r="K1419" s="26" t="b">
        <f t="shared" si="200"/>
        <v>0</v>
      </c>
      <c r="L1419" s="26" t="b">
        <f t="shared" si="201"/>
        <v>0</v>
      </c>
      <c r="M1419" t="b">
        <f t="shared" si="206"/>
        <v>0</v>
      </c>
      <c r="N1419" t="b">
        <f t="shared" si="207"/>
        <v>0</v>
      </c>
    </row>
    <row r="1420" spans="1:14">
      <c r="A1420" s="29">
        <v>45980</v>
      </c>
      <c r="B1420" s="30">
        <f t="shared" si="199"/>
        <v>11</v>
      </c>
      <c r="C1420" s="30">
        <f t="shared" si="202"/>
        <v>19</v>
      </c>
      <c r="D1420" s="26">
        <f>MATCH(WEEKDAY(A1420),そのた定義!A:A,0)</f>
        <v>5</v>
      </c>
      <c r="E1420" s="26" t="str">
        <f t="shared" ca="1" si="203"/>
        <v>水</v>
      </c>
      <c r="F1420" s="26">
        <f t="shared" si="204"/>
        <v>0</v>
      </c>
      <c r="G1420" s="26">
        <f>IF(ISNA(MATCH(A1420,祝日定義!E:E,0)),0,1)</f>
        <v>0</v>
      </c>
      <c r="H1420" s="26">
        <f>IF(ISNA(MATCH(B1420&amp;"/"&amp;C1420,そのた定義!E:E,0)), 0, 1)</f>
        <v>0</v>
      </c>
      <c r="I1420" s="26" t="b">
        <f t="shared" si="205"/>
        <v>0</v>
      </c>
      <c r="J1420" s="26">
        <v>0</v>
      </c>
      <c r="K1420" s="26" t="b">
        <f t="shared" si="200"/>
        <v>0</v>
      </c>
      <c r="L1420" s="26" t="b">
        <f t="shared" si="201"/>
        <v>0</v>
      </c>
      <c r="M1420" t="b">
        <f t="shared" si="206"/>
        <v>0</v>
      </c>
      <c r="N1420" t="b">
        <f t="shared" si="207"/>
        <v>0</v>
      </c>
    </row>
    <row r="1421" spans="1:14">
      <c r="A1421" s="29">
        <v>45981</v>
      </c>
      <c r="B1421" s="30">
        <f t="shared" si="199"/>
        <v>11</v>
      </c>
      <c r="C1421" s="30">
        <f t="shared" si="202"/>
        <v>20</v>
      </c>
      <c r="D1421" s="26">
        <f>MATCH(WEEKDAY(A1421),そのた定義!A:A,0)</f>
        <v>6</v>
      </c>
      <c r="E1421" s="26" t="str">
        <f t="shared" ca="1" si="203"/>
        <v>木</v>
      </c>
      <c r="F1421" s="26">
        <f t="shared" si="204"/>
        <v>0</v>
      </c>
      <c r="G1421" s="26">
        <f>IF(ISNA(MATCH(A1421,祝日定義!E:E,0)),0,1)</f>
        <v>0</v>
      </c>
      <c r="H1421" s="26">
        <f>IF(ISNA(MATCH(B1421&amp;"/"&amp;C1421,そのた定義!E:E,0)), 0, 1)</f>
        <v>0</v>
      </c>
      <c r="I1421" s="26" t="b">
        <f t="shared" si="205"/>
        <v>0</v>
      </c>
      <c r="J1421" s="26">
        <v>0</v>
      </c>
      <c r="K1421" s="26" t="b">
        <f t="shared" si="200"/>
        <v>0</v>
      </c>
      <c r="L1421" s="26" t="b">
        <f t="shared" si="201"/>
        <v>0</v>
      </c>
      <c r="M1421" t="b">
        <f t="shared" si="206"/>
        <v>0</v>
      </c>
      <c r="N1421" t="b">
        <f t="shared" si="207"/>
        <v>0</v>
      </c>
    </row>
    <row r="1422" spans="1:14">
      <c r="A1422" s="29">
        <v>45982</v>
      </c>
      <c r="B1422" s="30">
        <f t="shared" si="199"/>
        <v>11</v>
      </c>
      <c r="C1422" s="30">
        <f t="shared" si="202"/>
        <v>21</v>
      </c>
      <c r="D1422" s="26">
        <f>MATCH(WEEKDAY(A1422),そのた定義!A:A,0)</f>
        <v>7</v>
      </c>
      <c r="E1422" s="26" t="str">
        <f t="shared" ca="1" si="203"/>
        <v>金</v>
      </c>
      <c r="F1422" s="26">
        <f t="shared" si="204"/>
        <v>0</v>
      </c>
      <c r="G1422" s="26">
        <f>IF(ISNA(MATCH(A1422,祝日定義!E:E,0)),0,1)</f>
        <v>0</v>
      </c>
      <c r="H1422" s="26">
        <f>IF(ISNA(MATCH(B1422&amp;"/"&amp;C1422,そのた定義!E:E,0)), 0, 1)</f>
        <v>0</v>
      </c>
      <c r="I1422" s="26" t="b">
        <f t="shared" si="205"/>
        <v>0</v>
      </c>
      <c r="J1422" s="26">
        <v>0</v>
      </c>
      <c r="K1422" s="26" t="b">
        <f t="shared" si="200"/>
        <v>0</v>
      </c>
      <c r="L1422" s="26" t="b">
        <f t="shared" si="201"/>
        <v>0</v>
      </c>
      <c r="M1422" t="b">
        <f t="shared" si="206"/>
        <v>0</v>
      </c>
      <c r="N1422" t="b">
        <f t="shared" si="207"/>
        <v>0</v>
      </c>
    </row>
    <row r="1423" spans="1:14">
      <c r="A1423" s="29">
        <v>45983</v>
      </c>
      <c r="B1423" s="30">
        <f t="shared" si="199"/>
        <v>11</v>
      </c>
      <c r="C1423" s="30">
        <f t="shared" si="202"/>
        <v>22</v>
      </c>
      <c r="D1423" s="26">
        <f>MATCH(WEEKDAY(A1423),そのた定義!A:A,0)</f>
        <v>8</v>
      </c>
      <c r="E1423" s="33" t="str">
        <f t="shared" ca="1" si="203"/>
        <v>土</v>
      </c>
      <c r="F1423" s="26">
        <f t="shared" si="204"/>
        <v>1</v>
      </c>
      <c r="G1423" s="26">
        <f>IF(ISNA(MATCH(A1423,祝日定義!E:E,0)),0,1)</f>
        <v>0</v>
      </c>
      <c r="H1423" s="26">
        <f>IF(ISNA(MATCH(B1423&amp;"/"&amp;C1423,そのた定義!E:E,0)), 0, 1)</f>
        <v>0</v>
      </c>
      <c r="I1423" s="23" t="b">
        <f t="shared" si="205"/>
        <v>1</v>
      </c>
      <c r="J1423" s="26">
        <v>0</v>
      </c>
      <c r="K1423" s="26" t="b">
        <f t="shared" si="200"/>
        <v>0</v>
      </c>
      <c r="L1423" s="26" t="b">
        <f t="shared" si="201"/>
        <v>0</v>
      </c>
      <c r="M1423" t="b">
        <f t="shared" si="206"/>
        <v>0</v>
      </c>
      <c r="N1423" t="b">
        <f t="shared" si="207"/>
        <v>0</v>
      </c>
    </row>
    <row r="1424" spans="1:14">
      <c r="A1424" s="29">
        <v>45984</v>
      </c>
      <c r="B1424" s="30">
        <f t="shared" si="199"/>
        <v>11</v>
      </c>
      <c r="C1424" s="30">
        <f t="shared" si="202"/>
        <v>23</v>
      </c>
      <c r="D1424" s="26">
        <f>MATCH(WEEKDAY(A1424),そのた定義!A:A,0)</f>
        <v>2</v>
      </c>
      <c r="E1424" s="32" t="str">
        <f t="shared" ca="1" si="203"/>
        <v>日</v>
      </c>
      <c r="F1424" s="26">
        <f t="shared" si="204"/>
        <v>1</v>
      </c>
      <c r="G1424" s="26">
        <f>IF(ISNA(MATCH(A1424,祝日定義!E:E,0)),0,1)</f>
        <v>1</v>
      </c>
      <c r="H1424" s="26">
        <f>IF(ISNA(MATCH(B1424&amp;"/"&amp;C1424,そのた定義!E:E,0)), 0, 1)</f>
        <v>0</v>
      </c>
      <c r="I1424" s="23" t="b">
        <f t="shared" si="205"/>
        <v>1</v>
      </c>
      <c r="J1424" s="26">
        <v>0</v>
      </c>
      <c r="K1424" s="26" t="b">
        <f t="shared" si="200"/>
        <v>0</v>
      </c>
      <c r="L1424" s="26" t="b">
        <f t="shared" si="201"/>
        <v>0</v>
      </c>
      <c r="M1424" t="b">
        <f t="shared" si="206"/>
        <v>0</v>
      </c>
      <c r="N1424" t="b">
        <f t="shared" si="207"/>
        <v>0</v>
      </c>
    </row>
    <row r="1425" spans="1:14">
      <c r="A1425" s="29">
        <v>45985</v>
      </c>
      <c r="B1425" s="30">
        <f t="shared" si="199"/>
        <v>11</v>
      </c>
      <c r="C1425" s="30">
        <f t="shared" si="202"/>
        <v>24</v>
      </c>
      <c r="D1425" s="26">
        <f>MATCH(WEEKDAY(A1425),そのた定義!A:A,0)</f>
        <v>3</v>
      </c>
      <c r="E1425" s="31" t="str">
        <f t="shared" ca="1" si="203"/>
        <v>月</v>
      </c>
      <c r="F1425" s="26">
        <f t="shared" si="204"/>
        <v>0</v>
      </c>
      <c r="G1425" s="26">
        <f>IF(ISNA(MATCH(A1425,祝日定義!E:E,0)),0,1)</f>
        <v>1</v>
      </c>
      <c r="H1425" s="26">
        <f>IF(ISNA(MATCH(B1425&amp;"/"&amp;C1425,そのた定義!E:E,0)), 0, 1)</f>
        <v>0</v>
      </c>
      <c r="I1425" s="23" t="b">
        <f t="shared" si="205"/>
        <v>1</v>
      </c>
      <c r="J1425" s="26">
        <v>0</v>
      </c>
      <c r="K1425" s="26" t="b">
        <f t="shared" si="200"/>
        <v>0</v>
      </c>
      <c r="L1425" s="26" t="b">
        <f t="shared" si="201"/>
        <v>0</v>
      </c>
      <c r="M1425" t="b">
        <f t="shared" si="206"/>
        <v>0</v>
      </c>
      <c r="N1425" t="b">
        <f t="shared" si="207"/>
        <v>0</v>
      </c>
    </row>
    <row r="1426" spans="1:14">
      <c r="A1426" s="29">
        <v>45986</v>
      </c>
      <c r="B1426" s="30">
        <f t="shared" si="199"/>
        <v>11</v>
      </c>
      <c r="C1426" s="30">
        <f t="shared" si="202"/>
        <v>25</v>
      </c>
      <c r="D1426" s="26">
        <f>MATCH(WEEKDAY(A1426),そのた定義!A:A,0)</f>
        <v>4</v>
      </c>
      <c r="E1426" s="26" t="str">
        <f t="shared" ca="1" si="203"/>
        <v>火</v>
      </c>
      <c r="F1426" s="26">
        <f t="shared" si="204"/>
        <v>0</v>
      </c>
      <c r="G1426" s="26">
        <f>IF(ISNA(MATCH(A1426,祝日定義!E:E,0)),0,1)</f>
        <v>0</v>
      </c>
      <c r="H1426" s="26">
        <f>IF(ISNA(MATCH(B1426&amp;"/"&amp;C1426,そのた定義!E:E,0)), 0, 1)</f>
        <v>0</v>
      </c>
      <c r="I1426" s="26" t="b">
        <f t="shared" si="205"/>
        <v>0</v>
      </c>
      <c r="J1426" s="26">
        <v>3</v>
      </c>
      <c r="K1426" s="26" t="b">
        <f t="shared" si="200"/>
        <v>0</v>
      </c>
      <c r="L1426" s="23" t="b">
        <f t="shared" si="201"/>
        <v>1</v>
      </c>
      <c r="M1426" t="b">
        <f t="shared" si="206"/>
        <v>0</v>
      </c>
      <c r="N1426" t="b">
        <f t="shared" si="207"/>
        <v>0</v>
      </c>
    </row>
    <row r="1427" spans="1:14">
      <c r="A1427" s="29">
        <v>45987</v>
      </c>
      <c r="B1427" s="30">
        <f t="shared" si="199"/>
        <v>11</v>
      </c>
      <c r="C1427" s="30">
        <f t="shared" si="202"/>
        <v>26</v>
      </c>
      <c r="D1427" s="26">
        <f>MATCH(WEEKDAY(A1427),そのた定義!A:A,0)</f>
        <v>5</v>
      </c>
      <c r="E1427" s="26" t="str">
        <f t="shared" ca="1" si="203"/>
        <v>水</v>
      </c>
      <c r="F1427" s="26">
        <f t="shared" si="204"/>
        <v>0</v>
      </c>
      <c r="G1427" s="26">
        <f>IF(ISNA(MATCH(A1427,祝日定義!E:E,0)),0,1)</f>
        <v>0</v>
      </c>
      <c r="H1427" s="26">
        <f>IF(ISNA(MATCH(B1427&amp;"/"&amp;C1427,そのた定義!E:E,0)), 0, 1)</f>
        <v>0</v>
      </c>
      <c r="I1427" s="26" t="b">
        <f t="shared" si="205"/>
        <v>0</v>
      </c>
      <c r="J1427" s="26">
        <v>0</v>
      </c>
      <c r="K1427" s="26" t="b">
        <f t="shared" si="200"/>
        <v>0</v>
      </c>
      <c r="L1427" s="26" t="b">
        <f t="shared" si="201"/>
        <v>0</v>
      </c>
      <c r="M1427" t="b">
        <f t="shared" si="206"/>
        <v>0</v>
      </c>
      <c r="N1427" t="b">
        <f t="shared" si="207"/>
        <v>0</v>
      </c>
    </row>
    <row r="1428" spans="1:14">
      <c r="A1428" s="29">
        <v>45988</v>
      </c>
      <c r="B1428" s="30">
        <f t="shared" si="199"/>
        <v>11</v>
      </c>
      <c r="C1428" s="30">
        <f t="shared" si="202"/>
        <v>27</v>
      </c>
      <c r="D1428" s="26">
        <f>MATCH(WEEKDAY(A1428),そのた定義!A:A,0)</f>
        <v>6</v>
      </c>
      <c r="E1428" s="26" t="str">
        <f t="shared" ca="1" si="203"/>
        <v>木</v>
      </c>
      <c r="F1428" s="26">
        <f t="shared" si="204"/>
        <v>0</v>
      </c>
      <c r="G1428" s="26">
        <f>IF(ISNA(MATCH(A1428,祝日定義!E:E,0)),0,1)</f>
        <v>0</v>
      </c>
      <c r="H1428" s="26">
        <f>IF(ISNA(MATCH(B1428&amp;"/"&amp;C1428,そのた定義!E:E,0)), 0, 1)</f>
        <v>0</v>
      </c>
      <c r="I1428" s="26" t="b">
        <f t="shared" si="205"/>
        <v>0</v>
      </c>
      <c r="J1428" s="26">
        <v>0</v>
      </c>
      <c r="K1428" s="26" t="b">
        <f t="shared" si="200"/>
        <v>0</v>
      </c>
      <c r="L1428" s="26" t="b">
        <f t="shared" si="201"/>
        <v>0</v>
      </c>
      <c r="M1428" t="b">
        <f t="shared" si="206"/>
        <v>0</v>
      </c>
      <c r="N1428" t="b">
        <f t="shared" si="207"/>
        <v>0</v>
      </c>
    </row>
    <row r="1429" spans="1:14">
      <c r="A1429" s="29">
        <v>45989</v>
      </c>
      <c r="B1429" s="30">
        <f t="shared" si="199"/>
        <v>11</v>
      </c>
      <c r="C1429" s="30">
        <f t="shared" si="202"/>
        <v>28</v>
      </c>
      <c r="D1429" s="26">
        <f>MATCH(WEEKDAY(A1429),そのた定義!A:A,0)</f>
        <v>7</v>
      </c>
      <c r="E1429" s="26" t="str">
        <f t="shared" ca="1" si="203"/>
        <v>金</v>
      </c>
      <c r="F1429" s="26">
        <f t="shared" si="204"/>
        <v>0</v>
      </c>
      <c r="G1429" s="26">
        <f>IF(ISNA(MATCH(A1429,祝日定義!E:E,0)),0,1)</f>
        <v>0</v>
      </c>
      <c r="H1429" s="26">
        <f>IF(ISNA(MATCH(B1429&amp;"/"&amp;C1429,そのた定義!E:E,0)), 0, 1)</f>
        <v>0</v>
      </c>
      <c r="I1429" s="26" t="b">
        <f t="shared" si="205"/>
        <v>0</v>
      </c>
      <c r="J1429" s="26">
        <v>0</v>
      </c>
      <c r="K1429" s="26" t="b">
        <f t="shared" si="200"/>
        <v>0</v>
      </c>
      <c r="L1429" s="26" t="b">
        <f t="shared" si="201"/>
        <v>0</v>
      </c>
      <c r="M1429" t="b">
        <f t="shared" si="206"/>
        <v>0</v>
      </c>
      <c r="N1429" t="b">
        <f t="shared" si="207"/>
        <v>0</v>
      </c>
    </row>
    <row r="1430" spans="1:14">
      <c r="A1430" s="29">
        <v>45990</v>
      </c>
      <c r="B1430" s="30">
        <f t="shared" si="199"/>
        <v>11</v>
      </c>
      <c r="C1430" s="30">
        <f t="shared" si="202"/>
        <v>29</v>
      </c>
      <c r="D1430" s="26">
        <f>MATCH(WEEKDAY(A1430),そのた定義!A:A,0)</f>
        <v>8</v>
      </c>
      <c r="E1430" s="33" t="str">
        <f t="shared" ca="1" si="203"/>
        <v>土</v>
      </c>
      <c r="F1430" s="26">
        <f t="shared" si="204"/>
        <v>1</v>
      </c>
      <c r="G1430" s="26">
        <f>IF(ISNA(MATCH(A1430,祝日定義!E:E,0)),0,1)</f>
        <v>0</v>
      </c>
      <c r="H1430" s="26">
        <f>IF(ISNA(MATCH(B1430&amp;"/"&amp;C1430,そのた定義!E:E,0)), 0, 1)</f>
        <v>0</v>
      </c>
      <c r="I1430" s="23" t="b">
        <f t="shared" si="205"/>
        <v>1</v>
      </c>
      <c r="J1430" s="26">
        <v>0</v>
      </c>
      <c r="K1430" s="26" t="b">
        <f t="shared" si="200"/>
        <v>0</v>
      </c>
      <c r="L1430" s="26" t="b">
        <f t="shared" si="201"/>
        <v>0</v>
      </c>
      <c r="M1430" t="b">
        <f t="shared" si="206"/>
        <v>0</v>
      </c>
      <c r="N1430" t="b">
        <f t="shared" si="207"/>
        <v>0</v>
      </c>
    </row>
    <row r="1431" spans="1:14">
      <c r="A1431" s="29">
        <v>45991</v>
      </c>
      <c r="B1431" s="30">
        <f t="shared" si="199"/>
        <v>11</v>
      </c>
      <c r="C1431" s="30">
        <f t="shared" si="202"/>
        <v>30</v>
      </c>
      <c r="D1431" s="26">
        <f>MATCH(WEEKDAY(A1431),そのた定義!A:A,0)</f>
        <v>2</v>
      </c>
      <c r="E1431" s="32" t="str">
        <f t="shared" ca="1" si="203"/>
        <v>日</v>
      </c>
      <c r="F1431" s="26">
        <f t="shared" si="204"/>
        <v>1</v>
      </c>
      <c r="G1431" s="26">
        <f>IF(ISNA(MATCH(A1431,祝日定義!E:E,0)),0,1)</f>
        <v>0</v>
      </c>
      <c r="H1431" s="26">
        <f>IF(ISNA(MATCH(B1431&amp;"/"&amp;C1431,そのた定義!E:E,0)), 0, 1)</f>
        <v>0</v>
      </c>
      <c r="I1431" s="23" t="b">
        <f t="shared" si="205"/>
        <v>1</v>
      </c>
      <c r="J1431" s="26">
        <v>0</v>
      </c>
      <c r="K1431" s="26" t="b">
        <f t="shared" si="200"/>
        <v>0</v>
      </c>
      <c r="L1431" s="26" t="b">
        <f t="shared" si="201"/>
        <v>0</v>
      </c>
      <c r="M1431" t="b">
        <f t="shared" si="206"/>
        <v>0</v>
      </c>
      <c r="N1431" t="b">
        <f t="shared" si="207"/>
        <v>1</v>
      </c>
    </row>
    <row r="1432" spans="1:14">
      <c r="A1432" s="29">
        <v>45992</v>
      </c>
      <c r="B1432" s="30">
        <f t="shared" si="199"/>
        <v>12</v>
      </c>
      <c r="C1432" s="30">
        <f t="shared" si="202"/>
        <v>1</v>
      </c>
      <c r="D1432" s="26">
        <f>MATCH(WEEKDAY(A1432),そのた定義!A:A,0)</f>
        <v>3</v>
      </c>
      <c r="E1432" s="26" t="str">
        <f t="shared" ca="1" si="203"/>
        <v>月</v>
      </c>
      <c r="F1432" s="26">
        <f t="shared" si="204"/>
        <v>0</v>
      </c>
      <c r="G1432" s="26">
        <f>IF(ISNA(MATCH(A1432,祝日定義!E:E,0)),0,1)</f>
        <v>0</v>
      </c>
      <c r="H1432" s="26">
        <f>IF(ISNA(MATCH(B1432&amp;"/"&amp;C1432,そのた定義!E:E,0)), 0, 1)</f>
        <v>0</v>
      </c>
      <c r="I1432" s="26" t="b">
        <f t="shared" si="205"/>
        <v>0</v>
      </c>
      <c r="J1432" s="26">
        <v>2</v>
      </c>
      <c r="K1432" s="26" t="b">
        <f t="shared" si="200"/>
        <v>0</v>
      </c>
      <c r="L1432" s="26" t="b">
        <f t="shared" si="201"/>
        <v>0</v>
      </c>
      <c r="M1432" t="b">
        <f t="shared" si="206"/>
        <v>1</v>
      </c>
      <c r="N1432" t="b">
        <f t="shared" si="207"/>
        <v>0</v>
      </c>
    </row>
    <row r="1433" spans="1:14">
      <c r="A1433" s="29">
        <v>45993</v>
      </c>
      <c r="B1433" s="30">
        <f t="shared" si="199"/>
        <v>12</v>
      </c>
      <c r="C1433" s="30">
        <f t="shared" si="202"/>
        <v>2</v>
      </c>
      <c r="D1433" s="26">
        <f>MATCH(WEEKDAY(A1433),そのた定義!A:A,0)</f>
        <v>4</v>
      </c>
      <c r="E1433" s="26" t="str">
        <f t="shared" ca="1" si="203"/>
        <v>火</v>
      </c>
      <c r="F1433" s="26">
        <f t="shared" si="204"/>
        <v>0</v>
      </c>
      <c r="G1433" s="26">
        <f>IF(ISNA(MATCH(A1433,祝日定義!E:E,0)),0,1)</f>
        <v>0</v>
      </c>
      <c r="H1433" s="26">
        <f>IF(ISNA(MATCH(B1433&amp;"/"&amp;C1433,そのた定義!E:E,0)), 0, 1)</f>
        <v>0</v>
      </c>
      <c r="I1433" s="26" t="b">
        <f t="shared" si="205"/>
        <v>0</v>
      </c>
      <c r="J1433" s="26">
        <v>0</v>
      </c>
      <c r="K1433" s="26" t="b">
        <f t="shared" si="200"/>
        <v>0</v>
      </c>
      <c r="L1433" s="26" t="b">
        <f t="shared" si="201"/>
        <v>0</v>
      </c>
      <c r="M1433" t="b">
        <f t="shared" si="206"/>
        <v>0</v>
      </c>
      <c r="N1433" t="b">
        <f t="shared" si="207"/>
        <v>0</v>
      </c>
    </row>
    <row r="1434" spans="1:14">
      <c r="A1434" s="29">
        <v>45994</v>
      </c>
      <c r="B1434" s="30">
        <f t="shared" si="199"/>
        <v>12</v>
      </c>
      <c r="C1434" s="30">
        <f t="shared" si="202"/>
        <v>3</v>
      </c>
      <c r="D1434" s="26">
        <f>MATCH(WEEKDAY(A1434),そのた定義!A:A,0)</f>
        <v>5</v>
      </c>
      <c r="E1434" s="26" t="str">
        <f t="shared" ca="1" si="203"/>
        <v>水</v>
      </c>
      <c r="F1434" s="26">
        <f t="shared" si="204"/>
        <v>0</v>
      </c>
      <c r="G1434" s="26">
        <f>IF(ISNA(MATCH(A1434,祝日定義!E:E,0)),0,1)</f>
        <v>0</v>
      </c>
      <c r="H1434" s="26">
        <f>IF(ISNA(MATCH(B1434&amp;"/"&amp;C1434,そのた定義!E:E,0)), 0, 1)</f>
        <v>0</v>
      </c>
      <c r="I1434" s="26" t="b">
        <f t="shared" si="205"/>
        <v>0</v>
      </c>
      <c r="J1434" s="26">
        <v>0</v>
      </c>
      <c r="K1434" s="26" t="b">
        <f t="shared" si="200"/>
        <v>0</v>
      </c>
      <c r="L1434" s="26" t="b">
        <f t="shared" si="201"/>
        <v>0</v>
      </c>
      <c r="M1434" t="b">
        <f t="shared" si="206"/>
        <v>0</v>
      </c>
      <c r="N1434" t="b">
        <f t="shared" si="207"/>
        <v>0</v>
      </c>
    </row>
    <row r="1435" spans="1:14">
      <c r="A1435" s="29">
        <v>45995</v>
      </c>
      <c r="B1435" s="30">
        <f t="shared" si="199"/>
        <v>12</v>
      </c>
      <c r="C1435" s="30">
        <f t="shared" si="202"/>
        <v>4</v>
      </c>
      <c r="D1435" s="26">
        <f>MATCH(WEEKDAY(A1435),そのた定義!A:A,0)</f>
        <v>6</v>
      </c>
      <c r="E1435" s="26" t="str">
        <f t="shared" ca="1" si="203"/>
        <v>木</v>
      </c>
      <c r="F1435" s="26">
        <f t="shared" si="204"/>
        <v>0</v>
      </c>
      <c r="G1435" s="26">
        <f>IF(ISNA(MATCH(A1435,祝日定義!E:E,0)),0,1)</f>
        <v>0</v>
      </c>
      <c r="H1435" s="26">
        <f>IF(ISNA(MATCH(B1435&amp;"/"&amp;C1435,そのた定義!E:E,0)), 0, 1)</f>
        <v>0</v>
      </c>
      <c r="I1435" s="26" t="b">
        <f t="shared" si="205"/>
        <v>0</v>
      </c>
      <c r="J1435" s="26">
        <v>0</v>
      </c>
      <c r="K1435" s="26" t="b">
        <f t="shared" si="200"/>
        <v>0</v>
      </c>
      <c r="L1435" s="26" t="b">
        <f t="shared" si="201"/>
        <v>0</v>
      </c>
      <c r="M1435" t="b">
        <f t="shared" si="206"/>
        <v>0</v>
      </c>
      <c r="N1435" t="b">
        <f t="shared" si="207"/>
        <v>0</v>
      </c>
    </row>
    <row r="1436" spans="1:14">
      <c r="A1436" s="29">
        <v>45996</v>
      </c>
      <c r="B1436" s="30">
        <f t="shared" si="199"/>
        <v>12</v>
      </c>
      <c r="C1436" s="30">
        <f t="shared" si="202"/>
        <v>5</v>
      </c>
      <c r="D1436" s="26">
        <f>MATCH(WEEKDAY(A1436),そのた定義!A:A,0)</f>
        <v>7</v>
      </c>
      <c r="E1436" s="26" t="str">
        <f t="shared" ca="1" si="203"/>
        <v>金</v>
      </c>
      <c r="F1436" s="26">
        <f t="shared" si="204"/>
        <v>0</v>
      </c>
      <c r="G1436" s="26">
        <f>IF(ISNA(MATCH(A1436,祝日定義!E:E,0)),0,1)</f>
        <v>0</v>
      </c>
      <c r="H1436" s="26">
        <f>IF(ISNA(MATCH(B1436&amp;"/"&amp;C1436,そのた定義!E:E,0)), 0, 1)</f>
        <v>0</v>
      </c>
      <c r="I1436" s="26" t="b">
        <f t="shared" si="205"/>
        <v>0</v>
      </c>
      <c r="J1436" s="26">
        <v>0</v>
      </c>
      <c r="K1436" s="26" t="b">
        <f t="shared" si="200"/>
        <v>0</v>
      </c>
      <c r="L1436" s="26" t="b">
        <f t="shared" si="201"/>
        <v>0</v>
      </c>
      <c r="M1436" t="b">
        <f t="shared" si="206"/>
        <v>0</v>
      </c>
      <c r="N1436" t="b">
        <f t="shared" si="207"/>
        <v>0</v>
      </c>
    </row>
    <row r="1437" spans="1:14">
      <c r="A1437" s="29">
        <v>45997</v>
      </c>
      <c r="B1437" s="30">
        <f t="shared" si="199"/>
        <v>12</v>
      </c>
      <c r="C1437" s="30">
        <f t="shared" si="202"/>
        <v>6</v>
      </c>
      <c r="D1437" s="26">
        <f>MATCH(WEEKDAY(A1437),そのた定義!A:A,0)</f>
        <v>8</v>
      </c>
      <c r="E1437" s="33" t="str">
        <f t="shared" ca="1" si="203"/>
        <v>土</v>
      </c>
      <c r="F1437" s="26">
        <f t="shared" si="204"/>
        <v>1</v>
      </c>
      <c r="G1437" s="26">
        <f>IF(ISNA(MATCH(A1437,祝日定義!E:E,0)),0,1)</f>
        <v>0</v>
      </c>
      <c r="H1437" s="26">
        <f>IF(ISNA(MATCH(B1437&amp;"/"&amp;C1437,そのた定義!E:E,0)), 0, 1)</f>
        <v>0</v>
      </c>
      <c r="I1437" s="23" t="b">
        <f t="shared" si="205"/>
        <v>1</v>
      </c>
      <c r="J1437" s="26">
        <v>0</v>
      </c>
      <c r="K1437" s="26" t="b">
        <f t="shared" si="200"/>
        <v>0</v>
      </c>
      <c r="L1437" s="26" t="b">
        <f t="shared" si="201"/>
        <v>0</v>
      </c>
      <c r="M1437" t="b">
        <f t="shared" si="206"/>
        <v>0</v>
      </c>
      <c r="N1437" t="b">
        <f t="shared" si="207"/>
        <v>0</v>
      </c>
    </row>
    <row r="1438" spans="1:14">
      <c r="A1438" s="29">
        <v>45998</v>
      </c>
      <c r="B1438" s="30">
        <f t="shared" si="199"/>
        <v>12</v>
      </c>
      <c r="C1438" s="30">
        <f t="shared" si="202"/>
        <v>7</v>
      </c>
      <c r="D1438" s="26">
        <f>MATCH(WEEKDAY(A1438),そのた定義!A:A,0)</f>
        <v>2</v>
      </c>
      <c r="E1438" s="32" t="str">
        <f t="shared" ca="1" si="203"/>
        <v>日</v>
      </c>
      <c r="F1438" s="26">
        <f t="shared" si="204"/>
        <v>1</v>
      </c>
      <c r="G1438" s="26">
        <f>IF(ISNA(MATCH(A1438,祝日定義!E:E,0)),0,1)</f>
        <v>0</v>
      </c>
      <c r="H1438" s="26">
        <f>IF(ISNA(MATCH(B1438&amp;"/"&amp;C1438,そのた定義!E:E,0)), 0, 1)</f>
        <v>0</v>
      </c>
      <c r="I1438" s="23" t="b">
        <f t="shared" si="205"/>
        <v>1</v>
      </c>
      <c r="J1438" s="26">
        <v>0</v>
      </c>
      <c r="K1438" s="26" t="b">
        <f t="shared" si="200"/>
        <v>0</v>
      </c>
      <c r="L1438" s="26" t="b">
        <f t="shared" si="201"/>
        <v>0</v>
      </c>
      <c r="M1438" t="b">
        <f t="shared" si="206"/>
        <v>0</v>
      </c>
      <c r="N1438" t="b">
        <f t="shared" si="207"/>
        <v>0</v>
      </c>
    </row>
    <row r="1439" spans="1:14">
      <c r="A1439" s="29">
        <v>45999</v>
      </c>
      <c r="B1439" s="30">
        <f t="shared" si="199"/>
        <v>12</v>
      </c>
      <c r="C1439" s="30">
        <f t="shared" si="202"/>
        <v>8</v>
      </c>
      <c r="D1439" s="26">
        <f>MATCH(WEEKDAY(A1439),そのた定義!A:A,0)</f>
        <v>3</v>
      </c>
      <c r="E1439" s="26" t="str">
        <f t="shared" ca="1" si="203"/>
        <v>月</v>
      </c>
      <c r="F1439" s="26">
        <f t="shared" si="204"/>
        <v>0</v>
      </c>
      <c r="G1439" s="26">
        <f>IF(ISNA(MATCH(A1439,祝日定義!E:E,0)),0,1)</f>
        <v>0</v>
      </c>
      <c r="H1439" s="26">
        <f>IF(ISNA(MATCH(B1439&amp;"/"&amp;C1439,そのた定義!E:E,0)), 0, 1)</f>
        <v>0</v>
      </c>
      <c r="I1439" s="26" t="b">
        <f t="shared" si="205"/>
        <v>0</v>
      </c>
      <c r="J1439" s="26">
        <v>2</v>
      </c>
      <c r="K1439" s="26" t="b">
        <f t="shared" si="200"/>
        <v>0</v>
      </c>
      <c r="L1439" s="26" t="b">
        <f t="shared" si="201"/>
        <v>0</v>
      </c>
      <c r="M1439" t="b">
        <f t="shared" si="206"/>
        <v>0</v>
      </c>
      <c r="N1439" t="b">
        <f t="shared" si="207"/>
        <v>0</v>
      </c>
    </row>
    <row r="1440" spans="1:14">
      <c r="A1440" s="29">
        <v>46000</v>
      </c>
      <c r="B1440" s="30">
        <f t="shared" si="199"/>
        <v>12</v>
      </c>
      <c r="C1440" s="30">
        <f t="shared" si="202"/>
        <v>9</v>
      </c>
      <c r="D1440" s="26">
        <f>MATCH(WEEKDAY(A1440),そのた定義!A:A,0)</f>
        <v>4</v>
      </c>
      <c r="E1440" s="26" t="str">
        <f t="shared" ca="1" si="203"/>
        <v>火</v>
      </c>
      <c r="F1440" s="26">
        <f t="shared" si="204"/>
        <v>0</v>
      </c>
      <c r="G1440" s="26">
        <f>IF(ISNA(MATCH(A1440,祝日定義!E:E,0)),0,1)</f>
        <v>0</v>
      </c>
      <c r="H1440" s="26">
        <f>IF(ISNA(MATCH(B1440&amp;"/"&amp;C1440,そのた定義!E:E,0)), 0, 1)</f>
        <v>0</v>
      </c>
      <c r="I1440" s="26" t="b">
        <f t="shared" si="205"/>
        <v>0</v>
      </c>
      <c r="J1440" s="26">
        <v>0</v>
      </c>
      <c r="K1440" s="26" t="b">
        <f t="shared" si="200"/>
        <v>0</v>
      </c>
      <c r="L1440" s="26" t="b">
        <f t="shared" si="201"/>
        <v>0</v>
      </c>
      <c r="M1440" t="b">
        <f t="shared" si="206"/>
        <v>0</v>
      </c>
      <c r="N1440" t="b">
        <f t="shared" si="207"/>
        <v>0</v>
      </c>
    </row>
    <row r="1441" spans="1:14">
      <c r="A1441" s="29">
        <v>46001</v>
      </c>
      <c r="B1441" s="30">
        <f t="shared" si="199"/>
        <v>12</v>
      </c>
      <c r="C1441" s="30">
        <f t="shared" si="202"/>
        <v>10</v>
      </c>
      <c r="D1441" s="26">
        <f>MATCH(WEEKDAY(A1441),そのた定義!A:A,0)</f>
        <v>5</v>
      </c>
      <c r="E1441" s="26" t="str">
        <f t="shared" ca="1" si="203"/>
        <v>水</v>
      </c>
      <c r="F1441" s="26">
        <f t="shared" si="204"/>
        <v>0</v>
      </c>
      <c r="G1441" s="26">
        <f>IF(ISNA(MATCH(A1441,祝日定義!E:E,0)),0,1)</f>
        <v>0</v>
      </c>
      <c r="H1441" s="26">
        <f>IF(ISNA(MATCH(B1441&amp;"/"&amp;C1441,そのた定義!E:E,0)), 0, 1)</f>
        <v>0</v>
      </c>
      <c r="I1441" s="26" t="b">
        <f t="shared" si="205"/>
        <v>0</v>
      </c>
      <c r="J1441" s="26">
        <v>0</v>
      </c>
      <c r="K1441" s="26" t="b">
        <f t="shared" si="200"/>
        <v>0</v>
      </c>
      <c r="L1441" s="26" t="b">
        <f t="shared" si="201"/>
        <v>0</v>
      </c>
      <c r="M1441" t="b">
        <f t="shared" si="206"/>
        <v>0</v>
      </c>
      <c r="N1441" t="b">
        <f t="shared" si="207"/>
        <v>0</v>
      </c>
    </row>
    <row r="1442" spans="1:14">
      <c r="A1442" s="29">
        <v>46002</v>
      </c>
      <c r="B1442" s="30">
        <f t="shared" si="199"/>
        <v>12</v>
      </c>
      <c r="C1442" s="30">
        <f t="shared" si="202"/>
        <v>11</v>
      </c>
      <c r="D1442" s="26">
        <f>MATCH(WEEKDAY(A1442),そのた定義!A:A,0)</f>
        <v>6</v>
      </c>
      <c r="E1442" s="26" t="str">
        <f t="shared" ca="1" si="203"/>
        <v>木</v>
      </c>
      <c r="F1442" s="26">
        <f t="shared" si="204"/>
        <v>0</v>
      </c>
      <c r="G1442" s="26">
        <f>IF(ISNA(MATCH(A1442,祝日定義!E:E,0)),0,1)</f>
        <v>0</v>
      </c>
      <c r="H1442" s="26">
        <f>IF(ISNA(MATCH(B1442&amp;"/"&amp;C1442,そのた定義!E:E,0)), 0, 1)</f>
        <v>0</v>
      </c>
      <c r="I1442" s="26" t="b">
        <f t="shared" si="205"/>
        <v>0</v>
      </c>
      <c r="J1442" s="26">
        <v>0</v>
      </c>
      <c r="K1442" s="26" t="b">
        <f t="shared" si="200"/>
        <v>0</v>
      </c>
      <c r="L1442" s="26" t="b">
        <f t="shared" si="201"/>
        <v>0</v>
      </c>
      <c r="M1442" t="b">
        <f t="shared" si="206"/>
        <v>0</v>
      </c>
      <c r="N1442" t="b">
        <f t="shared" si="207"/>
        <v>0</v>
      </c>
    </row>
    <row r="1443" spans="1:14">
      <c r="A1443" s="29">
        <v>46003</v>
      </c>
      <c r="B1443" s="30">
        <f t="shared" si="199"/>
        <v>12</v>
      </c>
      <c r="C1443" s="30">
        <f t="shared" si="202"/>
        <v>12</v>
      </c>
      <c r="D1443" s="26">
        <f>MATCH(WEEKDAY(A1443),そのた定義!A:A,0)</f>
        <v>7</v>
      </c>
      <c r="E1443" s="26" t="str">
        <f t="shared" ca="1" si="203"/>
        <v>金</v>
      </c>
      <c r="F1443" s="26">
        <f t="shared" si="204"/>
        <v>0</v>
      </c>
      <c r="G1443" s="26">
        <f>IF(ISNA(MATCH(A1443,祝日定義!E:E,0)),0,1)</f>
        <v>0</v>
      </c>
      <c r="H1443" s="26">
        <f>IF(ISNA(MATCH(B1443&amp;"/"&amp;C1443,そのた定義!E:E,0)), 0, 1)</f>
        <v>0</v>
      </c>
      <c r="I1443" s="26" t="b">
        <f t="shared" si="205"/>
        <v>0</v>
      </c>
      <c r="J1443" s="26">
        <v>0</v>
      </c>
      <c r="K1443" s="26" t="b">
        <f t="shared" si="200"/>
        <v>0</v>
      </c>
      <c r="L1443" s="26" t="b">
        <f t="shared" si="201"/>
        <v>0</v>
      </c>
      <c r="M1443" t="b">
        <f t="shared" si="206"/>
        <v>0</v>
      </c>
      <c r="N1443" t="b">
        <f t="shared" si="207"/>
        <v>0</v>
      </c>
    </row>
    <row r="1444" spans="1:14">
      <c r="A1444" s="29">
        <v>46004</v>
      </c>
      <c r="B1444" s="30">
        <f t="shared" si="199"/>
        <v>12</v>
      </c>
      <c r="C1444" s="30">
        <f t="shared" si="202"/>
        <v>13</v>
      </c>
      <c r="D1444" s="26">
        <f>MATCH(WEEKDAY(A1444),そのた定義!A:A,0)</f>
        <v>8</v>
      </c>
      <c r="E1444" s="33" t="str">
        <f t="shared" ca="1" si="203"/>
        <v>土</v>
      </c>
      <c r="F1444" s="26">
        <f t="shared" si="204"/>
        <v>1</v>
      </c>
      <c r="G1444" s="26">
        <f>IF(ISNA(MATCH(A1444,祝日定義!E:E,0)),0,1)</f>
        <v>0</v>
      </c>
      <c r="H1444" s="26">
        <f>IF(ISNA(MATCH(B1444&amp;"/"&amp;C1444,そのた定義!E:E,0)), 0, 1)</f>
        <v>0</v>
      </c>
      <c r="I1444" s="23" t="b">
        <f t="shared" si="205"/>
        <v>1</v>
      </c>
      <c r="J1444" s="26">
        <v>0</v>
      </c>
      <c r="K1444" s="26" t="b">
        <f t="shared" si="200"/>
        <v>0</v>
      </c>
      <c r="L1444" s="26" t="b">
        <f t="shared" si="201"/>
        <v>0</v>
      </c>
      <c r="M1444" t="b">
        <f t="shared" si="206"/>
        <v>0</v>
      </c>
      <c r="N1444" t="b">
        <f t="shared" si="207"/>
        <v>0</v>
      </c>
    </row>
    <row r="1445" spans="1:14">
      <c r="A1445" s="29">
        <v>46005</v>
      </c>
      <c r="B1445" s="30">
        <f t="shared" si="199"/>
        <v>12</v>
      </c>
      <c r="C1445" s="30">
        <f t="shared" si="202"/>
        <v>14</v>
      </c>
      <c r="D1445" s="26">
        <f>MATCH(WEEKDAY(A1445),そのた定義!A:A,0)</f>
        <v>2</v>
      </c>
      <c r="E1445" s="32" t="str">
        <f t="shared" ca="1" si="203"/>
        <v>日</v>
      </c>
      <c r="F1445" s="26">
        <f t="shared" si="204"/>
        <v>1</v>
      </c>
      <c r="G1445" s="26">
        <f>IF(ISNA(MATCH(A1445,祝日定義!E:E,0)),0,1)</f>
        <v>0</v>
      </c>
      <c r="H1445" s="26">
        <f>IF(ISNA(MATCH(B1445&amp;"/"&amp;C1445,そのた定義!E:E,0)), 0, 1)</f>
        <v>0</v>
      </c>
      <c r="I1445" s="23" t="b">
        <f t="shared" si="205"/>
        <v>1</v>
      </c>
      <c r="J1445" s="26">
        <v>0</v>
      </c>
      <c r="K1445" s="26" t="b">
        <f t="shared" si="200"/>
        <v>0</v>
      </c>
      <c r="L1445" s="26" t="b">
        <f t="shared" si="201"/>
        <v>0</v>
      </c>
      <c r="M1445" t="b">
        <f t="shared" si="206"/>
        <v>0</v>
      </c>
      <c r="N1445" t="b">
        <f t="shared" si="207"/>
        <v>0</v>
      </c>
    </row>
    <row r="1446" spans="1:14">
      <c r="A1446" s="29">
        <v>46006</v>
      </c>
      <c r="B1446" s="30">
        <f t="shared" si="199"/>
        <v>12</v>
      </c>
      <c r="C1446" s="30">
        <f t="shared" si="202"/>
        <v>15</v>
      </c>
      <c r="D1446" s="26">
        <f>MATCH(WEEKDAY(A1446),そのた定義!A:A,0)</f>
        <v>3</v>
      </c>
      <c r="E1446" s="26" t="str">
        <f t="shared" ca="1" si="203"/>
        <v>月</v>
      </c>
      <c r="F1446" s="26">
        <f t="shared" si="204"/>
        <v>0</v>
      </c>
      <c r="G1446" s="26">
        <f>IF(ISNA(MATCH(A1446,祝日定義!E:E,0)),0,1)</f>
        <v>0</v>
      </c>
      <c r="H1446" s="26">
        <f>IF(ISNA(MATCH(B1446&amp;"/"&amp;C1446,そのた定義!E:E,0)), 0, 1)</f>
        <v>0</v>
      </c>
      <c r="I1446" s="26" t="b">
        <f t="shared" si="205"/>
        <v>0</v>
      </c>
      <c r="J1446" s="26">
        <v>2</v>
      </c>
      <c r="K1446" s="26" t="b">
        <f t="shared" si="200"/>
        <v>0</v>
      </c>
      <c r="L1446" s="26" t="b">
        <f t="shared" si="201"/>
        <v>0</v>
      </c>
      <c r="M1446" t="b">
        <f t="shared" si="206"/>
        <v>0</v>
      </c>
      <c r="N1446" t="b">
        <f t="shared" si="207"/>
        <v>0</v>
      </c>
    </row>
    <row r="1447" spans="1:14">
      <c r="A1447" s="29">
        <v>46007</v>
      </c>
      <c r="B1447" s="30">
        <f t="shared" si="199"/>
        <v>12</v>
      </c>
      <c r="C1447" s="30">
        <f t="shared" si="202"/>
        <v>16</v>
      </c>
      <c r="D1447" s="26">
        <f>MATCH(WEEKDAY(A1447),そのた定義!A:A,0)</f>
        <v>4</v>
      </c>
      <c r="E1447" s="26" t="str">
        <f t="shared" ca="1" si="203"/>
        <v>火</v>
      </c>
      <c r="F1447" s="26">
        <f t="shared" si="204"/>
        <v>0</v>
      </c>
      <c r="G1447" s="26">
        <f>IF(ISNA(MATCH(A1447,祝日定義!E:E,0)),0,1)</f>
        <v>0</v>
      </c>
      <c r="H1447" s="26">
        <f>IF(ISNA(MATCH(B1447&amp;"/"&amp;C1447,そのた定義!E:E,0)), 0, 1)</f>
        <v>0</v>
      </c>
      <c r="I1447" s="26" t="b">
        <f t="shared" si="205"/>
        <v>0</v>
      </c>
      <c r="J1447" s="26">
        <v>0</v>
      </c>
      <c r="K1447" s="26" t="b">
        <f t="shared" si="200"/>
        <v>0</v>
      </c>
      <c r="L1447" s="26" t="b">
        <f t="shared" si="201"/>
        <v>0</v>
      </c>
      <c r="M1447" t="b">
        <f t="shared" si="206"/>
        <v>0</v>
      </c>
      <c r="N1447" t="b">
        <f t="shared" si="207"/>
        <v>0</v>
      </c>
    </row>
    <row r="1448" spans="1:14">
      <c r="A1448" s="29">
        <v>46008</v>
      </c>
      <c r="B1448" s="30">
        <f t="shared" si="199"/>
        <v>12</v>
      </c>
      <c r="C1448" s="30">
        <f t="shared" si="202"/>
        <v>17</v>
      </c>
      <c r="D1448" s="26">
        <f>MATCH(WEEKDAY(A1448),そのた定義!A:A,0)</f>
        <v>5</v>
      </c>
      <c r="E1448" s="26" t="str">
        <f t="shared" ca="1" si="203"/>
        <v>水</v>
      </c>
      <c r="F1448" s="26">
        <f t="shared" si="204"/>
        <v>0</v>
      </c>
      <c r="G1448" s="26">
        <f>IF(ISNA(MATCH(A1448,祝日定義!E:E,0)),0,1)</f>
        <v>0</v>
      </c>
      <c r="H1448" s="26">
        <f>IF(ISNA(MATCH(B1448&amp;"/"&amp;C1448,そのた定義!E:E,0)), 0, 1)</f>
        <v>0</v>
      </c>
      <c r="I1448" s="26" t="b">
        <f t="shared" si="205"/>
        <v>0</v>
      </c>
      <c r="J1448" s="26">
        <v>0</v>
      </c>
      <c r="K1448" s="26" t="b">
        <f t="shared" si="200"/>
        <v>0</v>
      </c>
      <c r="L1448" s="26" t="b">
        <f t="shared" si="201"/>
        <v>0</v>
      </c>
      <c r="M1448" t="b">
        <f t="shared" si="206"/>
        <v>0</v>
      </c>
      <c r="N1448" t="b">
        <f t="shared" si="207"/>
        <v>0</v>
      </c>
    </row>
    <row r="1449" spans="1:14">
      <c r="A1449" s="29">
        <v>46009</v>
      </c>
      <c r="B1449" s="30">
        <f t="shared" si="199"/>
        <v>12</v>
      </c>
      <c r="C1449" s="30">
        <f t="shared" si="202"/>
        <v>18</v>
      </c>
      <c r="D1449" s="26">
        <f>MATCH(WEEKDAY(A1449),そのた定義!A:A,0)</f>
        <v>6</v>
      </c>
      <c r="E1449" s="26" t="str">
        <f t="shared" ca="1" si="203"/>
        <v>木</v>
      </c>
      <c r="F1449" s="26">
        <f t="shared" si="204"/>
        <v>0</v>
      </c>
      <c r="G1449" s="26">
        <f>IF(ISNA(MATCH(A1449,祝日定義!E:E,0)),0,1)</f>
        <v>0</v>
      </c>
      <c r="H1449" s="26">
        <f>IF(ISNA(MATCH(B1449&amp;"/"&amp;C1449,そのた定義!E:E,0)), 0, 1)</f>
        <v>0</v>
      </c>
      <c r="I1449" s="26" t="b">
        <f t="shared" si="205"/>
        <v>0</v>
      </c>
      <c r="J1449" s="26">
        <v>0</v>
      </c>
      <c r="K1449" s="26" t="b">
        <f t="shared" si="200"/>
        <v>0</v>
      </c>
      <c r="L1449" s="26" t="b">
        <f t="shared" si="201"/>
        <v>0</v>
      </c>
      <c r="M1449" t="b">
        <f t="shared" si="206"/>
        <v>0</v>
      </c>
      <c r="N1449" t="b">
        <f t="shared" si="207"/>
        <v>0</v>
      </c>
    </row>
    <row r="1450" spans="1:14">
      <c r="A1450" s="29">
        <v>46010</v>
      </c>
      <c r="B1450" s="30">
        <f t="shared" si="199"/>
        <v>12</v>
      </c>
      <c r="C1450" s="30">
        <f t="shared" si="202"/>
        <v>19</v>
      </c>
      <c r="D1450" s="26">
        <f>MATCH(WEEKDAY(A1450),そのた定義!A:A,0)</f>
        <v>7</v>
      </c>
      <c r="E1450" s="26" t="str">
        <f t="shared" ca="1" si="203"/>
        <v>金</v>
      </c>
      <c r="F1450" s="26">
        <f t="shared" si="204"/>
        <v>0</v>
      </c>
      <c r="G1450" s="26">
        <f>IF(ISNA(MATCH(A1450,祝日定義!E:E,0)),0,1)</f>
        <v>0</v>
      </c>
      <c r="H1450" s="26">
        <f>IF(ISNA(MATCH(B1450&amp;"/"&amp;C1450,そのた定義!E:E,0)), 0, 1)</f>
        <v>0</v>
      </c>
      <c r="I1450" s="26" t="b">
        <f t="shared" si="205"/>
        <v>0</v>
      </c>
      <c r="J1450" s="26">
        <v>0</v>
      </c>
      <c r="K1450" s="26" t="b">
        <f t="shared" si="200"/>
        <v>0</v>
      </c>
      <c r="L1450" s="26" t="b">
        <f t="shared" si="201"/>
        <v>0</v>
      </c>
      <c r="M1450" t="b">
        <f t="shared" si="206"/>
        <v>0</v>
      </c>
      <c r="N1450" t="b">
        <f t="shared" si="207"/>
        <v>0</v>
      </c>
    </row>
    <row r="1451" spans="1:14">
      <c r="A1451" s="29">
        <v>46011</v>
      </c>
      <c r="B1451" s="30">
        <f t="shared" si="199"/>
        <v>12</v>
      </c>
      <c r="C1451" s="30">
        <f t="shared" si="202"/>
        <v>20</v>
      </c>
      <c r="D1451" s="26">
        <f>MATCH(WEEKDAY(A1451),そのた定義!A:A,0)</f>
        <v>8</v>
      </c>
      <c r="E1451" s="33" t="str">
        <f t="shared" ca="1" si="203"/>
        <v>土</v>
      </c>
      <c r="F1451" s="26">
        <f t="shared" si="204"/>
        <v>1</v>
      </c>
      <c r="G1451" s="26">
        <f>IF(ISNA(MATCH(A1451,祝日定義!E:E,0)),0,1)</f>
        <v>0</v>
      </c>
      <c r="H1451" s="26">
        <f>IF(ISNA(MATCH(B1451&amp;"/"&amp;C1451,そのた定義!E:E,0)), 0, 1)</f>
        <v>0</v>
      </c>
      <c r="I1451" s="23" t="b">
        <f t="shared" si="205"/>
        <v>1</v>
      </c>
      <c r="J1451" s="26">
        <v>0</v>
      </c>
      <c r="K1451" s="26" t="b">
        <f t="shared" si="200"/>
        <v>0</v>
      </c>
      <c r="L1451" s="26" t="b">
        <f t="shared" si="201"/>
        <v>0</v>
      </c>
      <c r="M1451" t="b">
        <f t="shared" si="206"/>
        <v>0</v>
      </c>
      <c r="N1451" t="b">
        <f t="shared" si="207"/>
        <v>0</v>
      </c>
    </row>
    <row r="1452" spans="1:14">
      <c r="A1452" s="29">
        <v>46012</v>
      </c>
      <c r="B1452" s="30">
        <f t="shared" si="199"/>
        <v>12</v>
      </c>
      <c r="C1452" s="30">
        <f t="shared" si="202"/>
        <v>21</v>
      </c>
      <c r="D1452" s="26">
        <f>MATCH(WEEKDAY(A1452),そのた定義!A:A,0)</f>
        <v>2</v>
      </c>
      <c r="E1452" s="32" t="str">
        <f t="shared" ca="1" si="203"/>
        <v>日</v>
      </c>
      <c r="F1452" s="26">
        <f t="shared" si="204"/>
        <v>1</v>
      </c>
      <c r="G1452" s="26">
        <f>IF(ISNA(MATCH(A1452,祝日定義!E:E,0)),0,1)</f>
        <v>0</v>
      </c>
      <c r="H1452" s="26">
        <f>IF(ISNA(MATCH(B1452&amp;"/"&amp;C1452,そのた定義!E:E,0)), 0, 1)</f>
        <v>0</v>
      </c>
      <c r="I1452" s="23" t="b">
        <f t="shared" si="205"/>
        <v>1</v>
      </c>
      <c r="J1452" s="26">
        <v>0</v>
      </c>
      <c r="K1452" s="26" t="b">
        <f t="shared" si="200"/>
        <v>0</v>
      </c>
      <c r="L1452" s="26" t="b">
        <f t="shared" si="201"/>
        <v>0</v>
      </c>
      <c r="M1452" t="b">
        <f t="shared" si="206"/>
        <v>0</v>
      </c>
      <c r="N1452" t="b">
        <f t="shared" si="207"/>
        <v>0</v>
      </c>
    </row>
    <row r="1453" spans="1:14">
      <c r="A1453" s="29">
        <v>46013</v>
      </c>
      <c r="B1453" s="30">
        <f t="shared" si="199"/>
        <v>12</v>
      </c>
      <c r="C1453" s="30">
        <f t="shared" si="202"/>
        <v>22</v>
      </c>
      <c r="D1453" s="26">
        <f>MATCH(WEEKDAY(A1453),そのた定義!A:A,0)</f>
        <v>3</v>
      </c>
      <c r="E1453" s="26" t="str">
        <f t="shared" ca="1" si="203"/>
        <v>月</v>
      </c>
      <c r="F1453" s="26">
        <f t="shared" si="204"/>
        <v>0</v>
      </c>
      <c r="G1453" s="26">
        <f>IF(ISNA(MATCH(A1453,祝日定義!E:E,0)),0,1)</f>
        <v>0</v>
      </c>
      <c r="H1453" s="26">
        <f>IF(ISNA(MATCH(B1453&amp;"/"&amp;C1453,そのた定義!E:E,0)), 0, 1)</f>
        <v>0</v>
      </c>
      <c r="I1453" s="26" t="b">
        <f t="shared" si="205"/>
        <v>0</v>
      </c>
      <c r="J1453" s="26">
        <v>2</v>
      </c>
      <c r="K1453" s="26" t="b">
        <f t="shared" si="200"/>
        <v>0</v>
      </c>
      <c r="L1453" s="26" t="b">
        <f t="shared" si="201"/>
        <v>0</v>
      </c>
      <c r="M1453" t="b">
        <f t="shared" si="206"/>
        <v>0</v>
      </c>
      <c r="N1453" t="b">
        <f t="shared" si="207"/>
        <v>0</v>
      </c>
    </row>
    <row r="1454" spans="1:14">
      <c r="A1454" s="29">
        <v>46014</v>
      </c>
      <c r="B1454" s="30">
        <f t="shared" si="199"/>
        <v>12</v>
      </c>
      <c r="C1454" s="30">
        <f t="shared" si="202"/>
        <v>23</v>
      </c>
      <c r="D1454" s="26">
        <f>MATCH(WEEKDAY(A1454),そのた定義!A:A,0)</f>
        <v>4</v>
      </c>
      <c r="E1454" s="26" t="str">
        <f t="shared" ca="1" si="203"/>
        <v>火</v>
      </c>
      <c r="F1454" s="26">
        <f t="shared" si="204"/>
        <v>0</v>
      </c>
      <c r="G1454" s="26">
        <f>IF(ISNA(MATCH(A1454,祝日定義!E:E,0)),0,1)</f>
        <v>0</v>
      </c>
      <c r="H1454" s="26">
        <f>IF(ISNA(MATCH(B1454&amp;"/"&amp;C1454,そのた定義!E:E,0)), 0, 1)</f>
        <v>0</v>
      </c>
      <c r="I1454" s="26" t="b">
        <f t="shared" si="205"/>
        <v>0</v>
      </c>
      <c r="J1454" s="26">
        <v>0</v>
      </c>
      <c r="K1454" s="26" t="b">
        <f t="shared" si="200"/>
        <v>0</v>
      </c>
      <c r="L1454" s="26" t="b">
        <f t="shared" si="201"/>
        <v>0</v>
      </c>
      <c r="M1454" t="b">
        <f t="shared" si="206"/>
        <v>0</v>
      </c>
      <c r="N1454" t="b">
        <f t="shared" si="207"/>
        <v>0</v>
      </c>
    </row>
    <row r="1455" spans="1:14">
      <c r="A1455" s="29">
        <v>46015</v>
      </c>
      <c r="B1455" s="30">
        <f t="shared" si="199"/>
        <v>12</v>
      </c>
      <c r="C1455" s="30">
        <f t="shared" si="202"/>
        <v>24</v>
      </c>
      <c r="D1455" s="26">
        <f>MATCH(WEEKDAY(A1455),そのた定義!A:A,0)</f>
        <v>5</v>
      </c>
      <c r="E1455" s="26" t="str">
        <f t="shared" ca="1" si="203"/>
        <v>水</v>
      </c>
      <c r="F1455" s="26">
        <f t="shared" si="204"/>
        <v>0</v>
      </c>
      <c r="G1455" s="26">
        <f>IF(ISNA(MATCH(A1455,祝日定義!E:E,0)),0,1)</f>
        <v>0</v>
      </c>
      <c r="H1455" s="26">
        <f>IF(ISNA(MATCH(B1455&amp;"/"&amp;C1455,そのた定義!E:E,0)), 0, 1)</f>
        <v>0</v>
      </c>
      <c r="I1455" s="26" t="b">
        <f t="shared" si="205"/>
        <v>0</v>
      </c>
      <c r="J1455" s="26">
        <v>0</v>
      </c>
      <c r="K1455" s="26" t="b">
        <f t="shared" si="200"/>
        <v>0</v>
      </c>
      <c r="L1455" s="26" t="b">
        <f t="shared" si="201"/>
        <v>0</v>
      </c>
      <c r="M1455" t="b">
        <f t="shared" si="206"/>
        <v>0</v>
      </c>
      <c r="N1455" t="b">
        <f t="shared" si="207"/>
        <v>0</v>
      </c>
    </row>
    <row r="1456" spans="1:14">
      <c r="A1456" s="29">
        <v>46016</v>
      </c>
      <c r="B1456" s="30">
        <f t="shared" si="199"/>
        <v>12</v>
      </c>
      <c r="C1456" s="30">
        <f t="shared" si="202"/>
        <v>25</v>
      </c>
      <c r="D1456" s="26">
        <f>MATCH(WEEKDAY(A1456),そのた定義!A:A,0)</f>
        <v>6</v>
      </c>
      <c r="E1456" s="26" t="str">
        <f t="shared" ca="1" si="203"/>
        <v>木</v>
      </c>
      <c r="F1456" s="26">
        <f t="shared" si="204"/>
        <v>0</v>
      </c>
      <c r="G1456" s="26">
        <f>IF(ISNA(MATCH(A1456,祝日定義!E:E,0)),0,1)</f>
        <v>0</v>
      </c>
      <c r="H1456" s="26">
        <f>IF(ISNA(MATCH(B1456&amp;"/"&amp;C1456,そのた定義!E:E,0)), 0, 1)</f>
        <v>0</v>
      </c>
      <c r="I1456" s="26" t="b">
        <f t="shared" si="205"/>
        <v>0</v>
      </c>
      <c r="J1456" s="26">
        <v>0</v>
      </c>
      <c r="K1456" s="26" t="b">
        <f t="shared" si="200"/>
        <v>0</v>
      </c>
      <c r="L1456" s="23" t="b">
        <f t="shared" si="201"/>
        <v>1</v>
      </c>
      <c r="M1456" t="b">
        <f t="shared" si="206"/>
        <v>0</v>
      </c>
      <c r="N1456" t="b">
        <f t="shared" si="207"/>
        <v>0</v>
      </c>
    </row>
    <row r="1457" spans="1:14">
      <c r="A1457" s="29">
        <v>46017</v>
      </c>
      <c r="B1457" s="30">
        <f t="shared" si="199"/>
        <v>12</v>
      </c>
      <c r="C1457" s="30">
        <f t="shared" si="202"/>
        <v>26</v>
      </c>
      <c r="D1457" s="26">
        <f>MATCH(WEEKDAY(A1457),そのた定義!A:A,0)</f>
        <v>7</v>
      </c>
      <c r="E1457" s="26" t="str">
        <f t="shared" ca="1" si="203"/>
        <v>金</v>
      </c>
      <c r="F1457" s="26">
        <f t="shared" si="204"/>
        <v>0</v>
      </c>
      <c r="G1457" s="26">
        <f>IF(ISNA(MATCH(A1457,祝日定義!E:E,0)),0,1)</f>
        <v>0</v>
      </c>
      <c r="H1457" s="26">
        <f>IF(ISNA(MATCH(B1457&amp;"/"&amp;C1457,そのた定義!E:E,0)), 0, 1)</f>
        <v>0</v>
      </c>
      <c r="I1457" s="26" t="b">
        <f t="shared" si="205"/>
        <v>0</v>
      </c>
      <c r="J1457" s="26">
        <v>0</v>
      </c>
      <c r="K1457" s="26" t="b">
        <f t="shared" si="200"/>
        <v>0</v>
      </c>
      <c r="L1457" s="26" t="b">
        <f t="shared" si="201"/>
        <v>0</v>
      </c>
      <c r="M1457" t="b">
        <f t="shared" si="206"/>
        <v>0</v>
      </c>
      <c r="N1457" t="b">
        <f t="shared" si="207"/>
        <v>0</v>
      </c>
    </row>
    <row r="1458" spans="1:14">
      <c r="A1458" s="29">
        <v>46018</v>
      </c>
      <c r="B1458" s="30">
        <f t="shared" si="199"/>
        <v>12</v>
      </c>
      <c r="C1458" s="30">
        <f t="shared" si="202"/>
        <v>27</v>
      </c>
      <c r="D1458" s="26">
        <f>MATCH(WEEKDAY(A1458),そのた定義!A:A,0)</f>
        <v>8</v>
      </c>
      <c r="E1458" s="33" t="str">
        <f t="shared" ca="1" si="203"/>
        <v>土</v>
      </c>
      <c r="F1458" s="26">
        <f t="shared" si="204"/>
        <v>1</v>
      </c>
      <c r="G1458" s="26">
        <f>IF(ISNA(MATCH(A1458,祝日定義!E:E,0)),0,1)</f>
        <v>0</v>
      </c>
      <c r="H1458" s="26">
        <f>IF(ISNA(MATCH(B1458&amp;"/"&amp;C1458,そのた定義!E:E,0)), 0, 1)</f>
        <v>0</v>
      </c>
      <c r="I1458" s="23" t="b">
        <f t="shared" si="205"/>
        <v>1</v>
      </c>
      <c r="J1458" s="26">
        <v>0</v>
      </c>
      <c r="K1458" s="26" t="b">
        <f t="shared" si="200"/>
        <v>0</v>
      </c>
      <c r="L1458" s="26" t="b">
        <f t="shared" si="201"/>
        <v>0</v>
      </c>
      <c r="M1458" t="b">
        <f t="shared" si="206"/>
        <v>0</v>
      </c>
      <c r="N1458" t="b">
        <f t="shared" si="207"/>
        <v>0</v>
      </c>
    </row>
    <row r="1459" spans="1:14">
      <c r="A1459" s="29">
        <v>46019</v>
      </c>
      <c r="B1459" s="30">
        <f t="shared" si="199"/>
        <v>12</v>
      </c>
      <c r="C1459" s="30">
        <f t="shared" si="202"/>
        <v>28</v>
      </c>
      <c r="D1459" s="26">
        <f>MATCH(WEEKDAY(A1459),そのた定義!A:A,0)</f>
        <v>2</v>
      </c>
      <c r="E1459" s="32" t="str">
        <f t="shared" ca="1" si="203"/>
        <v>日</v>
      </c>
      <c r="F1459" s="26">
        <f t="shared" si="204"/>
        <v>1</v>
      </c>
      <c r="G1459" s="26">
        <f>IF(ISNA(MATCH(A1459,祝日定義!E:E,0)),0,1)</f>
        <v>0</v>
      </c>
      <c r="H1459" s="26">
        <f>IF(ISNA(MATCH(B1459&amp;"/"&amp;C1459,そのた定義!E:E,0)), 0, 1)</f>
        <v>0</v>
      </c>
      <c r="I1459" s="23" t="b">
        <f t="shared" si="205"/>
        <v>1</v>
      </c>
      <c r="J1459" s="26">
        <v>0</v>
      </c>
      <c r="K1459" s="26" t="b">
        <f t="shared" si="200"/>
        <v>0</v>
      </c>
      <c r="L1459" s="26" t="b">
        <f t="shared" si="201"/>
        <v>0</v>
      </c>
      <c r="M1459" t="b">
        <f t="shared" si="206"/>
        <v>0</v>
      </c>
      <c r="N1459" t="b">
        <f t="shared" si="207"/>
        <v>0</v>
      </c>
    </row>
    <row r="1460" spans="1:14">
      <c r="A1460" s="29">
        <v>46020</v>
      </c>
      <c r="B1460" s="30">
        <f t="shared" si="199"/>
        <v>12</v>
      </c>
      <c r="C1460" s="30">
        <f t="shared" si="202"/>
        <v>29</v>
      </c>
      <c r="D1460" s="26">
        <f>MATCH(WEEKDAY(A1460),そのた定義!A:A,0)</f>
        <v>3</v>
      </c>
      <c r="E1460" s="26" t="str">
        <f t="shared" ca="1" si="203"/>
        <v>月</v>
      </c>
      <c r="F1460" s="26">
        <f t="shared" si="204"/>
        <v>0</v>
      </c>
      <c r="G1460" s="26">
        <f>IF(ISNA(MATCH(A1460,祝日定義!E:E,0)),0,1)</f>
        <v>0</v>
      </c>
      <c r="H1460" s="26">
        <f>IF(ISNA(MATCH(B1460&amp;"/"&amp;C1460,そのた定義!E:E,0)), 0, 1)</f>
        <v>0</v>
      </c>
      <c r="I1460" s="26" t="b">
        <f t="shared" si="205"/>
        <v>0</v>
      </c>
      <c r="J1460" s="26">
        <v>2</v>
      </c>
      <c r="K1460" s="26" t="b">
        <f t="shared" si="200"/>
        <v>0</v>
      </c>
      <c r="L1460" s="26" t="b">
        <f t="shared" si="201"/>
        <v>0</v>
      </c>
      <c r="M1460" t="b">
        <f t="shared" si="206"/>
        <v>0</v>
      </c>
      <c r="N1460" t="b">
        <f t="shared" si="207"/>
        <v>0</v>
      </c>
    </row>
    <row r="1461" spans="1:14">
      <c r="A1461" s="29">
        <v>46021</v>
      </c>
      <c r="B1461" s="30">
        <f t="shared" si="199"/>
        <v>12</v>
      </c>
      <c r="C1461" s="30">
        <f t="shared" si="202"/>
        <v>30</v>
      </c>
      <c r="D1461" s="26">
        <f>MATCH(WEEKDAY(A1461),そのた定義!A:A,0)</f>
        <v>4</v>
      </c>
      <c r="E1461" s="31" t="str">
        <f t="shared" ca="1" si="203"/>
        <v>火</v>
      </c>
      <c r="F1461" s="26">
        <f t="shared" si="204"/>
        <v>0</v>
      </c>
      <c r="G1461" s="26">
        <f>IF(ISNA(MATCH(A1461,祝日定義!E:E,0)),0,1)</f>
        <v>0</v>
      </c>
      <c r="H1461" s="26">
        <f>IF(ISNA(MATCH(B1461&amp;"/"&amp;C1461,そのた定義!E:E,0)), 0, 1)</f>
        <v>1</v>
      </c>
      <c r="I1461" s="23" t="b">
        <f t="shared" si="205"/>
        <v>1</v>
      </c>
      <c r="J1461" s="26">
        <v>0</v>
      </c>
      <c r="K1461" s="26" t="b">
        <f t="shared" si="200"/>
        <v>0</v>
      </c>
      <c r="L1461" s="26" t="b">
        <f t="shared" si="201"/>
        <v>0</v>
      </c>
      <c r="M1461" t="b">
        <f t="shared" si="206"/>
        <v>0</v>
      </c>
      <c r="N1461" t="b">
        <f t="shared" si="207"/>
        <v>0</v>
      </c>
    </row>
    <row r="1462" spans="1:14">
      <c r="A1462" s="29">
        <v>46022</v>
      </c>
      <c r="B1462" s="30">
        <f t="shared" si="199"/>
        <v>12</v>
      </c>
      <c r="C1462" s="30">
        <f t="shared" si="202"/>
        <v>31</v>
      </c>
      <c r="D1462" s="26">
        <f>MATCH(WEEKDAY(A1462),そのた定義!A:A,0)</f>
        <v>5</v>
      </c>
      <c r="E1462" s="31" t="str">
        <f t="shared" ca="1" si="203"/>
        <v>水</v>
      </c>
      <c r="F1462" s="26">
        <f t="shared" si="204"/>
        <v>0</v>
      </c>
      <c r="G1462" s="26">
        <f>IF(ISNA(MATCH(A1462,祝日定義!E:E,0)),0,1)</f>
        <v>0</v>
      </c>
      <c r="H1462" s="26">
        <f>IF(ISNA(MATCH(B1462&amp;"/"&amp;C1462,そのた定義!E:E,0)), 0, 1)</f>
        <v>1</v>
      </c>
      <c r="I1462" s="23" t="b">
        <f t="shared" si="205"/>
        <v>1</v>
      </c>
      <c r="J1462" s="26">
        <v>0</v>
      </c>
      <c r="K1462" s="26" t="b">
        <f t="shared" si="200"/>
        <v>0</v>
      </c>
      <c r="L1462" s="26" t="b">
        <f t="shared" si="201"/>
        <v>0</v>
      </c>
      <c r="M1462" t="b">
        <f t="shared" si="206"/>
        <v>0</v>
      </c>
      <c r="N1462" t="b">
        <f t="shared" si="207"/>
        <v>1</v>
      </c>
    </row>
    <row r="1463" spans="1:14">
      <c r="A1463" s="29">
        <v>46023</v>
      </c>
      <c r="B1463" s="30">
        <f t="shared" si="199"/>
        <v>1</v>
      </c>
      <c r="C1463" s="30">
        <f t="shared" si="202"/>
        <v>1</v>
      </c>
      <c r="D1463" s="26">
        <f>MATCH(WEEKDAY(A1463),そのた定義!A:A,0)</f>
        <v>6</v>
      </c>
      <c r="E1463" s="31" t="str">
        <f t="shared" ca="1" si="203"/>
        <v>木</v>
      </c>
      <c r="F1463" s="26">
        <f t="shared" si="204"/>
        <v>0</v>
      </c>
      <c r="G1463" s="26">
        <f>IF(ISNA(MATCH(A1463,祝日定義!E:E,0)),0,1)</f>
        <v>1</v>
      </c>
      <c r="H1463" s="26">
        <f>IF(ISNA(MATCH(B1463&amp;"/"&amp;C1463,そのた定義!E:E,0)), 0, 1)</f>
        <v>1</v>
      </c>
      <c r="I1463" s="23" t="b">
        <f t="shared" si="205"/>
        <v>1</v>
      </c>
      <c r="J1463" s="26">
        <v>0</v>
      </c>
      <c r="K1463" s="26" t="b">
        <f t="shared" si="200"/>
        <v>0</v>
      </c>
      <c r="L1463" s="26" t="b">
        <f t="shared" si="201"/>
        <v>0</v>
      </c>
      <c r="M1463" t="b">
        <f t="shared" si="206"/>
        <v>0</v>
      </c>
      <c r="N1463" t="b">
        <f t="shared" si="207"/>
        <v>0</v>
      </c>
    </row>
    <row r="1464" spans="1:14">
      <c r="A1464" s="29">
        <v>46024</v>
      </c>
      <c r="B1464" s="30">
        <f t="shared" si="199"/>
        <v>1</v>
      </c>
      <c r="C1464" s="30">
        <f t="shared" si="202"/>
        <v>2</v>
      </c>
      <c r="D1464" s="26">
        <f>MATCH(WEEKDAY(A1464),そのた定義!A:A,0)</f>
        <v>7</v>
      </c>
      <c r="E1464" s="31" t="str">
        <f t="shared" ca="1" si="203"/>
        <v>金</v>
      </c>
      <c r="F1464" s="26">
        <f t="shared" si="204"/>
        <v>0</v>
      </c>
      <c r="G1464" s="26">
        <f>IF(ISNA(MATCH(A1464,祝日定義!E:E,0)),0,1)</f>
        <v>0</v>
      </c>
      <c r="H1464" s="26">
        <f>IF(ISNA(MATCH(B1464&amp;"/"&amp;C1464,そのた定義!E:E,0)), 0, 1)</f>
        <v>1</v>
      </c>
      <c r="I1464" s="23" t="b">
        <f t="shared" si="205"/>
        <v>1</v>
      </c>
      <c r="J1464" s="26">
        <v>0</v>
      </c>
      <c r="K1464" s="26" t="b">
        <f t="shared" si="200"/>
        <v>0</v>
      </c>
      <c r="L1464" s="26" t="b">
        <f t="shared" si="201"/>
        <v>0</v>
      </c>
      <c r="M1464" t="b">
        <f t="shared" si="206"/>
        <v>0</v>
      </c>
      <c r="N1464" t="b">
        <f t="shared" si="207"/>
        <v>0</v>
      </c>
    </row>
    <row r="1465" spans="1:14">
      <c r="A1465" s="29">
        <v>46025</v>
      </c>
      <c r="B1465" s="30">
        <f t="shared" si="199"/>
        <v>1</v>
      </c>
      <c r="C1465" s="30">
        <f t="shared" si="202"/>
        <v>3</v>
      </c>
      <c r="D1465" s="26">
        <f>MATCH(WEEKDAY(A1465),そのた定義!A:A,0)</f>
        <v>8</v>
      </c>
      <c r="E1465" s="33" t="str">
        <f t="shared" ca="1" si="203"/>
        <v>土</v>
      </c>
      <c r="F1465" s="26">
        <f t="shared" si="204"/>
        <v>1</v>
      </c>
      <c r="G1465" s="26">
        <f>IF(ISNA(MATCH(A1465,祝日定義!E:E,0)),0,1)</f>
        <v>0</v>
      </c>
      <c r="H1465" s="26">
        <f>IF(ISNA(MATCH(B1465&amp;"/"&amp;C1465,そのた定義!E:E,0)), 0, 1)</f>
        <v>1</v>
      </c>
      <c r="I1465" s="23" t="b">
        <f t="shared" si="205"/>
        <v>1</v>
      </c>
      <c r="J1465" s="26">
        <v>0</v>
      </c>
      <c r="K1465" s="26" t="b">
        <f t="shared" si="200"/>
        <v>0</v>
      </c>
      <c r="L1465" s="26" t="b">
        <f t="shared" si="201"/>
        <v>0</v>
      </c>
      <c r="M1465" t="b">
        <f t="shared" si="206"/>
        <v>0</v>
      </c>
      <c r="N1465" t="b">
        <f t="shared" si="207"/>
        <v>0</v>
      </c>
    </row>
    <row r="1466" spans="1:14">
      <c r="A1466" s="29">
        <v>46026</v>
      </c>
      <c r="B1466" s="30">
        <f t="shared" si="199"/>
        <v>1</v>
      </c>
      <c r="C1466" s="30">
        <f t="shared" si="202"/>
        <v>4</v>
      </c>
      <c r="D1466" s="26">
        <f>MATCH(WEEKDAY(A1466),そのた定義!A:A,0)</f>
        <v>2</v>
      </c>
      <c r="E1466" s="32" t="str">
        <f t="shared" ca="1" si="203"/>
        <v>日</v>
      </c>
      <c r="F1466" s="26">
        <f t="shared" si="204"/>
        <v>1</v>
      </c>
      <c r="G1466" s="26">
        <f>IF(ISNA(MATCH(A1466,祝日定義!E:E,0)),0,1)</f>
        <v>0</v>
      </c>
      <c r="H1466" s="26">
        <f>IF(ISNA(MATCH(B1466&amp;"/"&amp;C1466,そのた定義!E:E,0)), 0, 1)</f>
        <v>0</v>
      </c>
      <c r="I1466" s="23" t="b">
        <f t="shared" si="205"/>
        <v>1</v>
      </c>
      <c r="J1466" s="26">
        <v>0</v>
      </c>
      <c r="K1466" s="26" t="b">
        <f t="shared" si="200"/>
        <v>0</v>
      </c>
      <c r="L1466" s="26" t="b">
        <f t="shared" si="201"/>
        <v>0</v>
      </c>
      <c r="M1466" t="b">
        <f t="shared" si="206"/>
        <v>0</v>
      </c>
      <c r="N1466" t="b">
        <f t="shared" si="207"/>
        <v>0</v>
      </c>
    </row>
    <row r="1467" spans="1:14">
      <c r="A1467" s="29">
        <v>46027</v>
      </c>
      <c r="B1467" s="30">
        <f t="shared" si="199"/>
        <v>1</v>
      </c>
      <c r="C1467" s="30">
        <f t="shared" si="202"/>
        <v>5</v>
      </c>
      <c r="D1467" s="26">
        <f>MATCH(WEEKDAY(A1467),そのた定義!A:A,0)</f>
        <v>3</v>
      </c>
      <c r="E1467" s="26" t="str">
        <f t="shared" ca="1" si="203"/>
        <v>月</v>
      </c>
      <c r="F1467" s="26">
        <f t="shared" si="204"/>
        <v>0</v>
      </c>
      <c r="G1467" s="26">
        <f>IF(ISNA(MATCH(A1467,祝日定義!E:E,0)),0,1)</f>
        <v>0</v>
      </c>
      <c r="H1467" s="26">
        <f>IF(ISNA(MATCH(B1467&amp;"/"&amp;C1467,そのた定義!E:E,0)), 0, 1)</f>
        <v>0</v>
      </c>
      <c r="I1467" s="26" t="b">
        <f t="shared" si="205"/>
        <v>0</v>
      </c>
      <c r="J1467" s="26">
        <v>6</v>
      </c>
      <c r="K1467" s="26" t="b">
        <f t="shared" si="200"/>
        <v>0</v>
      </c>
      <c r="L1467" s="26" t="b">
        <f t="shared" si="201"/>
        <v>0</v>
      </c>
      <c r="M1467" t="b">
        <f t="shared" si="206"/>
        <v>1</v>
      </c>
      <c r="N1467" t="b">
        <f t="shared" si="207"/>
        <v>0</v>
      </c>
    </row>
    <row r="1468" spans="1:14">
      <c r="A1468" s="29">
        <v>46028</v>
      </c>
      <c r="B1468" s="30">
        <f t="shared" si="199"/>
        <v>1</v>
      </c>
      <c r="C1468" s="30">
        <f t="shared" si="202"/>
        <v>6</v>
      </c>
      <c r="D1468" s="26">
        <f>MATCH(WEEKDAY(A1468),そのた定義!A:A,0)</f>
        <v>4</v>
      </c>
      <c r="E1468" s="26" t="str">
        <f t="shared" ca="1" si="203"/>
        <v>火</v>
      </c>
      <c r="F1468" s="26">
        <f t="shared" si="204"/>
        <v>0</v>
      </c>
      <c r="G1468" s="26">
        <f>IF(ISNA(MATCH(A1468,祝日定義!E:E,0)),0,1)</f>
        <v>0</v>
      </c>
      <c r="H1468" s="26">
        <f>IF(ISNA(MATCH(B1468&amp;"/"&amp;C1468,そのた定義!E:E,0)), 0, 1)</f>
        <v>0</v>
      </c>
      <c r="I1468" s="26" t="b">
        <f t="shared" si="205"/>
        <v>0</v>
      </c>
      <c r="J1468" s="26">
        <v>0</v>
      </c>
      <c r="K1468" s="26" t="b">
        <f t="shared" si="200"/>
        <v>0</v>
      </c>
      <c r="L1468" s="26" t="b">
        <f t="shared" si="201"/>
        <v>0</v>
      </c>
      <c r="M1468" t="b">
        <f t="shared" si="206"/>
        <v>0</v>
      </c>
      <c r="N1468" t="b">
        <f t="shared" si="207"/>
        <v>0</v>
      </c>
    </row>
    <row r="1469" spans="1:14">
      <c r="A1469" s="29">
        <v>46029</v>
      </c>
      <c r="B1469" s="30">
        <f t="shared" si="199"/>
        <v>1</v>
      </c>
      <c r="C1469" s="30">
        <f t="shared" si="202"/>
        <v>7</v>
      </c>
      <c r="D1469" s="26">
        <f>MATCH(WEEKDAY(A1469),そのた定義!A:A,0)</f>
        <v>5</v>
      </c>
      <c r="E1469" s="26" t="str">
        <f t="shared" ca="1" si="203"/>
        <v>水</v>
      </c>
      <c r="F1469" s="26">
        <f t="shared" si="204"/>
        <v>0</v>
      </c>
      <c r="G1469" s="26">
        <f>IF(ISNA(MATCH(A1469,祝日定義!E:E,0)),0,1)</f>
        <v>0</v>
      </c>
      <c r="H1469" s="26">
        <f>IF(ISNA(MATCH(B1469&amp;"/"&amp;C1469,そのた定義!E:E,0)), 0, 1)</f>
        <v>0</v>
      </c>
      <c r="I1469" s="26" t="b">
        <f t="shared" si="205"/>
        <v>0</v>
      </c>
      <c r="J1469" s="26">
        <v>0</v>
      </c>
      <c r="K1469" s="26" t="b">
        <f t="shared" si="200"/>
        <v>0</v>
      </c>
      <c r="L1469" s="26" t="b">
        <f t="shared" si="201"/>
        <v>0</v>
      </c>
      <c r="M1469" t="b">
        <f t="shared" si="206"/>
        <v>0</v>
      </c>
      <c r="N1469" t="b">
        <f t="shared" si="207"/>
        <v>0</v>
      </c>
    </row>
    <row r="1470" spans="1:14">
      <c r="A1470" s="29">
        <v>46030</v>
      </c>
      <c r="B1470" s="30">
        <f t="shared" si="199"/>
        <v>1</v>
      </c>
      <c r="C1470" s="30">
        <f t="shared" si="202"/>
        <v>8</v>
      </c>
      <c r="D1470" s="26">
        <f>MATCH(WEEKDAY(A1470),そのた定義!A:A,0)</f>
        <v>6</v>
      </c>
      <c r="E1470" s="26" t="str">
        <f t="shared" ca="1" si="203"/>
        <v>木</v>
      </c>
      <c r="F1470" s="26">
        <f t="shared" si="204"/>
        <v>0</v>
      </c>
      <c r="G1470" s="26">
        <f>IF(ISNA(MATCH(A1470,祝日定義!E:E,0)),0,1)</f>
        <v>0</v>
      </c>
      <c r="H1470" s="26">
        <f>IF(ISNA(MATCH(B1470&amp;"/"&amp;C1470,そのた定義!E:E,0)), 0, 1)</f>
        <v>0</v>
      </c>
      <c r="I1470" s="26" t="b">
        <f t="shared" si="205"/>
        <v>0</v>
      </c>
      <c r="J1470" s="26">
        <v>0</v>
      </c>
      <c r="K1470" s="26" t="b">
        <f t="shared" si="200"/>
        <v>0</v>
      </c>
      <c r="L1470" s="26" t="b">
        <f t="shared" si="201"/>
        <v>0</v>
      </c>
      <c r="M1470" t="b">
        <f t="shared" si="206"/>
        <v>0</v>
      </c>
      <c r="N1470" t="b">
        <f t="shared" si="207"/>
        <v>0</v>
      </c>
    </row>
    <row r="1471" spans="1:14">
      <c r="A1471" s="29">
        <v>46031</v>
      </c>
      <c r="B1471" s="30">
        <f t="shared" si="199"/>
        <v>1</v>
      </c>
      <c r="C1471" s="30">
        <f t="shared" si="202"/>
        <v>9</v>
      </c>
      <c r="D1471" s="26">
        <f>MATCH(WEEKDAY(A1471),そのた定義!A:A,0)</f>
        <v>7</v>
      </c>
      <c r="E1471" s="26" t="str">
        <f t="shared" ca="1" si="203"/>
        <v>金</v>
      </c>
      <c r="F1471" s="26">
        <f t="shared" si="204"/>
        <v>0</v>
      </c>
      <c r="G1471" s="26">
        <f>IF(ISNA(MATCH(A1471,祝日定義!E:E,0)),0,1)</f>
        <v>0</v>
      </c>
      <c r="H1471" s="26">
        <f>IF(ISNA(MATCH(B1471&amp;"/"&amp;C1471,そのた定義!E:E,0)), 0, 1)</f>
        <v>0</v>
      </c>
      <c r="I1471" s="26" t="b">
        <f t="shared" si="205"/>
        <v>0</v>
      </c>
      <c r="J1471" s="26">
        <v>0</v>
      </c>
      <c r="K1471" s="26" t="b">
        <f t="shared" si="200"/>
        <v>0</v>
      </c>
      <c r="L1471" s="26" t="b">
        <f t="shared" si="201"/>
        <v>0</v>
      </c>
      <c r="M1471" t="b">
        <f t="shared" si="206"/>
        <v>0</v>
      </c>
      <c r="N1471" t="b">
        <f t="shared" si="207"/>
        <v>0</v>
      </c>
    </row>
    <row r="1472" spans="1:14">
      <c r="A1472" s="29">
        <v>46032</v>
      </c>
      <c r="B1472" s="30">
        <f t="shared" si="199"/>
        <v>1</v>
      </c>
      <c r="C1472" s="30">
        <f t="shared" si="202"/>
        <v>10</v>
      </c>
      <c r="D1472" s="26">
        <f>MATCH(WEEKDAY(A1472),そのた定義!A:A,0)</f>
        <v>8</v>
      </c>
      <c r="E1472" s="33" t="str">
        <f t="shared" ca="1" si="203"/>
        <v>土</v>
      </c>
      <c r="F1472" s="26">
        <f t="shared" si="204"/>
        <v>1</v>
      </c>
      <c r="G1472" s="26">
        <f>IF(ISNA(MATCH(A1472,祝日定義!E:E,0)),0,1)</f>
        <v>0</v>
      </c>
      <c r="H1472" s="26">
        <f>IF(ISNA(MATCH(B1472&amp;"/"&amp;C1472,そのた定義!E:E,0)), 0, 1)</f>
        <v>0</v>
      </c>
      <c r="I1472" s="23" t="b">
        <f t="shared" si="205"/>
        <v>1</v>
      </c>
      <c r="J1472" s="26">
        <v>0</v>
      </c>
      <c r="K1472" s="26" t="b">
        <f t="shared" si="200"/>
        <v>0</v>
      </c>
      <c r="L1472" s="26" t="b">
        <f t="shared" si="201"/>
        <v>0</v>
      </c>
      <c r="M1472" t="b">
        <f t="shared" si="206"/>
        <v>0</v>
      </c>
      <c r="N1472" t="b">
        <f t="shared" si="207"/>
        <v>0</v>
      </c>
    </row>
    <row r="1473" spans="1:14">
      <c r="A1473" s="29">
        <v>46033</v>
      </c>
      <c r="B1473" s="30">
        <f t="shared" si="199"/>
        <v>1</v>
      </c>
      <c r="C1473" s="30">
        <f t="shared" si="202"/>
        <v>11</v>
      </c>
      <c r="D1473" s="26">
        <f>MATCH(WEEKDAY(A1473),そのた定義!A:A,0)</f>
        <v>2</v>
      </c>
      <c r="E1473" s="32" t="str">
        <f t="shared" ca="1" si="203"/>
        <v>日</v>
      </c>
      <c r="F1473" s="26">
        <f t="shared" si="204"/>
        <v>1</v>
      </c>
      <c r="G1473" s="26">
        <f>IF(ISNA(MATCH(A1473,祝日定義!E:E,0)),0,1)</f>
        <v>0</v>
      </c>
      <c r="H1473" s="26">
        <f>IF(ISNA(MATCH(B1473&amp;"/"&amp;C1473,そのた定義!E:E,0)), 0, 1)</f>
        <v>0</v>
      </c>
      <c r="I1473" s="23" t="b">
        <f t="shared" si="205"/>
        <v>1</v>
      </c>
      <c r="J1473" s="26">
        <v>0</v>
      </c>
      <c r="K1473" s="26" t="b">
        <f t="shared" si="200"/>
        <v>0</v>
      </c>
      <c r="L1473" s="26" t="b">
        <f t="shared" si="201"/>
        <v>0</v>
      </c>
      <c r="M1473" t="b">
        <f t="shared" si="206"/>
        <v>0</v>
      </c>
      <c r="N1473" t="b">
        <f t="shared" si="207"/>
        <v>0</v>
      </c>
    </row>
    <row r="1474" spans="1:14">
      <c r="A1474" s="29">
        <v>46034</v>
      </c>
      <c r="B1474" s="30">
        <f t="shared" ref="B1474:B1537" si="208">MONTH(A1474)</f>
        <v>1</v>
      </c>
      <c r="C1474" s="30">
        <f t="shared" si="202"/>
        <v>12</v>
      </c>
      <c r="D1474" s="26">
        <f>MATCH(WEEKDAY(A1474),そのた定義!A:A,0)</f>
        <v>3</v>
      </c>
      <c r="E1474" s="31" t="str">
        <f t="shared" ca="1" si="203"/>
        <v>月</v>
      </c>
      <c r="F1474" s="26">
        <f t="shared" si="204"/>
        <v>0</v>
      </c>
      <c r="G1474" s="26">
        <f>IF(ISNA(MATCH(A1474,祝日定義!E:E,0)),0,1)</f>
        <v>1</v>
      </c>
      <c r="H1474" s="26">
        <f>IF(ISNA(MATCH(B1474&amp;"/"&amp;C1474,そのた定義!E:E,0)), 0, 1)</f>
        <v>0</v>
      </c>
      <c r="I1474" s="23" t="b">
        <f t="shared" si="205"/>
        <v>1</v>
      </c>
      <c r="J1474" s="26">
        <v>0</v>
      </c>
      <c r="K1474" s="26" t="b">
        <f t="shared" ref="K1474:K1537" si="209">AND(C1474&gt;25,DAY(A1474-J1474)&lt;=25)</f>
        <v>0</v>
      </c>
      <c r="L1474" s="26" t="b">
        <f t="shared" ref="L1474:L1537" si="210">C1474=25</f>
        <v>0</v>
      </c>
      <c r="M1474" t="b">
        <f t="shared" si="206"/>
        <v>0</v>
      </c>
      <c r="N1474" t="b">
        <f t="shared" si="207"/>
        <v>0</v>
      </c>
    </row>
    <row r="1475" spans="1:14">
      <c r="A1475" s="29">
        <v>46035</v>
      </c>
      <c r="B1475" s="30">
        <f t="shared" si="208"/>
        <v>1</v>
      </c>
      <c r="C1475" s="30">
        <f t="shared" ref="C1475:C1538" si="211">DAY(A1475)</f>
        <v>13</v>
      </c>
      <c r="D1475" s="26">
        <f>MATCH(WEEKDAY(A1475),そのた定義!A:A,0)</f>
        <v>4</v>
      </c>
      <c r="E1475" s="26" t="str">
        <f t="shared" ref="E1475:E1538" ca="1" si="212">INDIRECT("そのた定義!"&amp;"B"&amp;D1475)</f>
        <v>火</v>
      </c>
      <c r="F1475" s="26">
        <f t="shared" ref="F1475:F1538" si="213">IF(OR(D1475=8,D1475=2),1,0)</f>
        <v>0</v>
      </c>
      <c r="G1475" s="26">
        <f>IF(ISNA(MATCH(A1475,祝日定義!E:E,0)),0,1)</f>
        <v>0</v>
      </c>
      <c r="H1475" s="26">
        <f>IF(ISNA(MATCH(B1475&amp;"/"&amp;C1475,そのた定義!E:E,0)), 0, 1)</f>
        <v>0</v>
      </c>
      <c r="I1475" s="26" t="b">
        <f t="shared" ref="I1475:I1538" si="214">SUM(F1475:H1475)&gt;0</f>
        <v>0</v>
      </c>
      <c r="J1475" s="26">
        <v>3</v>
      </c>
      <c r="K1475" s="26" t="b">
        <f t="shared" si="209"/>
        <v>0</v>
      </c>
      <c r="L1475" s="26" t="b">
        <f t="shared" si="210"/>
        <v>0</v>
      </c>
      <c r="M1475" t="b">
        <f t="shared" ref="M1475:M1538" si="215">B1475&lt;&gt;MONTH(A1475-J1475)</f>
        <v>0</v>
      </c>
      <c r="N1475" t="b">
        <f t="shared" ref="N1475:N1538" si="216">B1475&lt;&gt;MONTH(A1475+1)</f>
        <v>0</v>
      </c>
    </row>
    <row r="1476" spans="1:14">
      <c r="A1476" s="29">
        <v>46036</v>
      </c>
      <c r="B1476" s="30">
        <f t="shared" si="208"/>
        <v>1</v>
      </c>
      <c r="C1476" s="30">
        <f t="shared" si="211"/>
        <v>14</v>
      </c>
      <c r="D1476" s="26">
        <f>MATCH(WEEKDAY(A1476),そのた定義!A:A,0)</f>
        <v>5</v>
      </c>
      <c r="E1476" s="26" t="str">
        <f t="shared" ca="1" si="212"/>
        <v>水</v>
      </c>
      <c r="F1476" s="26">
        <f t="shared" si="213"/>
        <v>0</v>
      </c>
      <c r="G1476" s="26">
        <f>IF(ISNA(MATCH(A1476,祝日定義!E:E,0)),0,1)</f>
        <v>0</v>
      </c>
      <c r="H1476" s="26">
        <f>IF(ISNA(MATCH(B1476&amp;"/"&amp;C1476,そのた定義!E:E,0)), 0, 1)</f>
        <v>0</v>
      </c>
      <c r="I1476" s="26" t="b">
        <f t="shared" si="214"/>
        <v>0</v>
      </c>
      <c r="J1476" s="26">
        <v>0</v>
      </c>
      <c r="K1476" s="26" t="b">
        <f t="shared" si="209"/>
        <v>0</v>
      </c>
      <c r="L1476" s="26" t="b">
        <f t="shared" si="210"/>
        <v>0</v>
      </c>
      <c r="M1476" t="b">
        <f t="shared" si="215"/>
        <v>0</v>
      </c>
      <c r="N1476" t="b">
        <f t="shared" si="216"/>
        <v>0</v>
      </c>
    </row>
    <row r="1477" spans="1:14">
      <c r="A1477" s="29">
        <v>46037</v>
      </c>
      <c r="B1477" s="30">
        <f t="shared" si="208"/>
        <v>1</v>
      </c>
      <c r="C1477" s="30">
        <f t="shared" si="211"/>
        <v>15</v>
      </c>
      <c r="D1477" s="26">
        <f>MATCH(WEEKDAY(A1477),そのた定義!A:A,0)</f>
        <v>6</v>
      </c>
      <c r="E1477" s="26" t="str">
        <f t="shared" ca="1" si="212"/>
        <v>木</v>
      </c>
      <c r="F1477" s="26">
        <f t="shared" si="213"/>
        <v>0</v>
      </c>
      <c r="G1477" s="26">
        <f>IF(ISNA(MATCH(A1477,祝日定義!E:E,0)),0,1)</f>
        <v>0</v>
      </c>
      <c r="H1477" s="26">
        <f>IF(ISNA(MATCH(B1477&amp;"/"&amp;C1477,そのた定義!E:E,0)), 0, 1)</f>
        <v>0</v>
      </c>
      <c r="I1477" s="26" t="b">
        <f t="shared" si="214"/>
        <v>0</v>
      </c>
      <c r="J1477" s="26">
        <v>0</v>
      </c>
      <c r="K1477" s="26" t="b">
        <f t="shared" si="209"/>
        <v>0</v>
      </c>
      <c r="L1477" s="26" t="b">
        <f t="shared" si="210"/>
        <v>0</v>
      </c>
      <c r="M1477" t="b">
        <f t="shared" si="215"/>
        <v>0</v>
      </c>
      <c r="N1477" t="b">
        <f t="shared" si="216"/>
        <v>0</v>
      </c>
    </row>
    <row r="1478" spans="1:14">
      <c r="A1478" s="29">
        <v>46038</v>
      </c>
      <c r="B1478" s="30">
        <f t="shared" si="208"/>
        <v>1</v>
      </c>
      <c r="C1478" s="30">
        <f t="shared" si="211"/>
        <v>16</v>
      </c>
      <c r="D1478" s="26">
        <f>MATCH(WEEKDAY(A1478),そのた定義!A:A,0)</f>
        <v>7</v>
      </c>
      <c r="E1478" s="26" t="str">
        <f t="shared" ca="1" si="212"/>
        <v>金</v>
      </c>
      <c r="F1478" s="26">
        <f t="shared" si="213"/>
        <v>0</v>
      </c>
      <c r="G1478" s="26">
        <f>IF(ISNA(MATCH(A1478,祝日定義!E:E,0)),0,1)</f>
        <v>0</v>
      </c>
      <c r="H1478" s="26">
        <f>IF(ISNA(MATCH(B1478&amp;"/"&amp;C1478,そのた定義!E:E,0)), 0, 1)</f>
        <v>0</v>
      </c>
      <c r="I1478" s="26" t="b">
        <f t="shared" si="214"/>
        <v>0</v>
      </c>
      <c r="J1478" s="26">
        <v>0</v>
      </c>
      <c r="K1478" s="26" t="b">
        <f t="shared" si="209"/>
        <v>0</v>
      </c>
      <c r="L1478" s="26" t="b">
        <f t="shared" si="210"/>
        <v>0</v>
      </c>
      <c r="M1478" t="b">
        <f t="shared" si="215"/>
        <v>0</v>
      </c>
      <c r="N1478" t="b">
        <f t="shared" si="216"/>
        <v>0</v>
      </c>
    </row>
    <row r="1479" spans="1:14">
      <c r="A1479" s="29">
        <v>46039</v>
      </c>
      <c r="B1479" s="30">
        <f t="shared" si="208"/>
        <v>1</v>
      </c>
      <c r="C1479" s="30">
        <f t="shared" si="211"/>
        <v>17</v>
      </c>
      <c r="D1479" s="26">
        <f>MATCH(WEEKDAY(A1479),そのた定義!A:A,0)</f>
        <v>8</v>
      </c>
      <c r="E1479" s="33" t="str">
        <f t="shared" ca="1" si="212"/>
        <v>土</v>
      </c>
      <c r="F1479" s="26">
        <f t="shared" si="213"/>
        <v>1</v>
      </c>
      <c r="G1479" s="26">
        <f>IF(ISNA(MATCH(A1479,祝日定義!E:E,0)),0,1)</f>
        <v>0</v>
      </c>
      <c r="H1479" s="26">
        <f>IF(ISNA(MATCH(B1479&amp;"/"&amp;C1479,そのた定義!E:E,0)), 0, 1)</f>
        <v>0</v>
      </c>
      <c r="I1479" s="23" t="b">
        <f t="shared" si="214"/>
        <v>1</v>
      </c>
      <c r="J1479" s="26">
        <v>0</v>
      </c>
      <c r="K1479" s="26" t="b">
        <f t="shared" si="209"/>
        <v>0</v>
      </c>
      <c r="L1479" s="26" t="b">
        <f t="shared" si="210"/>
        <v>0</v>
      </c>
      <c r="M1479" t="b">
        <f t="shared" si="215"/>
        <v>0</v>
      </c>
      <c r="N1479" t="b">
        <f t="shared" si="216"/>
        <v>0</v>
      </c>
    </row>
    <row r="1480" spans="1:14">
      <c r="A1480" s="29">
        <v>46040</v>
      </c>
      <c r="B1480" s="30">
        <f t="shared" si="208"/>
        <v>1</v>
      </c>
      <c r="C1480" s="30">
        <f t="shared" si="211"/>
        <v>18</v>
      </c>
      <c r="D1480" s="26">
        <f>MATCH(WEEKDAY(A1480),そのた定義!A:A,0)</f>
        <v>2</v>
      </c>
      <c r="E1480" s="32" t="str">
        <f t="shared" ca="1" si="212"/>
        <v>日</v>
      </c>
      <c r="F1480" s="26">
        <f t="shared" si="213"/>
        <v>1</v>
      </c>
      <c r="G1480" s="26">
        <f>IF(ISNA(MATCH(A1480,祝日定義!E:E,0)),0,1)</f>
        <v>0</v>
      </c>
      <c r="H1480" s="26">
        <f>IF(ISNA(MATCH(B1480&amp;"/"&amp;C1480,そのた定義!E:E,0)), 0, 1)</f>
        <v>0</v>
      </c>
      <c r="I1480" s="23" t="b">
        <f t="shared" si="214"/>
        <v>1</v>
      </c>
      <c r="J1480" s="26">
        <v>0</v>
      </c>
      <c r="K1480" s="26" t="b">
        <f t="shared" si="209"/>
        <v>0</v>
      </c>
      <c r="L1480" s="26" t="b">
        <f t="shared" si="210"/>
        <v>0</v>
      </c>
      <c r="M1480" t="b">
        <f t="shared" si="215"/>
        <v>0</v>
      </c>
      <c r="N1480" t="b">
        <f t="shared" si="216"/>
        <v>0</v>
      </c>
    </row>
    <row r="1481" spans="1:14">
      <c r="A1481" s="29">
        <v>46041</v>
      </c>
      <c r="B1481" s="30">
        <f t="shared" si="208"/>
        <v>1</v>
      </c>
      <c r="C1481" s="30">
        <f t="shared" si="211"/>
        <v>19</v>
      </c>
      <c r="D1481" s="26">
        <f>MATCH(WEEKDAY(A1481),そのた定義!A:A,0)</f>
        <v>3</v>
      </c>
      <c r="E1481" s="26" t="str">
        <f t="shared" ca="1" si="212"/>
        <v>月</v>
      </c>
      <c r="F1481" s="26">
        <f t="shared" si="213"/>
        <v>0</v>
      </c>
      <c r="G1481" s="26">
        <f>IF(ISNA(MATCH(A1481,祝日定義!E:E,0)),0,1)</f>
        <v>0</v>
      </c>
      <c r="H1481" s="26">
        <f>IF(ISNA(MATCH(B1481&amp;"/"&amp;C1481,そのた定義!E:E,0)), 0, 1)</f>
        <v>0</v>
      </c>
      <c r="I1481" s="26" t="b">
        <f t="shared" si="214"/>
        <v>0</v>
      </c>
      <c r="J1481" s="26">
        <v>2</v>
      </c>
      <c r="K1481" s="26" t="b">
        <f t="shared" si="209"/>
        <v>0</v>
      </c>
      <c r="L1481" s="26" t="b">
        <f t="shared" si="210"/>
        <v>0</v>
      </c>
      <c r="M1481" t="b">
        <f t="shared" si="215"/>
        <v>0</v>
      </c>
      <c r="N1481" t="b">
        <f t="shared" si="216"/>
        <v>0</v>
      </c>
    </row>
    <row r="1482" spans="1:14">
      <c r="A1482" s="29">
        <v>46042</v>
      </c>
      <c r="B1482" s="30">
        <f t="shared" si="208"/>
        <v>1</v>
      </c>
      <c r="C1482" s="30">
        <f t="shared" si="211"/>
        <v>20</v>
      </c>
      <c r="D1482" s="26">
        <f>MATCH(WEEKDAY(A1482),そのた定義!A:A,0)</f>
        <v>4</v>
      </c>
      <c r="E1482" s="26" t="str">
        <f t="shared" ca="1" si="212"/>
        <v>火</v>
      </c>
      <c r="F1482" s="26">
        <f t="shared" si="213"/>
        <v>0</v>
      </c>
      <c r="G1482" s="26">
        <f>IF(ISNA(MATCH(A1482,祝日定義!E:E,0)),0,1)</f>
        <v>0</v>
      </c>
      <c r="H1482" s="26">
        <f>IF(ISNA(MATCH(B1482&amp;"/"&amp;C1482,そのた定義!E:E,0)), 0, 1)</f>
        <v>0</v>
      </c>
      <c r="I1482" s="26" t="b">
        <f t="shared" si="214"/>
        <v>0</v>
      </c>
      <c r="J1482" s="26">
        <v>0</v>
      </c>
      <c r="K1482" s="26" t="b">
        <f t="shared" si="209"/>
        <v>0</v>
      </c>
      <c r="L1482" s="26" t="b">
        <f t="shared" si="210"/>
        <v>0</v>
      </c>
      <c r="M1482" t="b">
        <f t="shared" si="215"/>
        <v>0</v>
      </c>
      <c r="N1482" t="b">
        <f t="shared" si="216"/>
        <v>0</v>
      </c>
    </row>
    <row r="1483" spans="1:14">
      <c r="A1483" s="29">
        <v>46043</v>
      </c>
      <c r="B1483" s="30">
        <f t="shared" si="208"/>
        <v>1</v>
      </c>
      <c r="C1483" s="30">
        <f t="shared" si="211"/>
        <v>21</v>
      </c>
      <c r="D1483" s="26">
        <f>MATCH(WEEKDAY(A1483),そのた定義!A:A,0)</f>
        <v>5</v>
      </c>
      <c r="E1483" s="26" t="str">
        <f t="shared" ca="1" si="212"/>
        <v>水</v>
      </c>
      <c r="F1483" s="26">
        <f t="shared" si="213"/>
        <v>0</v>
      </c>
      <c r="G1483" s="26">
        <f>IF(ISNA(MATCH(A1483,祝日定義!E:E,0)),0,1)</f>
        <v>0</v>
      </c>
      <c r="H1483" s="26">
        <f>IF(ISNA(MATCH(B1483&amp;"/"&amp;C1483,そのた定義!E:E,0)), 0, 1)</f>
        <v>0</v>
      </c>
      <c r="I1483" s="26" t="b">
        <f t="shared" si="214"/>
        <v>0</v>
      </c>
      <c r="J1483" s="26">
        <v>0</v>
      </c>
      <c r="K1483" s="26" t="b">
        <f t="shared" si="209"/>
        <v>0</v>
      </c>
      <c r="L1483" s="26" t="b">
        <f t="shared" si="210"/>
        <v>0</v>
      </c>
      <c r="M1483" t="b">
        <f t="shared" si="215"/>
        <v>0</v>
      </c>
      <c r="N1483" t="b">
        <f t="shared" si="216"/>
        <v>0</v>
      </c>
    </row>
    <row r="1484" spans="1:14">
      <c r="A1484" s="29">
        <v>46044</v>
      </c>
      <c r="B1484" s="30">
        <f t="shared" si="208"/>
        <v>1</v>
      </c>
      <c r="C1484" s="30">
        <f t="shared" si="211"/>
        <v>22</v>
      </c>
      <c r="D1484" s="26">
        <f>MATCH(WEEKDAY(A1484),そのた定義!A:A,0)</f>
        <v>6</v>
      </c>
      <c r="E1484" s="26" t="str">
        <f t="shared" ca="1" si="212"/>
        <v>木</v>
      </c>
      <c r="F1484" s="26">
        <f t="shared" si="213"/>
        <v>0</v>
      </c>
      <c r="G1484" s="26">
        <f>IF(ISNA(MATCH(A1484,祝日定義!E:E,0)),0,1)</f>
        <v>0</v>
      </c>
      <c r="H1484" s="26">
        <f>IF(ISNA(MATCH(B1484&amp;"/"&amp;C1484,そのた定義!E:E,0)), 0, 1)</f>
        <v>0</v>
      </c>
      <c r="I1484" s="26" t="b">
        <f t="shared" si="214"/>
        <v>0</v>
      </c>
      <c r="J1484" s="26">
        <v>0</v>
      </c>
      <c r="K1484" s="26" t="b">
        <f t="shared" si="209"/>
        <v>0</v>
      </c>
      <c r="L1484" s="26" t="b">
        <f t="shared" si="210"/>
        <v>0</v>
      </c>
      <c r="M1484" t="b">
        <f t="shared" si="215"/>
        <v>0</v>
      </c>
      <c r="N1484" t="b">
        <f t="shared" si="216"/>
        <v>0</v>
      </c>
    </row>
    <row r="1485" spans="1:14">
      <c r="A1485" s="29">
        <v>46045</v>
      </c>
      <c r="B1485" s="30">
        <f t="shared" si="208"/>
        <v>1</v>
      </c>
      <c r="C1485" s="30">
        <f t="shared" si="211"/>
        <v>23</v>
      </c>
      <c r="D1485" s="26">
        <f>MATCH(WEEKDAY(A1485),そのた定義!A:A,0)</f>
        <v>7</v>
      </c>
      <c r="E1485" s="26" t="str">
        <f t="shared" ca="1" si="212"/>
        <v>金</v>
      </c>
      <c r="F1485" s="26">
        <f t="shared" si="213"/>
        <v>0</v>
      </c>
      <c r="G1485" s="26">
        <f>IF(ISNA(MATCH(A1485,祝日定義!E:E,0)),0,1)</f>
        <v>0</v>
      </c>
      <c r="H1485" s="26">
        <f>IF(ISNA(MATCH(B1485&amp;"/"&amp;C1485,そのた定義!E:E,0)), 0, 1)</f>
        <v>0</v>
      </c>
      <c r="I1485" s="26" t="b">
        <f t="shared" si="214"/>
        <v>0</v>
      </c>
      <c r="J1485" s="26">
        <v>0</v>
      </c>
      <c r="K1485" s="26" t="b">
        <f t="shared" si="209"/>
        <v>0</v>
      </c>
      <c r="L1485" s="26" t="b">
        <f t="shared" si="210"/>
        <v>0</v>
      </c>
      <c r="M1485" t="b">
        <f t="shared" si="215"/>
        <v>0</v>
      </c>
      <c r="N1485" t="b">
        <f t="shared" si="216"/>
        <v>0</v>
      </c>
    </row>
    <row r="1486" spans="1:14">
      <c r="A1486" s="29">
        <v>46046</v>
      </c>
      <c r="B1486" s="30">
        <f t="shared" si="208"/>
        <v>1</v>
      </c>
      <c r="C1486" s="30">
        <f t="shared" si="211"/>
        <v>24</v>
      </c>
      <c r="D1486" s="26">
        <f>MATCH(WEEKDAY(A1486),そのた定義!A:A,0)</f>
        <v>8</v>
      </c>
      <c r="E1486" s="33" t="str">
        <f t="shared" ca="1" si="212"/>
        <v>土</v>
      </c>
      <c r="F1486" s="26">
        <f t="shared" si="213"/>
        <v>1</v>
      </c>
      <c r="G1486" s="26">
        <f>IF(ISNA(MATCH(A1486,祝日定義!E:E,0)),0,1)</f>
        <v>0</v>
      </c>
      <c r="H1486" s="26">
        <f>IF(ISNA(MATCH(B1486&amp;"/"&amp;C1486,そのた定義!E:E,0)), 0, 1)</f>
        <v>0</v>
      </c>
      <c r="I1486" s="23" t="b">
        <f t="shared" si="214"/>
        <v>1</v>
      </c>
      <c r="J1486" s="26">
        <v>0</v>
      </c>
      <c r="K1486" s="26" t="b">
        <f t="shared" si="209"/>
        <v>0</v>
      </c>
      <c r="L1486" s="26" t="b">
        <f t="shared" si="210"/>
        <v>0</v>
      </c>
      <c r="M1486" t="b">
        <f t="shared" si="215"/>
        <v>0</v>
      </c>
      <c r="N1486" t="b">
        <f t="shared" si="216"/>
        <v>0</v>
      </c>
    </row>
    <row r="1487" spans="1:14">
      <c r="A1487" s="29">
        <v>46047</v>
      </c>
      <c r="B1487" s="30">
        <f t="shared" si="208"/>
        <v>1</v>
      </c>
      <c r="C1487" s="30">
        <f t="shared" si="211"/>
        <v>25</v>
      </c>
      <c r="D1487" s="26">
        <f>MATCH(WEEKDAY(A1487),そのた定義!A:A,0)</f>
        <v>2</v>
      </c>
      <c r="E1487" s="32" t="str">
        <f t="shared" ca="1" si="212"/>
        <v>日</v>
      </c>
      <c r="F1487" s="26">
        <f t="shared" si="213"/>
        <v>1</v>
      </c>
      <c r="G1487" s="26">
        <f>IF(ISNA(MATCH(A1487,祝日定義!E:E,0)),0,1)</f>
        <v>0</v>
      </c>
      <c r="H1487" s="26">
        <f>IF(ISNA(MATCH(B1487&amp;"/"&amp;C1487,そのた定義!E:E,0)), 0, 1)</f>
        <v>0</v>
      </c>
      <c r="I1487" s="23" t="b">
        <f t="shared" si="214"/>
        <v>1</v>
      </c>
      <c r="J1487" s="26">
        <v>0</v>
      </c>
      <c r="K1487" s="26" t="b">
        <f t="shared" si="209"/>
        <v>0</v>
      </c>
      <c r="L1487" s="23" t="b">
        <f t="shared" si="210"/>
        <v>1</v>
      </c>
      <c r="M1487" t="b">
        <f t="shared" si="215"/>
        <v>0</v>
      </c>
      <c r="N1487" t="b">
        <f t="shared" si="216"/>
        <v>0</v>
      </c>
    </row>
    <row r="1488" spans="1:14">
      <c r="A1488" s="29">
        <v>46048</v>
      </c>
      <c r="B1488" s="30">
        <f t="shared" si="208"/>
        <v>1</v>
      </c>
      <c r="C1488" s="30">
        <f t="shared" si="211"/>
        <v>26</v>
      </c>
      <c r="D1488" s="26">
        <f>MATCH(WEEKDAY(A1488),そのた定義!A:A,0)</f>
        <v>3</v>
      </c>
      <c r="E1488" s="26" t="str">
        <f t="shared" ca="1" si="212"/>
        <v>月</v>
      </c>
      <c r="F1488" s="26">
        <f t="shared" si="213"/>
        <v>0</v>
      </c>
      <c r="G1488" s="26">
        <f>IF(ISNA(MATCH(A1488,祝日定義!E:E,0)),0,1)</f>
        <v>0</v>
      </c>
      <c r="H1488" s="26">
        <f>IF(ISNA(MATCH(B1488&amp;"/"&amp;C1488,そのた定義!E:E,0)), 0, 1)</f>
        <v>0</v>
      </c>
      <c r="I1488" s="26" t="b">
        <f t="shared" si="214"/>
        <v>0</v>
      </c>
      <c r="J1488" s="26">
        <v>2</v>
      </c>
      <c r="K1488" s="23" t="b">
        <f t="shared" si="209"/>
        <v>1</v>
      </c>
      <c r="L1488" s="26" t="b">
        <f t="shared" si="210"/>
        <v>0</v>
      </c>
      <c r="M1488" t="b">
        <f t="shared" si="215"/>
        <v>0</v>
      </c>
      <c r="N1488" t="b">
        <f t="shared" si="216"/>
        <v>0</v>
      </c>
    </row>
    <row r="1489" spans="1:14">
      <c r="A1489" s="29">
        <v>46049</v>
      </c>
      <c r="B1489" s="30">
        <f t="shared" si="208"/>
        <v>1</v>
      </c>
      <c r="C1489" s="30">
        <f t="shared" si="211"/>
        <v>27</v>
      </c>
      <c r="D1489" s="26">
        <f>MATCH(WEEKDAY(A1489),そのた定義!A:A,0)</f>
        <v>4</v>
      </c>
      <c r="E1489" s="26" t="str">
        <f t="shared" ca="1" si="212"/>
        <v>火</v>
      </c>
      <c r="F1489" s="26">
        <f t="shared" si="213"/>
        <v>0</v>
      </c>
      <c r="G1489" s="26">
        <f>IF(ISNA(MATCH(A1489,祝日定義!E:E,0)),0,1)</f>
        <v>0</v>
      </c>
      <c r="H1489" s="26">
        <f>IF(ISNA(MATCH(B1489&amp;"/"&amp;C1489,そのた定義!E:E,0)), 0, 1)</f>
        <v>0</v>
      </c>
      <c r="I1489" s="26" t="b">
        <f t="shared" si="214"/>
        <v>0</v>
      </c>
      <c r="J1489" s="26">
        <v>0</v>
      </c>
      <c r="K1489" s="26" t="b">
        <f t="shared" si="209"/>
        <v>0</v>
      </c>
      <c r="L1489" s="26" t="b">
        <f t="shared" si="210"/>
        <v>0</v>
      </c>
      <c r="M1489" t="b">
        <f t="shared" si="215"/>
        <v>0</v>
      </c>
      <c r="N1489" t="b">
        <f t="shared" si="216"/>
        <v>0</v>
      </c>
    </row>
    <row r="1490" spans="1:14">
      <c r="A1490" s="29">
        <v>46050</v>
      </c>
      <c r="B1490" s="30">
        <f t="shared" si="208"/>
        <v>1</v>
      </c>
      <c r="C1490" s="30">
        <f t="shared" si="211"/>
        <v>28</v>
      </c>
      <c r="D1490" s="26">
        <f>MATCH(WEEKDAY(A1490),そのた定義!A:A,0)</f>
        <v>5</v>
      </c>
      <c r="E1490" s="26" t="str">
        <f t="shared" ca="1" si="212"/>
        <v>水</v>
      </c>
      <c r="F1490" s="26">
        <f t="shared" si="213"/>
        <v>0</v>
      </c>
      <c r="G1490" s="26">
        <f>IF(ISNA(MATCH(A1490,祝日定義!E:E,0)),0,1)</f>
        <v>0</v>
      </c>
      <c r="H1490" s="26">
        <f>IF(ISNA(MATCH(B1490&amp;"/"&amp;C1490,そのた定義!E:E,0)), 0, 1)</f>
        <v>0</v>
      </c>
      <c r="I1490" s="26" t="b">
        <f t="shared" si="214"/>
        <v>0</v>
      </c>
      <c r="J1490" s="26">
        <v>0</v>
      </c>
      <c r="K1490" s="26" t="b">
        <f t="shared" si="209"/>
        <v>0</v>
      </c>
      <c r="L1490" s="26" t="b">
        <f t="shared" si="210"/>
        <v>0</v>
      </c>
      <c r="M1490" t="b">
        <f t="shared" si="215"/>
        <v>0</v>
      </c>
      <c r="N1490" t="b">
        <f t="shared" si="216"/>
        <v>0</v>
      </c>
    </row>
    <row r="1491" spans="1:14">
      <c r="A1491" s="29">
        <v>46051</v>
      </c>
      <c r="B1491" s="30">
        <f t="shared" si="208"/>
        <v>1</v>
      </c>
      <c r="C1491" s="30">
        <f t="shared" si="211"/>
        <v>29</v>
      </c>
      <c r="D1491" s="26">
        <f>MATCH(WEEKDAY(A1491),そのた定義!A:A,0)</f>
        <v>6</v>
      </c>
      <c r="E1491" s="26" t="str">
        <f t="shared" ca="1" si="212"/>
        <v>木</v>
      </c>
      <c r="F1491" s="26">
        <f t="shared" si="213"/>
        <v>0</v>
      </c>
      <c r="G1491" s="26">
        <f>IF(ISNA(MATCH(A1491,祝日定義!E:E,0)),0,1)</f>
        <v>0</v>
      </c>
      <c r="H1491" s="26">
        <f>IF(ISNA(MATCH(B1491&amp;"/"&amp;C1491,そのた定義!E:E,0)), 0, 1)</f>
        <v>0</v>
      </c>
      <c r="I1491" s="26" t="b">
        <f t="shared" si="214"/>
        <v>0</v>
      </c>
      <c r="J1491" s="26">
        <v>0</v>
      </c>
      <c r="K1491" s="26" t="b">
        <f t="shared" si="209"/>
        <v>0</v>
      </c>
      <c r="L1491" s="26" t="b">
        <f t="shared" si="210"/>
        <v>0</v>
      </c>
      <c r="M1491" t="b">
        <f t="shared" si="215"/>
        <v>0</v>
      </c>
      <c r="N1491" t="b">
        <f t="shared" si="216"/>
        <v>0</v>
      </c>
    </row>
    <row r="1492" spans="1:14">
      <c r="A1492" s="29">
        <v>46052</v>
      </c>
      <c r="B1492" s="30">
        <f t="shared" si="208"/>
        <v>1</v>
      </c>
      <c r="C1492" s="30">
        <f t="shared" si="211"/>
        <v>30</v>
      </c>
      <c r="D1492" s="26">
        <f>MATCH(WEEKDAY(A1492),そのた定義!A:A,0)</f>
        <v>7</v>
      </c>
      <c r="E1492" s="26" t="str">
        <f t="shared" ca="1" si="212"/>
        <v>金</v>
      </c>
      <c r="F1492" s="26">
        <f t="shared" si="213"/>
        <v>0</v>
      </c>
      <c r="G1492" s="26">
        <f>IF(ISNA(MATCH(A1492,祝日定義!E:E,0)),0,1)</f>
        <v>0</v>
      </c>
      <c r="H1492" s="26">
        <f>IF(ISNA(MATCH(B1492&amp;"/"&amp;C1492,そのた定義!E:E,0)), 0, 1)</f>
        <v>0</v>
      </c>
      <c r="I1492" s="26" t="b">
        <f t="shared" si="214"/>
        <v>0</v>
      </c>
      <c r="J1492" s="26">
        <v>0</v>
      </c>
      <c r="K1492" s="26" t="b">
        <f t="shared" si="209"/>
        <v>0</v>
      </c>
      <c r="L1492" s="26" t="b">
        <f t="shared" si="210"/>
        <v>0</v>
      </c>
      <c r="M1492" t="b">
        <f t="shared" si="215"/>
        <v>0</v>
      </c>
      <c r="N1492" t="b">
        <f t="shared" si="216"/>
        <v>0</v>
      </c>
    </row>
    <row r="1493" spans="1:14">
      <c r="A1493" s="29">
        <v>46053</v>
      </c>
      <c r="B1493" s="30">
        <f t="shared" si="208"/>
        <v>1</v>
      </c>
      <c r="C1493" s="30">
        <f t="shared" si="211"/>
        <v>31</v>
      </c>
      <c r="D1493" s="26">
        <f>MATCH(WEEKDAY(A1493),そのた定義!A:A,0)</f>
        <v>8</v>
      </c>
      <c r="E1493" s="33" t="str">
        <f t="shared" ca="1" si="212"/>
        <v>土</v>
      </c>
      <c r="F1493" s="26">
        <f t="shared" si="213"/>
        <v>1</v>
      </c>
      <c r="G1493" s="26">
        <f>IF(ISNA(MATCH(A1493,祝日定義!E:E,0)),0,1)</f>
        <v>0</v>
      </c>
      <c r="H1493" s="26">
        <f>IF(ISNA(MATCH(B1493&amp;"/"&amp;C1493,そのた定義!E:E,0)), 0, 1)</f>
        <v>0</v>
      </c>
      <c r="I1493" s="23" t="b">
        <f t="shared" si="214"/>
        <v>1</v>
      </c>
      <c r="J1493" s="26">
        <v>0</v>
      </c>
      <c r="K1493" s="26" t="b">
        <f t="shared" si="209"/>
        <v>0</v>
      </c>
      <c r="L1493" s="26" t="b">
        <f t="shared" si="210"/>
        <v>0</v>
      </c>
      <c r="M1493" t="b">
        <f t="shared" si="215"/>
        <v>0</v>
      </c>
      <c r="N1493" t="b">
        <f t="shared" si="216"/>
        <v>1</v>
      </c>
    </row>
    <row r="1494" spans="1:14">
      <c r="A1494" s="29">
        <v>46054</v>
      </c>
      <c r="B1494" s="30">
        <f t="shared" si="208"/>
        <v>2</v>
      </c>
      <c r="C1494" s="30">
        <f t="shared" si="211"/>
        <v>1</v>
      </c>
      <c r="D1494" s="26">
        <f>MATCH(WEEKDAY(A1494),そのた定義!A:A,0)</f>
        <v>2</v>
      </c>
      <c r="E1494" s="32" t="str">
        <f t="shared" ca="1" si="212"/>
        <v>日</v>
      </c>
      <c r="F1494" s="26">
        <f t="shared" si="213"/>
        <v>1</v>
      </c>
      <c r="G1494" s="26">
        <f>IF(ISNA(MATCH(A1494,祝日定義!E:E,0)),0,1)</f>
        <v>0</v>
      </c>
      <c r="H1494" s="26">
        <f>IF(ISNA(MATCH(B1494&amp;"/"&amp;C1494,そのた定義!E:E,0)), 0, 1)</f>
        <v>0</v>
      </c>
      <c r="I1494" s="23" t="b">
        <f t="shared" si="214"/>
        <v>1</v>
      </c>
      <c r="J1494" s="26">
        <v>0</v>
      </c>
      <c r="K1494" s="26" t="b">
        <f t="shared" si="209"/>
        <v>0</v>
      </c>
      <c r="L1494" s="26" t="b">
        <f t="shared" si="210"/>
        <v>0</v>
      </c>
      <c r="M1494" t="b">
        <f t="shared" si="215"/>
        <v>0</v>
      </c>
      <c r="N1494" t="b">
        <f t="shared" si="216"/>
        <v>0</v>
      </c>
    </row>
    <row r="1495" spans="1:14">
      <c r="A1495" s="29">
        <v>46055</v>
      </c>
      <c r="B1495" s="30">
        <f t="shared" si="208"/>
        <v>2</v>
      </c>
      <c r="C1495" s="30">
        <f t="shared" si="211"/>
        <v>2</v>
      </c>
      <c r="D1495" s="26">
        <f>MATCH(WEEKDAY(A1495),そのた定義!A:A,0)</f>
        <v>3</v>
      </c>
      <c r="E1495" s="26" t="str">
        <f t="shared" ca="1" si="212"/>
        <v>月</v>
      </c>
      <c r="F1495" s="26">
        <f t="shared" si="213"/>
        <v>0</v>
      </c>
      <c r="G1495" s="26">
        <f>IF(ISNA(MATCH(A1495,祝日定義!E:E,0)),0,1)</f>
        <v>0</v>
      </c>
      <c r="H1495" s="26">
        <f>IF(ISNA(MATCH(B1495&amp;"/"&amp;C1495,そのた定義!E:E,0)), 0, 1)</f>
        <v>0</v>
      </c>
      <c r="I1495" s="26" t="b">
        <f t="shared" si="214"/>
        <v>0</v>
      </c>
      <c r="J1495" s="26">
        <v>2</v>
      </c>
      <c r="K1495" s="26" t="b">
        <f t="shared" si="209"/>
        <v>0</v>
      </c>
      <c r="L1495" s="26" t="b">
        <f t="shared" si="210"/>
        <v>0</v>
      </c>
      <c r="M1495" t="b">
        <f t="shared" si="215"/>
        <v>1</v>
      </c>
      <c r="N1495" t="b">
        <f t="shared" si="216"/>
        <v>0</v>
      </c>
    </row>
    <row r="1496" spans="1:14">
      <c r="A1496" s="29">
        <v>46056</v>
      </c>
      <c r="B1496" s="30">
        <f t="shared" si="208"/>
        <v>2</v>
      </c>
      <c r="C1496" s="30">
        <f t="shared" si="211"/>
        <v>3</v>
      </c>
      <c r="D1496" s="26">
        <f>MATCH(WEEKDAY(A1496),そのた定義!A:A,0)</f>
        <v>4</v>
      </c>
      <c r="E1496" s="26" t="str">
        <f t="shared" ca="1" si="212"/>
        <v>火</v>
      </c>
      <c r="F1496" s="26">
        <f t="shared" si="213"/>
        <v>0</v>
      </c>
      <c r="G1496" s="26">
        <f>IF(ISNA(MATCH(A1496,祝日定義!E:E,0)),0,1)</f>
        <v>0</v>
      </c>
      <c r="H1496" s="26">
        <f>IF(ISNA(MATCH(B1496&amp;"/"&amp;C1496,そのた定義!E:E,0)), 0, 1)</f>
        <v>0</v>
      </c>
      <c r="I1496" s="26" t="b">
        <f t="shared" si="214"/>
        <v>0</v>
      </c>
      <c r="J1496" s="26">
        <v>0</v>
      </c>
      <c r="K1496" s="26" t="b">
        <f t="shared" si="209"/>
        <v>0</v>
      </c>
      <c r="L1496" s="26" t="b">
        <f t="shared" si="210"/>
        <v>0</v>
      </c>
      <c r="M1496" t="b">
        <f t="shared" si="215"/>
        <v>0</v>
      </c>
      <c r="N1496" t="b">
        <f t="shared" si="216"/>
        <v>0</v>
      </c>
    </row>
    <row r="1497" spans="1:14">
      <c r="A1497" s="29">
        <v>46057</v>
      </c>
      <c r="B1497" s="30">
        <f t="shared" si="208"/>
        <v>2</v>
      </c>
      <c r="C1497" s="30">
        <f t="shared" si="211"/>
        <v>4</v>
      </c>
      <c r="D1497" s="26">
        <f>MATCH(WEEKDAY(A1497),そのた定義!A:A,0)</f>
        <v>5</v>
      </c>
      <c r="E1497" s="26" t="str">
        <f t="shared" ca="1" si="212"/>
        <v>水</v>
      </c>
      <c r="F1497" s="26">
        <f t="shared" si="213"/>
        <v>0</v>
      </c>
      <c r="G1497" s="26">
        <f>IF(ISNA(MATCH(A1497,祝日定義!E:E,0)),0,1)</f>
        <v>0</v>
      </c>
      <c r="H1497" s="26">
        <f>IF(ISNA(MATCH(B1497&amp;"/"&amp;C1497,そのた定義!E:E,0)), 0, 1)</f>
        <v>0</v>
      </c>
      <c r="I1497" s="26" t="b">
        <f t="shared" si="214"/>
        <v>0</v>
      </c>
      <c r="J1497" s="26">
        <v>0</v>
      </c>
      <c r="K1497" s="26" t="b">
        <f t="shared" si="209"/>
        <v>0</v>
      </c>
      <c r="L1497" s="26" t="b">
        <f t="shared" si="210"/>
        <v>0</v>
      </c>
      <c r="M1497" t="b">
        <f t="shared" si="215"/>
        <v>0</v>
      </c>
      <c r="N1497" t="b">
        <f t="shared" si="216"/>
        <v>0</v>
      </c>
    </row>
    <row r="1498" spans="1:14">
      <c r="A1498" s="29">
        <v>46058</v>
      </c>
      <c r="B1498" s="30">
        <f t="shared" si="208"/>
        <v>2</v>
      </c>
      <c r="C1498" s="30">
        <f t="shared" si="211"/>
        <v>5</v>
      </c>
      <c r="D1498" s="26">
        <f>MATCH(WEEKDAY(A1498),そのた定義!A:A,0)</f>
        <v>6</v>
      </c>
      <c r="E1498" s="26" t="str">
        <f t="shared" ca="1" si="212"/>
        <v>木</v>
      </c>
      <c r="F1498" s="26">
        <f t="shared" si="213"/>
        <v>0</v>
      </c>
      <c r="G1498" s="26">
        <f>IF(ISNA(MATCH(A1498,祝日定義!E:E,0)),0,1)</f>
        <v>0</v>
      </c>
      <c r="H1498" s="26">
        <f>IF(ISNA(MATCH(B1498&amp;"/"&amp;C1498,そのた定義!E:E,0)), 0, 1)</f>
        <v>0</v>
      </c>
      <c r="I1498" s="26" t="b">
        <f t="shared" si="214"/>
        <v>0</v>
      </c>
      <c r="J1498" s="26">
        <v>0</v>
      </c>
      <c r="K1498" s="26" t="b">
        <f t="shared" si="209"/>
        <v>0</v>
      </c>
      <c r="L1498" s="26" t="b">
        <f t="shared" si="210"/>
        <v>0</v>
      </c>
      <c r="M1498" t="b">
        <f t="shared" si="215"/>
        <v>0</v>
      </c>
      <c r="N1498" t="b">
        <f t="shared" si="216"/>
        <v>0</v>
      </c>
    </row>
    <row r="1499" spans="1:14">
      <c r="A1499" s="29">
        <v>46059</v>
      </c>
      <c r="B1499" s="30">
        <f t="shared" si="208"/>
        <v>2</v>
      </c>
      <c r="C1499" s="30">
        <f t="shared" si="211"/>
        <v>6</v>
      </c>
      <c r="D1499" s="26">
        <f>MATCH(WEEKDAY(A1499),そのた定義!A:A,0)</f>
        <v>7</v>
      </c>
      <c r="E1499" s="26" t="str">
        <f t="shared" ca="1" si="212"/>
        <v>金</v>
      </c>
      <c r="F1499" s="26">
        <f t="shared" si="213"/>
        <v>0</v>
      </c>
      <c r="G1499" s="26">
        <f>IF(ISNA(MATCH(A1499,祝日定義!E:E,0)),0,1)</f>
        <v>0</v>
      </c>
      <c r="H1499" s="26">
        <f>IF(ISNA(MATCH(B1499&amp;"/"&amp;C1499,そのた定義!E:E,0)), 0, 1)</f>
        <v>0</v>
      </c>
      <c r="I1499" s="26" t="b">
        <f t="shared" si="214"/>
        <v>0</v>
      </c>
      <c r="J1499" s="26">
        <v>0</v>
      </c>
      <c r="K1499" s="26" t="b">
        <f t="shared" si="209"/>
        <v>0</v>
      </c>
      <c r="L1499" s="26" t="b">
        <f t="shared" si="210"/>
        <v>0</v>
      </c>
      <c r="M1499" t="b">
        <f t="shared" si="215"/>
        <v>0</v>
      </c>
      <c r="N1499" t="b">
        <f t="shared" si="216"/>
        <v>0</v>
      </c>
    </row>
    <row r="1500" spans="1:14">
      <c r="A1500" s="29">
        <v>46060</v>
      </c>
      <c r="B1500" s="30">
        <f t="shared" si="208"/>
        <v>2</v>
      </c>
      <c r="C1500" s="30">
        <f t="shared" si="211"/>
        <v>7</v>
      </c>
      <c r="D1500" s="26">
        <f>MATCH(WEEKDAY(A1500),そのた定義!A:A,0)</f>
        <v>8</v>
      </c>
      <c r="E1500" s="33" t="str">
        <f t="shared" ca="1" si="212"/>
        <v>土</v>
      </c>
      <c r="F1500" s="26">
        <f t="shared" si="213"/>
        <v>1</v>
      </c>
      <c r="G1500" s="26">
        <f>IF(ISNA(MATCH(A1500,祝日定義!E:E,0)),0,1)</f>
        <v>0</v>
      </c>
      <c r="H1500" s="26">
        <f>IF(ISNA(MATCH(B1500&amp;"/"&amp;C1500,そのた定義!E:E,0)), 0, 1)</f>
        <v>0</v>
      </c>
      <c r="I1500" s="23" t="b">
        <f t="shared" si="214"/>
        <v>1</v>
      </c>
      <c r="J1500" s="26">
        <v>0</v>
      </c>
      <c r="K1500" s="26" t="b">
        <f t="shared" si="209"/>
        <v>0</v>
      </c>
      <c r="L1500" s="26" t="b">
        <f t="shared" si="210"/>
        <v>0</v>
      </c>
      <c r="M1500" t="b">
        <f t="shared" si="215"/>
        <v>0</v>
      </c>
      <c r="N1500" t="b">
        <f t="shared" si="216"/>
        <v>0</v>
      </c>
    </row>
    <row r="1501" spans="1:14">
      <c r="A1501" s="29">
        <v>46061</v>
      </c>
      <c r="B1501" s="30">
        <f t="shared" si="208"/>
        <v>2</v>
      </c>
      <c r="C1501" s="30">
        <f t="shared" si="211"/>
        <v>8</v>
      </c>
      <c r="D1501" s="26">
        <f>MATCH(WEEKDAY(A1501),そのた定義!A:A,0)</f>
        <v>2</v>
      </c>
      <c r="E1501" s="32" t="str">
        <f t="shared" ca="1" si="212"/>
        <v>日</v>
      </c>
      <c r="F1501" s="26">
        <f t="shared" si="213"/>
        <v>1</v>
      </c>
      <c r="G1501" s="26">
        <f>IF(ISNA(MATCH(A1501,祝日定義!E:E,0)),0,1)</f>
        <v>0</v>
      </c>
      <c r="H1501" s="26">
        <f>IF(ISNA(MATCH(B1501&amp;"/"&amp;C1501,そのた定義!E:E,0)), 0, 1)</f>
        <v>0</v>
      </c>
      <c r="I1501" s="23" t="b">
        <f t="shared" si="214"/>
        <v>1</v>
      </c>
      <c r="J1501" s="26">
        <v>0</v>
      </c>
      <c r="K1501" s="26" t="b">
        <f t="shared" si="209"/>
        <v>0</v>
      </c>
      <c r="L1501" s="26" t="b">
        <f t="shared" si="210"/>
        <v>0</v>
      </c>
      <c r="M1501" t="b">
        <f t="shared" si="215"/>
        <v>0</v>
      </c>
      <c r="N1501" t="b">
        <f t="shared" si="216"/>
        <v>0</v>
      </c>
    </row>
    <row r="1502" spans="1:14">
      <c r="A1502" s="29">
        <v>46062</v>
      </c>
      <c r="B1502" s="30">
        <f t="shared" si="208"/>
        <v>2</v>
      </c>
      <c r="C1502" s="30">
        <f t="shared" si="211"/>
        <v>9</v>
      </c>
      <c r="D1502" s="26">
        <f>MATCH(WEEKDAY(A1502),そのた定義!A:A,0)</f>
        <v>3</v>
      </c>
      <c r="E1502" s="26" t="str">
        <f t="shared" ca="1" si="212"/>
        <v>月</v>
      </c>
      <c r="F1502" s="26">
        <f t="shared" si="213"/>
        <v>0</v>
      </c>
      <c r="G1502" s="26">
        <f>IF(ISNA(MATCH(A1502,祝日定義!E:E,0)),0,1)</f>
        <v>0</v>
      </c>
      <c r="H1502" s="26">
        <f>IF(ISNA(MATCH(B1502&amp;"/"&amp;C1502,そのた定義!E:E,0)), 0, 1)</f>
        <v>0</v>
      </c>
      <c r="I1502" s="26" t="b">
        <f t="shared" si="214"/>
        <v>0</v>
      </c>
      <c r="J1502" s="26">
        <v>2</v>
      </c>
      <c r="K1502" s="26" t="b">
        <f t="shared" si="209"/>
        <v>0</v>
      </c>
      <c r="L1502" s="26" t="b">
        <f t="shared" si="210"/>
        <v>0</v>
      </c>
      <c r="M1502" t="b">
        <f t="shared" si="215"/>
        <v>0</v>
      </c>
      <c r="N1502" t="b">
        <f t="shared" si="216"/>
        <v>0</v>
      </c>
    </row>
    <row r="1503" spans="1:14">
      <c r="A1503" s="29">
        <v>46063</v>
      </c>
      <c r="B1503" s="30">
        <f t="shared" si="208"/>
        <v>2</v>
      </c>
      <c r="C1503" s="30">
        <f t="shared" si="211"/>
        <v>10</v>
      </c>
      <c r="D1503" s="26">
        <f>MATCH(WEEKDAY(A1503),そのた定義!A:A,0)</f>
        <v>4</v>
      </c>
      <c r="E1503" s="26" t="str">
        <f t="shared" ca="1" si="212"/>
        <v>火</v>
      </c>
      <c r="F1503" s="26">
        <f t="shared" si="213"/>
        <v>0</v>
      </c>
      <c r="G1503" s="26">
        <f>IF(ISNA(MATCH(A1503,祝日定義!E:E,0)),0,1)</f>
        <v>0</v>
      </c>
      <c r="H1503" s="26">
        <f>IF(ISNA(MATCH(B1503&amp;"/"&amp;C1503,そのた定義!E:E,0)), 0, 1)</f>
        <v>0</v>
      </c>
      <c r="I1503" s="26" t="b">
        <f t="shared" si="214"/>
        <v>0</v>
      </c>
      <c r="J1503" s="26">
        <v>0</v>
      </c>
      <c r="K1503" s="26" t="b">
        <f t="shared" si="209"/>
        <v>0</v>
      </c>
      <c r="L1503" s="26" t="b">
        <f t="shared" si="210"/>
        <v>0</v>
      </c>
      <c r="M1503" t="b">
        <f t="shared" si="215"/>
        <v>0</v>
      </c>
      <c r="N1503" t="b">
        <f t="shared" si="216"/>
        <v>0</v>
      </c>
    </row>
    <row r="1504" spans="1:14">
      <c r="A1504" s="29">
        <v>46064</v>
      </c>
      <c r="B1504" s="30">
        <f t="shared" si="208"/>
        <v>2</v>
      </c>
      <c r="C1504" s="30">
        <f t="shared" si="211"/>
        <v>11</v>
      </c>
      <c r="D1504" s="26">
        <f>MATCH(WEEKDAY(A1504),そのた定義!A:A,0)</f>
        <v>5</v>
      </c>
      <c r="E1504" s="31" t="str">
        <f t="shared" ca="1" si="212"/>
        <v>水</v>
      </c>
      <c r="F1504" s="26">
        <f t="shared" si="213"/>
        <v>0</v>
      </c>
      <c r="G1504" s="26">
        <f>IF(ISNA(MATCH(A1504,祝日定義!E:E,0)),0,1)</f>
        <v>1</v>
      </c>
      <c r="H1504" s="26">
        <f>IF(ISNA(MATCH(B1504&amp;"/"&amp;C1504,そのた定義!E:E,0)), 0, 1)</f>
        <v>0</v>
      </c>
      <c r="I1504" s="23" t="b">
        <f t="shared" si="214"/>
        <v>1</v>
      </c>
      <c r="J1504" s="26">
        <v>0</v>
      </c>
      <c r="K1504" s="26" t="b">
        <f t="shared" si="209"/>
        <v>0</v>
      </c>
      <c r="L1504" s="26" t="b">
        <f t="shared" si="210"/>
        <v>0</v>
      </c>
      <c r="M1504" t="b">
        <f t="shared" si="215"/>
        <v>0</v>
      </c>
      <c r="N1504" t="b">
        <f t="shared" si="216"/>
        <v>0</v>
      </c>
    </row>
    <row r="1505" spans="1:14">
      <c r="A1505" s="29">
        <v>46065</v>
      </c>
      <c r="B1505" s="30">
        <f t="shared" si="208"/>
        <v>2</v>
      </c>
      <c r="C1505" s="30">
        <f t="shared" si="211"/>
        <v>12</v>
      </c>
      <c r="D1505" s="26">
        <f>MATCH(WEEKDAY(A1505),そのた定義!A:A,0)</f>
        <v>6</v>
      </c>
      <c r="E1505" s="26" t="str">
        <f t="shared" ca="1" si="212"/>
        <v>木</v>
      </c>
      <c r="F1505" s="26">
        <f t="shared" si="213"/>
        <v>0</v>
      </c>
      <c r="G1505" s="26">
        <f>IF(ISNA(MATCH(A1505,祝日定義!E:E,0)),0,1)</f>
        <v>0</v>
      </c>
      <c r="H1505" s="26">
        <f>IF(ISNA(MATCH(B1505&amp;"/"&amp;C1505,そのた定義!E:E,0)), 0, 1)</f>
        <v>0</v>
      </c>
      <c r="I1505" s="26" t="b">
        <f t="shared" si="214"/>
        <v>0</v>
      </c>
      <c r="J1505" s="26">
        <v>1</v>
      </c>
      <c r="K1505" s="26" t="b">
        <f t="shared" si="209"/>
        <v>0</v>
      </c>
      <c r="L1505" s="26" t="b">
        <f t="shared" si="210"/>
        <v>0</v>
      </c>
      <c r="M1505" t="b">
        <f t="shared" si="215"/>
        <v>0</v>
      </c>
      <c r="N1505" t="b">
        <f t="shared" si="216"/>
        <v>0</v>
      </c>
    </row>
    <row r="1506" spans="1:14">
      <c r="A1506" s="29">
        <v>46066</v>
      </c>
      <c r="B1506" s="30">
        <f t="shared" si="208"/>
        <v>2</v>
      </c>
      <c r="C1506" s="30">
        <f t="shared" si="211"/>
        <v>13</v>
      </c>
      <c r="D1506" s="26">
        <f>MATCH(WEEKDAY(A1506),そのた定義!A:A,0)</f>
        <v>7</v>
      </c>
      <c r="E1506" s="26" t="str">
        <f t="shared" ca="1" si="212"/>
        <v>金</v>
      </c>
      <c r="F1506" s="26">
        <f t="shared" si="213"/>
        <v>0</v>
      </c>
      <c r="G1506" s="26">
        <f>IF(ISNA(MATCH(A1506,祝日定義!E:E,0)),0,1)</f>
        <v>0</v>
      </c>
      <c r="H1506" s="26">
        <f>IF(ISNA(MATCH(B1506&amp;"/"&amp;C1506,そのた定義!E:E,0)), 0, 1)</f>
        <v>0</v>
      </c>
      <c r="I1506" s="26" t="b">
        <f t="shared" si="214"/>
        <v>0</v>
      </c>
      <c r="J1506" s="26">
        <v>0</v>
      </c>
      <c r="K1506" s="26" t="b">
        <f t="shared" si="209"/>
        <v>0</v>
      </c>
      <c r="L1506" s="26" t="b">
        <f t="shared" si="210"/>
        <v>0</v>
      </c>
      <c r="M1506" t="b">
        <f t="shared" si="215"/>
        <v>0</v>
      </c>
      <c r="N1506" t="b">
        <f t="shared" si="216"/>
        <v>0</v>
      </c>
    </row>
    <row r="1507" spans="1:14">
      <c r="A1507" s="29">
        <v>46067</v>
      </c>
      <c r="B1507" s="30">
        <f t="shared" si="208"/>
        <v>2</v>
      </c>
      <c r="C1507" s="30">
        <f t="shared" si="211"/>
        <v>14</v>
      </c>
      <c r="D1507" s="26">
        <f>MATCH(WEEKDAY(A1507),そのた定義!A:A,0)</f>
        <v>8</v>
      </c>
      <c r="E1507" s="33" t="str">
        <f t="shared" ca="1" si="212"/>
        <v>土</v>
      </c>
      <c r="F1507" s="26">
        <f t="shared" si="213"/>
        <v>1</v>
      </c>
      <c r="G1507" s="26">
        <f>IF(ISNA(MATCH(A1507,祝日定義!E:E,0)),0,1)</f>
        <v>0</v>
      </c>
      <c r="H1507" s="26">
        <f>IF(ISNA(MATCH(B1507&amp;"/"&amp;C1507,そのた定義!E:E,0)), 0, 1)</f>
        <v>0</v>
      </c>
      <c r="I1507" s="23" t="b">
        <f t="shared" si="214"/>
        <v>1</v>
      </c>
      <c r="J1507" s="26">
        <v>0</v>
      </c>
      <c r="K1507" s="26" t="b">
        <f t="shared" si="209"/>
        <v>0</v>
      </c>
      <c r="L1507" s="26" t="b">
        <f t="shared" si="210"/>
        <v>0</v>
      </c>
      <c r="M1507" t="b">
        <f t="shared" si="215"/>
        <v>0</v>
      </c>
      <c r="N1507" t="b">
        <f t="shared" si="216"/>
        <v>0</v>
      </c>
    </row>
    <row r="1508" spans="1:14">
      <c r="A1508" s="29">
        <v>46068</v>
      </c>
      <c r="B1508" s="30">
        <f t="shared" si="208"/>
        <v>2</v>
      </c>
      <c r="C1508" s="30">
        <f t="shared" si="211"/>
        <v>15</v>
      </c>
      <c r="D1508" s="26">
        <f>MATCH(WEEKDAY(A1508),そのた定義!A:A,0)</f>
        <v>2</v>
      </c>
      <c r="E1508" s="32" t="str">
        <f t="shared" ca="1" si="212"/>
        <v>日</v>
      </c>
      <c r="F1508" s="26">
        <f t="shared" si="213"/>
        <v>1</v>
      </c>
      <c r="G1508" s="26">
        <f>IF(ISNA(MATCH(A1508,祝日定義!E:E,0)),0,1)</f>
        <v>0</v>
      </c>
      <c r="H1508" s="26">
        <f>IF(ISNA(MATCH(B1508&amp;"/"&amp;C1508,そのた定義!E:E,0)), 0, 1)</f>
        <v>0</v>
      </c>
      <c r="I1508" s="23" t="b">
        <f t="shared" si="214"/>
        <v>1</v>
      </c>
      <c r="J1508" s="26">
        <v>0</v>
      </c>
      <c r="K1508" s="26" t="b">
        <f t="shared" si="209"/>
        <v>0</v>
      </c>
      <c r="L1508" s="26" t="b">
        <f t="shared" si="210"/>
        <v>0</v>
      </c>
      <c r="M1508" t="b">
        <f t="shared" si="215"/>
        <v>0</v>
      </c>
      <c r="N1508" t="b">
        <f t="shared" si="216"/>
        <v>0</v>
      </c>
    </row>
    <row r="1509" spans="1:14">
      <c r="A1509" s="29">
        <v>46069</v>
      </c>
      <c r="B1509" s="30">
        <f t="shared" si="208"/>
        <v>2</v>
      </c>
      <c r="C1509" s="30">
        <f t="shared" si="211"/>
        <v>16</v>
      </c>
      <c r="D1509" s="26">
        <f>MATCH(WEEKDAY(A1509),そのた定義!A:A,0)</f>
        <v>3</v>
      </c>
      <c r="E1509" s="26" t="str">
        <f t="shared" ca="1" si="212"/>
        <v>月</v>
      </c>
      <c r="F1509" s="26">
        <f t="shared" si="213"/>
        <v>0</v>
      </c>
      <c r="G1509" s="26">
        <f>IF(ISNA(MATCH(A1509,祝日定義!E:E,0)),0,1)</f>
        <v>0</v>
      </c>
      <c r="H1509" s="26">
        <f>IF(ISNA(MATCH(B1509&amp;"/"&amp;C1509,そのた定義!E:E,0)), 0, 1)</f>
        <v>0</v>
      </c>
      <c r="I1509" s="26" t="b">
        <f t="shared" si="214"/>
        <v>0</v>
      </c>
      <c r="J1509" s="26">
        <v>2</v>
      </c>
      <c r="K1509" s="26" t="b">
        <f t="shared" si="209"/>
        <v>0</v>
      </c>
      <c r="L1509" s="26" t="b">
        <f t="shared" si="210"/>
        <v>0</v>
      </c>
      <c r="M1509" t="b">
        <f t="shared" si="215"/>
        <v>0</v>
      </c>
      <c r="N1509" t="b">
        <f t="shared" si="216"/>
        <v>0</v>
      </c>
    </row>
    <row r="1510" spans="1:14">
      <c r="A1510" s="29">
        <v>46070</v>
      </c>
      <c r="B1510" s="30">
        <f t="shared" si="208"/>
        <v>2</v>
      </c>
      <c r="C1510" s="30">
        <f t="shared" si="211"/>
        <v>17</v>
      </c>
      <c r="D1510" s="26">
        <f>MATCH(WEEKDAY(A1510),そのた定義!A:A,0)</f>
        <v>4</v>
      </c>
      <c r="E1510" s="26" t="str">
        <f t="shared" ca="1" si="212"/>
        <v>火</v>
      </c>
      <c r="F1510" s="26">
        <f t="shared" si="213"/>
        <v>0</v>
      </c>
      <c r="G1510" s="26">
        <f>IF(ISNA(MATCH(A1510,祝日定義!E:E,0)),0,1)</f>
        <v>0</v>
      </c>
      <c r="H1510" s="26">
        <f>IF(ISNA(MATCH(B1510&amp;"/"&amp;C1510,そのた定義!E:E,0)), 0, 1)</f>
        <v>0</v>
      </c>
      <c r="I1510" s="26" t="b">
        <f t="shared" si="214"/>
        <v>0</v>
      </c>
      <c r="J1510" s="26">
        <v>0</v>
      </c>
      <c r="K1510" s="26" t="b">
        <f t="shared" si="209"/>
        <v>0</v>
      </c>
      <c r="L1510" s="26" t="b">
        <f t="shared" si="210"/>
        <v>0</v>
      </c>
      <c r="M1510" t="b">
        <f t="shared" si="215"/>
        <v>0</v>
      </c>
      <c r="N1510" t="b">
        <f t="shared" si="216"/>
        <v>0</v>
      </c>
    </row>
    <row r="1511" spans="1:14">
      <c r="A1511" s="29">
        <v>46071</v>
      </c>
      <c r="B1511" s="30">
        <f t="shared" si="208"/>
        <v>2</v>
      </c>
      <c r="C1511" s="30">
        <f t="shared" si="211"/>
        <v>18</v>
      </c>
      <c r="D1511" s="26">
        <f>MATCH(WEEKDAY(A1511),そのた定義!A:A,0)</f>
        <v>5</v>
      </c>
      <c r="E1511" s="26" t="str">
        <f t="shared" ca="1" si="212"/>
        <v>水</v>
      </c>
      <c r="F1511" s="26">
        <f t="shared" si="213"/>
        <v>0</v>
      </c>
      <c r="G1511" s="26">
        <f>IF(ISNA(MATCH(A1511,祝日定義!E:E,0)),0,1)</f>
        <v>0</v>
      </c>
      <c r="H1511" s="26">
        <f>IF(ISNA(MATCH(B1511&amp;"/"&amp;C1511,そのた定義!E:E,0)), 0, 1)</f>
        <v>0</v>
      </c>
      <c r="I1511" s="26" t="b">
        <f t="shared" si="214"/>
        <v>0</v>
      </c>
      <c r="J1511" s="26">
        <v>0</v>
      </c>
      <c r="K1511" s="26" t="b">
        <f t="shared" si="209"/>
        <v>0</v>
      </c>
      <c r="L1511" s="26" t="b">
        <f t="shared" si="210"/>
        <v>0</v>
      </c>
      <c r="M1511" t="b">
        <f t="shared" si="215"/>
        <v>0</v>
      </c>
      <c r="N1511" t="b">
        <f t="shared" si="216"/>
        <v>0</v>
      </c>
    </row>
    <row r="1512" spans="1:14">
      <c r="A1512" s="29">
        <v>46072</v>
      </c>
      <c r="B1512" s="30">
        <f t="shared" si="208"/>
        <v>2</v>
      </c>
      <c r="C1512" s="30">
        <f t="shared" si="211"/>
        <v>19</v>
      </c>
      <c r="D1512" s="26">
        <f>MATCH(WEEKDAY(A1512),そのた定義!A:A,0)</f>
        <v>6</v>
      </c>
      <c r="E1512" s="26" t="str">
        <f t="shared" ca="1" si="212"/>
        <v>木</v>
      </c>
      <c r="F1512" s="26">
        <f t="shared" si="213"/>
        <v>0</v>
      </c>
      <c r="G1512" s="26">
        <f>IF(ISNA(MATCH(A1512,祝日定義!E:E,0)),0,1)</f>
        <v>0</v>
      </c>
      <c r="H1512" s="26">
        <f>IF(ISNA(MATCH(B1512&amp;"/"&amp;C1512,そのた定義!E:E,0)), 0, 1)</f>
        <v>0</v>
      </c>
      <c r="I1512" s="26" t="b">
        <f t="shared" si="214"/>
        <v>0</v>
      </c>
      <c r="J1512" s="26">
        <v>0</v>
      </c>
      <c r="K1512" s="26" t="b">
        <f t="shared" si="209"/>
        <v>0</v>
      </c>
      <c r="L1512" s="26" t="b">
        <f t="shared" si="210"/>
        <v>0</v>
      </c>
      <c r="M1512" t="b">
        <f t="shared" si="215"/>
        <v>0</v>
      </c>
      <c r="N1512" t="b">
        <f t="shared" si="216"/>
        <v>0</v>
      </c>
    </row>
    <row r="1513" spans="1:14">
      <c r="A1513" s="29">
        <v>46073</v>
      </c>
      <c r="B1513" s="30">
        <f t="shared" si="208"/>
        <v>2</v>
      </c>
      <c r="C1513" s="30">
        <f t="shared" si="211"/>
        <v>20</v>
      </c>
      <c r="D1513" s="26">
        <f>MATCH(WEEKDAY(A1513),そのた定義!A:A,0)</f>
        <v>7</v>
      </c>
      <c r="E1513" s="26" t="str">
        <f t="shared" ca="1" si="212"/>
        <v>金</v>
      </c>
      <c r="F1513" s="26">
        <f t="shared" si="213"/>
        <v>0</v>
      </c>
      <c r="G1513" s="26">
        <f>IF(ISNA(MATCH(A1513,祝日定義!E:E,0)),0,1)</f>
        <v>0</v>
      </c>
      <c r="H1513" s="26">
        <f>IF(ISNA(MATCH(B1513&amp;"/"&amp;C1513,そのた定義!E:E,0)), 0, 1)</f>
        <v>0</v>
      </c>
      <c r="I1513" s="26" t="b">
        <f t="shared" si="214"/>
        <v>0</v>
      </c>
      <c r="J1513" s="26">
        <v>0</v>
      </c>
      <c r="K1513" s="26" t="b">
        <f t="shared" si="209"/>
        <v>0</v>
      </c>
      <c r="L1513" s="26" t="b">
        <f t="shared" si="210"/>
        <v>0</v>
      </c>
      <c r="M1513" t="b">
        <f t="shared" si="215"/>
        <v>0</v>
      </c>
      <c r="N1513" t="b">
        <f t="shared" si="216"/>
        <v>0</v>
      </c>
    </row>
    <row r="1514" spans="1:14">
      <c r="A1514" s="29">
        <v>46074</v>
      </c>
      <c r="B1514" s="30">
        <f t="shared" si="208"/>
        <v>2</v>
      </c>
      <c r="C1514" s="30">
        <f t="shared" si="211"/>
        <v>21</v>
      </c>
      <c r="D1514" s="26">
        <f>MATCH(WEEKDAY(A1514),そのた定義!A:A,0)</f>
        <v>8</v>
      </c>
      <c r="E1514" s="33" t="str">
        <f t="shared" ca="1" si="212"/>
        <v>土</v>
      </c>
      <c r="F1514" s="26">
        <f t="shared" si="213"/>
        <v>1</v>
      </c>
      <c r="G1514" s="26">
        <f>IF(ISNA(MATCH(A1514,祝日定義!E:E,0)),0,1)</f>
        <v>0</v>
      </c>
      <c r="H1514" s="26">
        <f>IF(ISNA(MATCH(B1514&amp;"/"&amp;C1514,そのた定義!E:E,0)), 0, 1)</f>
        <v>0</v>
      </c>
      <c r="I1514" s="23" t="b">
        <f t="shared" si="214"/>
        <v>1</v>
      </c>
      <c r="J1514" s="26">
        <v>0</v>
      </c>
      <c r="K1514" s="26" t="b">
        <f t="shared" si="209"/>
        <v>0</v>
      </c>
      <c r="L1514" s="26" t="b">
        <f t="shared" si="210"/>
        <v>0</v>
      </c>
      <c r="M1514" t="b">
        <f t="shared" si="215"/>
        <v>0</v>
      </c>
      <c r="N1514" t="b">
        <f t="shared" si="216"/>
        <v>0</v>
      </c>
    </row>
    <row r="1515" spans="1:14">
      <c r="A1515" s="29">
        <v>46075</v>
      </c>
      <c r="B1515" s="30">
        <f t="shared" si="208"/>
        <v>2</v>
      </c>
      <c r="C1515" s="30">
        <f t="shared" si="211"/>
        <v>22</v>
      </c>
      <c r="D1515" s="26">
        <f>MATCH(WEEKDAY(A1515),そのた定義!A:A,0)</f>
        <v>2</v>
      </c>
      <c r="E1515" s="32" t="str">
        <f t="shared" ca="1" si="212"/>
        <v>日</v>
      </c>
      <c r="F1515" s="26">
        <f t="shared" si="213"/>
        <v>1</v>
      </c>
      <c r="G1515" s="26">
        <f>IF(ISNA(MATCH(A1515,祝日定義!E:E,0)),0,1)</f>
        <v>0</v>
      </c>
      <c r="H1515" s="26">
        <f>IF(ISNA(MATCH(B1515&amp;"/"&amp;C1515,そのた定義!E:E,0)), 0, 1)</f>
        <v>0</v>
      </c>
      <c r="I1515" s="23" t="b">
        <f t="shared" si="214"/>
        <v>1</v>
      </c>
      <c r="J1515" s="26">
        <v>0</v>
      </c>
      <c r="K1515" s="26" t="b">
        <f t="shared" si="209"/>
        <v>0</v>
      </c>
      <c r="L1515" s="26" t="b">
        <f t="shared" si="210"/>
        <v>0</v>
      </c>
      <c r="M1515" t="b">
        <f t="shared" si="215"/>
        <v>0</v>
      </c>
      <c r="N1515" t="b">
        <f t="shared" si="216"/>
        <v>0</v>
      </c>
    </row>
    <row r="1516" spans="1:14">
      <c r="A1516" s="29">
        <v>46076</v>
      </c>
      <c r="B1516" s="30">
        <f t="shared" si="208"/>
        <v>2</v>
      </c>
      <c r="C1516" s="30">
        <f t="shared" si="211"/>
        <v>23</v>
      </c>
      <c r="D1516" s="26">
        <f>MATCH(WEEKDAY(A1516),そのた定義!A:A,0)</f>
        <v>3</v>
      </c>
      <c r="E1516" s="31" t="str">
        <f t="shared" ca="1" si="212"/>
        <v>月</v>
      </c>
      <c r="F1516" s="26">
        <f t="shared" si="213"/>
        <v>0</v>
      </c>
      <c r="G1516" s="26">
        <f>IF(ISNA(MATCH(A1516,祝日定義!E:E,0)),0,1)</f>
        <v>1</v>
      </c>
      <c r="H1516" s="26">
        <f>IF(ISNA(MATCH(B1516&amp;"/"&amp;C1516,そのた定義!E:E,0)), 0, 1)</f>
        <v>0</v>
      </c>
      <c r="I1516" s="23" t="b">
        <f t="shared" si="214"/>
        <v>1</v>
      </c>
      <c r="J1516" s="26">
        <v>0</v>
      </c>
      <c r="K1516" s="26" t="b">
        <f t="shared" si="209"/>
        <v>0</v>
      </c>
      <c r="L1516" s="26" t="b">
        <f t="shared" si="210"/>
        <v>0</v>
      </c>
      <c r="M1516" t="b">
        <f t="shared" si="215"/>
        <v>0</v>
      </c>
      <c r="N1516" t="b">
        <f t="shared" si="216"/>
        <v>0</v>
      </c>
    </row>
    <row r="1517" spans="1:14">
      <c r="A1517" s="29">
        <v>46077</v>
      </c>
      <c r="B1517" s="30">
        <f t="shared" si="208"/>
        <v>2</v>
      </c>
      <c r="C1517" s="30">
        <f t="shared" si="211"/>
        <v>24</v>
      </c>
      <c r="D1517" s="26">
        <f>MATCH(WEEKDAY(A1517),そのた定義!A:A,0)</f>
        <v>4</v>
      </c>
      <c r="E1517" s="26" t="str">
        <f t="shared" ca="1" si="212"/>
        <v>火</v>
      </c>
      <c r="F1517" s="26">
        <f t="shared" si="213"/>
        <v>0</v>
      </c>
      <c r="G1517" s="26">
        <f>IF(ISNA(MATCH(A1517,祝日定義!E:E,0)),0,1)</f>
        <v>0</v>
      </c>
      <c r="H1517" s="26">
        <f>IF(ISNA(MATCH(B1517&amp;"/"&amp;C1517,そのた定義!E:E,0)), 0, 1)</f>
        <v>0</v>
      </c>
      <c r="I1517" s="26" t="b">
        <f t="shared" si="214"/>
        <v>0</v>
      </c>
      <c r="J1517" s="26">
        <v>3</v>
      </c>
      <c r="K1517" s="26" t="b">
        <f t="shared" si="209"/>
        <v>0</v>
      </c>
      <c r="L1517" s="26" t="b">
        <f t="shared" si="210"/>
        <v>0</v>
      </c>
      <c r="M1517" t="b">
        <f t="shared" si="215"/>
        <v>0</v>
      </c>
      <c r="N1517" t="b">
        <f t="shared" si="216"/>
        <v>0</v>
      </c>
    </row>
    <row r="1518" spans="1:14">
      <c r="A1518" s="29">
        <v>46078</v>
      </c>
      <c r="B1518" s="30">
        <f t="shared" si="208"/>
        <v>2</v>
      </c>
      <c r="C1518" s="30">
        <f t="shared" si="211"/>
        <v>25</v>
      </c>
      <c r="D1518" s="26">
        <f>MATCH(WEEKDAY(A1518),そのた定義!A:A,0)</f>
        <v>5</v>
      </c>
      <c r="E1518" s="26" t="str">
        <f t="shared" ca="1" si="212"/>
        <v>水</v>
      </c>
      <c r="F1518" s="26">
        <f t="shared" si="213"/>
        <v>0</v>
      </c>
      <c r="G1518" s="26">
        <f>IF(ISNA(MATCH(A1518,祝日定義!E:E,0)),0,1)</f>
        <v>0</v>
      </c>
      <c r="H1518" s="26">
        <f>IF(ISNA(MATCH(B1518&amp;"/"&amp;C1518,そのた定義!E:E,0)), 0, 1)</f>
        <v>0</v>
      </c>
      <c r="I1518" s="26" t="b">
        <f t="shared" si="214"/>
        <v>0</v>
      </c>
      <c r="J1518" s="26">
        <v>0</v>
      </c>
      <c r="K1518" s="26" t="b">
        <f t="shared" si="209"/>
        <v>0</v>
      </c>
      <c r="L1518" s="23" t="b">
        <f t="shared" si="210"/>
        <v>1</v>
      </c>
      <c r="M1518" t="b">
        <f t="shared" si="215"/>
        <v>0</v>
      </c>
      <c r="N1518" t="b">
        <f t="shared" si="216"/>
        <v>0</v>
      </c>
    </row>
    <row r="1519" spans="1:14">
      <c r="A1519" s="29">
        <v>46079</v>
      </c>
      <c r="B1519" s="30">
        <f t="shared" si="208"/>
        <v>2</v>
      </c>
      <c r="C1519" s="30">
        <f t="shared" si="211"/>
        <v>26</v>
      </c>
      <c r="D1519" s="26">
        <f>MATCH(WEEKDAY(A1519),そのた定義!A:A,0)</f>
        <v>6</v>
      </c>
      <c r="E1519" s="26" t="str">
        <f t="shared" ca="1" si="212"/>
        <v>木</v>
      </c>
      <c r="F1519" s="26">
        <f t="shared" si="213"/>
        <v>0</v>
      </c>
      <c r="G1519" s="26">
        <f>IF(ISNA(MATCH(A1519,祝日定義!E:E,0)),0,1)</f>
        <v>0</v>
      </c>
      <c r="H1519" s="26">
        <f>IF(ISNA(MATCH(B1519&amp;"/"&amp;C1519,そのた定義!E:E,0)), 0, 1)</f>
        <v>0</v>
      </c>
      <c r="I1519" s="26" t="b">
        <f t="shared" si="214"/>
        <v>0</v>
      </c>
      <c r="J1519" s="26">
        <v>0</v>
      </c>
      <c r="K1519" s="26" t="b">
        <f t="shared" si="209"/>
        <v>0</v>
      </c>
      <c r="L1519" s="26" t="b">
        <f t="shared" si="210"/>
        <v>0</v>
      </c>
      <c r="M1519" t="b">
        <f t="shared" si="215"/>
        <v>0</v>
      </c>
      <c r="N1519" t="b">
        <f t="shared" si="216"/>
        <v>0</v>
      </c>
    </row>
    <row r="1520" spans="1:14">
      <c r="A1520" s="29">
        <v>46080</v>
      </c>
      <c r="B1520" s="30">
        <f t="shared" si="208"/>
        <v>2</v>
      </c>
      <c r="C1520" s="30">
        <f t="shared" si="211"/>
        <v>27</v>
      </c>
      <c r="D1520" s="26">
        <f>MATCH(WEEKDAY(A1520),そのた定義!A:A,0)</f>
        <v>7</v>
      </c>
      <c r="E1520" s="26" t="str">
        <f t="shared" ca="1" si="212"/>
        <v>金</v>
      </c>
      <c r="F1520" s="26">
        <f t="shared" si="213"/>
        <v>0</v>
      </c>
      <c r="G1520" s="26">
        <f>IF(ISNA(MATCH(A1520,祝日定義!E:E,0)),0,1)</f>
        <v>0</v>
      </c>
      <c r="H1520" s="26">
        <f>IF(ISNA(MATCH(B1520&amp;"/"&amp;C1520,そのた定義!E:E,0)), 0, 1)</f>
        <v>0</v>
      </c>
      <c r="I1520" s="26" t="b">
        <f t="shared" si="214"/>
        <v>0</v>
      </c>
      <c r="J1520" s="26">
        <v>0</v>
      </c>
      <c r="K1520" s="26" t="b">
        <f t="shared" si="209"/>
        <v>0</v>
      </c>
      <c r="L1520" s="26" t="b">
        <f t="shared" si="210"/>
        <v>0</v>
      </c>
      <c r="M1520" t="b">
        <f t="shared" si="215"/>
        <v>0</v>
      </c>
      <c r="N1520" t="b">
        <f t="shared" si="216"/>
        <v>0</v>
      </c>
    </row>
    <row r="1521" spans="1:14">
      <c r="A1521" s="29">
        <v>46081</v>
      </c>
      <c r="B1521" s="30">
        <f t="shared" si="208"/>
        <v>2</v>
      </c>
      <c r="C1521" s="30">
        <f t="shared" si="211"/>
        <v>28</v>
      </c>
      <c r="D1521" s="26">
        <f>MATCH(WEEKDAY(A1521),そのた定義!A:A,0)</f>
        <v>8</v>
      </c>
      <c r="E1521" s="33" t="str">
        <f t="shared" ca="1" si="212"/>
        <v>土</v>
      </c>
      <c r="F1521" s="26">
        <f t="shared" si="213"/>
        <v>1</v>
      </c>
      <c r="G1521" s="26">
        <f>IF(ISNA(MATCH(A1521,祝日定義!E:E,0)),0,1)</f>
        <v>0</v>
      </c>
      <c r="H1521" s="26">
        <f>IF(ISNA(MATCH(B1521&amp;"/"&amp;C1521,そのた定義!E:E,0)), 0, 1)</f>
        <v>0</v>
      </c>
      <c r="I1521" s="23" t="b">
        <f t="shared" si="214"/>
        <v>1</v>
      </c>
      <c r="J1521" s="26">
        <v>0</v>
      </c>
      <c r="K1521" s="26" t="b">
        <f t="shared" si="209"/>
        <v>0</v>
      </c>
      <c r="L1521" s="26" t="b">
        <f t="shared" si="210"/>
        <v>0</v>
      </c>
      <c r="M1521" t="b">
        <f t="shared" si="215"/>
        <v>0</v>
      </c>
      <c r="N1521" t="b">
        <f t="shared" si="216"/>
        <v>1</v>
      </c>
    </row>
    <row r="1522" spans="1:14">
      <c r="A1522" s="29">
        <v>46082</v>
      </c>
      <c r="B1522" s="30">
        <f t="shared" si="208"/>
        <v>3</v>
      </c>
      <c r="C1522" s="30">
        <f t="shared" si="211"/>
        <v>1</v>
      </c>
      <c r="D1522" s="26">
        <f>MATCH(WEEKDAY(A1522),そのた定義!A:A,0)</f>
        <v>2</v>
      </c>
      <c r="E1522" s="32" t="str">
        <f t="shared" ca="1" si="212"/>
        <v>日</v>
      </c>
      <c r="F1522" s="26">
        <f t="shared" si="213"/>
        <v>1</v>
      </c>
      <c r="G1522" s="26">
        <f>IF(ISNA(MATCH(A1522,祝日定義!E:E,0)),0,1)</f>
        <v>0</v>
      </c>
      <c r="H1522" s="26">
        <f>IF(ISNA(MATCH(B1522&amp;"/"&amp;C1522,そのた定義!E:E,0)), 0, 1)</f>
        <v>0</v>
      </c>
      <c r="I1522" s="23" t="b">
        <f t="shared" si="214"/>
        <v>1</v>
      </c>
      <c r="J1522" s="26">
        <v>0</v>
      </c>
      <c r="K1522" s="26" t="b">
        <f t="shared" si="209"/>
        <v>0</v>
      </c>
      <c r="L1522" s="26" t="b">
        <f t="shared" si="210"/>
        <v>0</v>
      </c>
      <c r="M1522" t="b">
        <f t="shared" si="215"/>
        <v>0</v>
      </c>
      <c r="N1522" t="b">
        <f t="shared" si="216"/>
        <v>0</v>
      </c>
    </row>
    <row r="1523" spans="1:14">
      <c r="A1523" s="29">
        <v>46083</v>
      </c>
      <c r="B1523" s="30">
        <f t="shared" si="208"/>
        <v>3</v>
      </c>
      <c r="C1523" s="30">
        <f t="shared" si="211"/>
        <v>2</v>
      </c>
      <c r="D1523" s="26">
        <f>MATCH(WEEKDAY(A1523),そのた定義!A:A,0)</f>
        <v>3</v>
      </c>
      <c r="E1523" s="26" t="str">
        <f t="shared" ca="1" si="212"/>
        <v>月</v>
      </c>
      <c r="F1523" s="26">
        <f t="shared" si="213"/>
        <v>0</v>
      </c>
      <c r="G1523" s="26">
        <f>IF(ISNA(MATCH(A1523,祝日定義!E:E,0)),0,1)</f>
        <v>0</v>
      </c>
      <c r="H1523" s="26">
        <f>IF(ISNA(MATCH(B1523&amp;"/"&amp;C1523,そのた定義!E:E,0)), 0, 1)</f>
        <v>0</v>
      </c>
      <c r="I1523" s="26" t="b">
        <f t="shared" si="214"/>
        <v>0</v>
      </c>
      <c r="J1523" s="26">
        <v>2</v>
      </c>
      <c r="K1523" s="26" t="b">
        <f t="shared" si="209"/>
        <v>0</v>
      </c>
      <c r="L1523" s="26" t="b">
        <f t="shared" si="210"/>
        <v>0</v>
      </c>
      <c r="M1523" t="b">
        <f t="shared" si="215"/>
        <v>1</v>
      </c>
      <c r="N1523" t="b">
        <f t="shared" si="216"/>
        <v>0</v>
      </c>
    </row>
    <row r="1524" spans="1:14">
      <c r="A1524" s="29">
        <v>46084</v>
      </c>
      <c r="B1524" s="30">
        <f t="shared" si="208"/>
        <v>3</v>
      </c>
      <c r="C1524" s="30">
        <f t="shared" si="211"/>
        <v>3</v>
      </c>
      <c r="D1524" s="26">
        <f>MATCH(WEEKDAY(A1524),そのた定義!A:A,0)</f>
        <v>4</v>
      </c>
      <c r="E1524" s="26" t="str">
        <f t="shared" ca="1" si="212"/>
        <v>火</v>
      </c>
      <c r="F1524" s="26">
        <f t="shared" si="213"/>
        <v>0</v>
      </c>
      <c r="G1524" s="26">
        <f>IF(ISNA(MATCH(A1524,祝日定義!E:E,0)),0,1)</f>
        <v>0</v>
      </c>
      <c r="H1524" s="26">
        <f>IF(ISNA(MATCH(B1524&amp;"/"&amp;C1524,そのた定義!E:E,0)), 0, 1)</f>
        <v>0</v>
      </c>
      <c r="I1524" s="26" t="b">
        <f t="shared" si="214"/>
        <v>0</v>
      </c>
      <c r="J1524" s="26">
        <v>0</v>
      </c>
      <c r="K1524" s="26" t="b">
        <f t="shared" si="209"/>
        <v>0</v>
      </c>
      <c r="L1524" s="26" t="b">
        <f t="shared" si="210"/>
        <v>0</v>
      </c>
      <c r="M1524" t="b">
        <f t="shared" si="215"/>
        <v>0</v>
      </c>
      <c r="N1524" t="b">
        <f t="shared" si="216"/>
        <v>0</v>
      </c>
    </row>
    <row r="1525" spans="1:14">
      <c r="A1525" s="29">
        <v>46085</v>
      </c>
      <c r="B1525" s="30">
        <f t="shared" si="208"/>
        <v>3</v>
      </c>
      <c r="C1525" s="30">
        <f t="shared" si="211"/>
        <v>4</v>
      </c>
      <c r="D1525" s="26">
        <f>MATCH(WEEKDAY(A1525),そのた定義!A:A,0)</f>
        <v>5</v>
      </c>
      <c r="E1525" s="26" t="str">
        <f t="shared" ca="1" si="212"/>
        <v>水</v>
      </c>
      <c r="F1525" s="26">
        <f t="shared" si="213"/>
        <v>0</v>
      </c>
      <c r="G1525" s="26">
        <f>IF(ISNA(MATCH(A1525,祝日定義!E:E,0)),0,1)</f>
        <v>0</v>
      </c>
      <c r="H1525" s="26">
        <f>IF(ISNA(MATCH(B1525&amp;"/"&amp;C1525,そのた定義!E:E,0)), 0, 1)</f>
        <v>0</v>
      </c>
      <c r="I1525" s="26" t="b">
        <f t="shared" si="214"/>
        <v>0</v>
      </c>
      <c r="J1525" s="26">
        <v>0</v>
      </c>
      <c r="K1525" s="26" t="b">
        <f t="shared" si="209"/>
        <v>0</v>
      </c>
      <c r="L1525" s="26" t="b">
        <f t="shared" si="210"/>
        <v>0</v>
      </c>
      <c r="M1525" t="b">
        <f t="shared" si="215"/>
        <v>0</v>
      </c>
      <c r="N1525" t="b">
        <f t="shared" si="216"/>
        <v>0</v>
      </c>
    </row>
    <row r="1526" spans="1:14">
      <c r="A1526" s="29">
        <v>46086</v>
      </c>
      <c r="B1526" s="30">
        <f t="shared" si="208"/>
        <v>3</v>
      </c>
      <c r="C1526" s="30">
        <f t="shared" si="211"/>
        <v>5</v>
      </c>
      <c r="D1526" s="26">
        <f>MATCH(WEEKDAY(A1526),そのた定義!A:A,0)</f>
        <v>6</v>
      </c>
      <c r="E1526" s="26" t="str">
        <f t="shared" ca="1" si="212"/>
        <v>木</v>
      </c>
      <c r="F1526" s="26">
        <f t="shared" si="213"/>
        <v>0</v>
      </c>
      <c r="G1526" s="26">
        <f>IF(ISNA(MATCH(A1526,祝日定義!E:E,0)),0,1)</f>
        <v>0</v>
      </c>
      <c r="H1526" s="26">
        <f>IF(ISNA(MATCH(B1526&amp;"/"&amp;C1526,そのた定義!E:E,0)), 0, 1)</f>
        <v>0</v>
      </c>
      <c r="I1526" s="26" t="b">
        <f t="shared" si="214"/>
        <v>0</v>
      </c>
      <c r="J1526" s="26">
        <v>0</v>
      </c>
      <c r="K1526" s="26" t="b">
        <f t="shared" si="209"/>
        <v>0</v>
      </c>
      <c r="L1526" s="26" t="b">
        <f t="shared" si="210"/>
        <v>0</v>
      </c>
      <c r="M1526" t="b">
        <f t="shared" si="215"/>
        <v>0</v>
      </c>
      <c r="N1526" t="b">
        <f t="shared" si="216"/>
        <v>0</v>
      </c>
    </row>
    <row r="1527" spans="1:14">
      <c r="A1527" s="29">
        <v>46087</v>
      </c>
      <c r="B1527" s="30">
        <f t="shared" si="208"/>
        <v>3</v>
      </c>
      <c r="C1527" s="30">
        <f t="shared" si="211"/>
        <v>6</v>
      </c>
      <c r="D1527" s="26">
        <f>MATCH(WEEKDAY(A1527),そのた定義!A:A,0)</f>
        <v>7</v>
      </c>
      <c r="E1527" s="26" t="str">
        <f t="shared" ca="1" si="212"/>
        <v>金</v>
      </c>
      <c r="F1527" s="26">
        <f t="shared" si="213"/>
        <v>0</v>
      </c>
      <c r="G1527" s="26">
        <f>IF(ISNA(MATCH(A1527,祝日定義!E:E,0)),0,1)</f>
        <v>0</v>
      </c>
      <c r="H1527" s="26">
        <f>IF(ISNA(MATCH(B1527&amp;"/"&amp;C1527,そのた定義!E:E,0)), 0, 1)</f>
        <v>0</v>
      </c>
      <c r="I1527" s="26" t="b">
        <f t="shared" si="214"/>
        <v>0</v>
      </c>
      <c r="J1527" s="26">
        <v>0</v>
      </c>
      <c r="K1527" s="26" t="b">
        <f t="shared" si="209"/>
        <v>0</v>
      </c>
      <c r="L1527" s="26" t="b">
        <f t="shared" si="210"/>
        <v>0</v>
      </c>
      <c r="M1527" t="b">
        <f t="shared" si="215"/>
        <v>0</v>
      </c>
      <c r="N1527" t="b">
        <f t="shared" si="216"/>
        <v>0</v>
      </c>
    </row>
    <row r="1528" spans="1:14">
      <c r="A1528" s="29">
        <v>46088</v>
      </c>
      <c r="B1528" s="30">
        <f t="shared" si="208"/>
        <v>3</v>
      </c>
      <c r="C1528" s="30">
        <f t="shared" si="211"/>
        <v>7</v>
      </c>
      <c r="D1528" s="26">
        <f>MATCH(WEEKDAY(A1528),そのた定義!A:A,0)</f>
        <v>8</v>
      </c>
      <c r="E1528" s="33" t="str">
        <f t="shared" ca="1" si="212"/>
        <v>土</v>
      </c>
      <c r="F1528" s="26">
        <f t="shared" si="213"/>
        <v>1</v>
      </c>
      <c r="G1528" s="26">
        <f>IF(ISNA(MATCH(A1528,祝日定義!E:E,0)),0,1)</f>
        <v>0</v>
      </c>
      <c r="H1528" s="26">
        <f>IF(ISNA(MATCH(B1528&amp;"/"&amp;C1528,そのた定義!E:E,0)), 0, 1)</f>
        <v>0</v>
      </c>
      <c r="I1528" s="23" t="b">
        <f t="shared" si="214"/>
        <v>1</v>
      </c>
      <c r="J1528" s="26">
        <v>0</v>
      </c>
      <c r="K1528" s="26" t="b">
        <f t="shared" si="209"/>
        <v>0</v>
      </c>
      <c r="L1528" s="26" t="b">
        <f t="shared" si="210"/>
        <v>0</v>
      </c>
      <c r="M1528" t="b">
        <f t="shared" si="215"/>
        <v>0</v>
      </c>
      <c r="N1528" t="b">
        <f t="shared" si="216"/>
        <v>0</v>
      </c>
    </row>
    <row r="1529" spans="1:14">
      <c r="A1529" s="29">
        <v>46089</v>
      </c>
      <c r="B1529" s="30">
        <f t="shared" si="208"/>
        <v>3</v>
      </c>
      <c r="C1529" s="30">
        <f t="shared" si="211"/>
        <v>8</v>
      </c>
      <c r="D1529" s="26">
        <f>MATCH(WEEKDAY(A1529),そのた定義!A:A,0)</f>
        <v>2</v>
      </c>
      <c r="E1529" s="32" t="str">
        <f t="shared" ca="1" si="212"/>
        <v>日</v>
      </c>
      <c r="F1529" s="26">
        <f t="shared" si="213"/>
        <v>1</v>
      </c>
      <c r="G1529" s="26">
        <f>IF(ISNA(MATCH(A1529,祝日定義!E:E,0)),0,1)</f>
        <v>0</v>
      </c>
      <c r="H1529" s="26">
        <f>IF(ISNA(MATCH(B1529&amp;"/"&amp;C1529,そのた定義!E:E,0)), 0, 1)</f>
        <v>0</v>
      </c>
      <c r="I1529" s="23" t="b">
        <f t="shared" si="214"/>
        <v>1</v>
      </c>
      <c r="J1529" s="26">
        <v>0</v>
      </c>
      <c r="K1529" s="26" t="b">
        <f t="shared" si="209"/>
        <v>0</v>
      </c>
      <c r="L1529" s="26" t="b">
        <f t="shared" si="210"/>
        <v>0</v>
      </c>
      <c r="M1529" t="b">
        <f t="shared" si="215"/>
        <v>0</v>
      </c>
      <c r="N1529" t="b">
        <f t="shared" si="216"/>
        <v>0</v>
      </c>
    </row>
    <row r="1530" spans="1:14">
      <c r="A1530" s="29">
        <v>46090</v>
      </c>
      <c r="B1530" s="30">
        <f t="shared" si="208"/>
        <v>3</v>
      </c>
      <c r="C1530" s="30">
        <f t="shared" si="211"/>
        <v>9</v>
      </c>
      <c r="D1530" s="26">
        <f>MATCH(WEEKDAY(A1530),そのた定義!A:A,0)</f>
        <v>3</v>
      </c>
      <c r="E1530" s="26" t="str">
        <f t="shared" ca="1" si="212"/>
        <v>月</v>
      </c>
      <c r="F1530" s="26">
        <f t="shared" si="213"/>
        <v>0</v>
      </c>
      <c r="G1530" s="26">
        <f>IF(ISNA(MATCH(A1530,祝日定義!E:E,0)),0,1)</f>
        <v>0</v>
      </c>
      <c r="H1530" s="26">
        <f>IF(ISNA(MATCH(B1530&amp;"/"&amp;C1530,そのた定義!E:E,0)), 0, 1)</f>
        <v>0</v>
      </c>
      <c r="I1530" s="26" t="b">
        <f t="shared" si="214"/>
        <v>0</v>
      </c>
      <c r="J1530" s="26">
        <v>2</v>
      </c>
      <c r="K1530" s="26" t="b">
        <f t="shared" si="209"/>
        <v>0</v>
      </c>
      <c r="L1530" s="26" t="b">
        <f t="shared" si="210"/>
        <v>0</v>
      </c>
      <c r="M1530" t="b">
        <f t="shared" si="215"/>
        <v>0</v>
      </c>
      <c r="N1530" t="b">
        <f t="shared" si="216"/>
        <v>0</v>
      </c>
    </row>
    <row r="1531" spans="1:14">
      <c r="A1531" s="29">
        <v>46091</v>
      </c>
      <c r="B1531" s="30">
        <f t="shared" si="208"/>
        <v>3</v>
      </c>
      <c r="C1531" s="30">
        <f t="shared" si="211"/>
        <v>10</v>
      </c>
      <c r="D1531" s="26">
        <f>MATCH(WEEKDAY(A1531),そのた定義!A:A,0)</f>
        <v>4</v>
      </c>
      <c r="E1531" s="26" t="str">
        <f t="shared" ca="1" si="212"/>
        <v>火</v>
      </c>
      <c r="F1531" s="26">
        <f t="shared" si="213"/>
        <v>0</v>
      </c>
      <c r="G1531" s="26">
        <f>IF(ISNA(MATCH(A1531,祝日定義!E:E,0)),0,1)</f>
        <v>0</v>
      </c>
      <c r="H1531" s="26">
        <f>IF(ISNA(MATCH(B1531&amp;"/"&amp;C1531,そのた定義!E:E,0)), 0, 1)</f>
        <v>0</v>
      </c>
      <c r="I1531" s="26" t="b">
        <f t="shared" si="214"/>
        <v>0</v>
      </c>
      <c r="J1531" s="26">
        <v>0</v>
      </c>
      <c r="K1531" s="26" t="b">
        <f t="shared" si="209"/>
        <v>0</v>
      </c>
      <c r="L1531" s="26" t="b">
        <f t="shared" si="210"/>
        <v>0</v>
      </c>
      <c r="M1531" t="b">
        <f t="shared" si="215"/>
        <v>0</v>
      </c>
      <c r="N1531" t="b">
        <f t="shared" si="216"/>
        <v>0</v>
      </c>
    </row>
    <row r="1532" spans="1:14">
      <c r="A1532" s="29">
        <v>46092</v>
      </c>
      <c r="B1532" s="30">
        <f t="shared" si="208"/>
        <v>3</v>
      </c>
      <c r="C1532" s="30">
        <f t="shared" si="211"/>
        <v>11</v>
      </c>
      <c r="D1532" s="26">
        <f>MATCH(WEEKDAY(A1532),そのた定義!A:A,0)</f>
        <v>5</v>
      </c>
      <c r="E1532" s="26" t="str">
        <f t="shared" ca="1" si="212"/>
        <v>水</v>
      </c>
      <c r="F1532" s="26">
        <f t="shared" si="213"/>
        <v>0</v>
      </c>
      <c r="G1532" s="26">
        <f>IF(ISNA(MATCH(A1532,祝日定義!E:E,0)),0,1)</f>
        <v>0</v>
      </c>
      <c r="H1532" s="26">
        <f>IF(ISNA(MATCH(B1532&amp;"/"&amp;C1532,そのた定義!E:E,0)), 0, 1)</f>
        <v>0</v>
      </c>
      <c r="I1532" s="26" t="b">
        <f t="shared" si="214"/>
        <v>0</v>
      </c>
      <c r="J1532" s="26">
        <v>0</v>
      </c>
      <c r="K1532" s="26" t="b">
        <f t="shared" si="209"/>
        <v>0</v>
      </c>
      <c r="L1532" s="26" t="b">
        <f t="shared" si="210"/>
        <v>0</v>
      </c>
      <c r="M1532" t="b">
        <f t="shared" si="215"/>
        <v>0</v>
      </c>
      <c r="N1532" t="b">
        <f t="shared" si="216"/>
        <v>0</v>
      </c>
    </row>
    <row r="1533" spans="1:14">
      <c r="A1533" s="29">
        <v>46093</v>
      </c>
      <c r="B1533" s="30">
        <f t="shared" si="208"/>
        <v>3</v>
      </c>
      <c r="C1533" s="30">
        <f t="shared" si="211"/>
        <v>12</v>
      </c>
      <c r="D1533" s="26">
        <f>MATCH(WEEKDAY(A1533),そのた定義!A:A,0)</f>
        <v>6</v>
      </c>
      <c r="E1533" s="26" t="str">
        <f t="shared" ca="1" si="212"/>
        <v>木</v>
      </c>
      <c r="F1533" s="26">
        <f t="shared" si="213"/>
        <v>0</v>
      </c>
      <c r="G1533" s="26">
        <f>IF(ISNA(MATCH(A1533,祝日定義!E:E,0)),0,1)</f>
        <v>0</v>
      </c>
      <c r="H1533" s="26">
        <f>IF(ISNA(MATCH(B1533&amp;"/"&amp;C1533,そのた定義!E:E,0)), 0, 1)</f>
        <v>0</v>
      </c>
      <c r="I1533" s="26" t="b">
        <f t="shared" si="214"/>
        <v>0</v>
      </c>
      <c r="J1533" s="26">
        <v>0</v>
      </c>
      <c r="K1533" s="26" t="b">
        <f t="shared" si="209"/>
        <v>0</v>
      </c>
      <c r="L1533" s="26" t="b">
        <f t="shared" si="210"/>
        <v>0</v>
      </c>
      <c r="M1533" t="b">
        <f t="shared" si="215"/>
        <v>0</v>
      </c>
      <c r="N1533" t="b">
        <f t="shared" si="216"/>
        <v>0</v>
      </c>
    </row>
    <row r="1534" spans="1:14">
      <c r="A1534" s="29">
        <v>46094</v>
      </c>
      <c r="B1534" s="30">
        <f t="shared" si="208"/>
        <v>3</v>
      </c>
      <c r="C1534" s="30">
        <f t="shared" si="211"/>
        <v>13</v>
      </c>
      <c r="D1534" s="26">
        <f>MATCH(WEEKDAY(A1534),そのた定義!A:A,0)</f>
        <v>7</v>
      </c>
      <c r="E1534" s="26" t="str">
        <f t="shared" ca="1" si="212"/>
        <v>金</v>
      </c>
      <c r="F1534" s="26">
        <f t="shared" si="213"/>
        <v>0</v>
      </c>
      <c r="G1534" s="26">
        <f>IF(ISNA(MATCH(A1534,祝日定義!E:E,0)),0,1)</f>
        <v>0</v>
      </c>
      <c r="H1534" s="26">
        <f>IF(ISNA(MATCH(B1534&amp;"/"&amp;C1534,そのた定義!E:E,0)), 0, 1)</f>
        <v>0</v>
      </c>
      <c r="I1534" s="26" t="b">
        <f t="shared" si="214"/>
        <v>0</v>
      </c>
      <c r="J1534" s="26">
        <v>0</v>
      </c>
      <c r="K1534" s="26" t="b">
        <f t="shared" si="209"/>
        <v>0</v>
      </c>
      <c r="L1534" s="26" t="b">
        <f t="shared" si="210"/>
        <v>0</v>
      </c>
      <c r="M1534" t="b">
        <f t="shared" si="215"/>
        <v>0</v>
      </c>
      <c r="N1534" t="b">
        <f t="shared" si="216"/>
        <v>0</v>
      </c>
    </row>
    <row r="1535" spans="1:14">
      <c r="A1535" s="29">
        <v>46095</v>
      </c>
      <c r="B1535" s="30">
        <f t="shared" si="208"/>
        <v>3</v>
      </c>
      <c r="C1535" s="30">
        <f t="shared" si="211"/>
        <v>14</v>
      </c>
      <c r="D1535" s="26">
        <f>MATCH(WEEKDAY(A1535),そのた定義!A:A,0)</f>
        <v>8</v>
      </c>
      <c r="E1535" s="33" t="str">
        <f t="shared" ca="1" si="212"/>
        <v>土</v>
      </c>
      <c r="F1535" s="26">
        <f t="shared" si="213"/>
        <v>1</v>
      </c>
      <c r="G1535" s="26">
        <f>IF(ISNA(MATCH(A1535,祝日定義!E:E,0)),0,1)</f>
        <v>0</v>
      </c>
      <c r="H1535" s="26">
        <f>IF(ISNA(MATCH(B1535&amp;"/"&amp;C1535,そのた定義!E:E,0)), 0, 1)</f>
        <v>0</v>
      </c>
      <c r="I1535" s="23" t="b">
        <f t="shared" si="214"/>
        <v>1</v>
      </c>
      <c r="J1535" s="26">
        <v>0</v>
      </c>
      <c r="K1535" s="26" t="b">
        <f t="shared" si="209"/>
        <v>0</v>
      </c>
      <c r="L1535" s="26" t="b">
        <f t="shared" si="210"/>
        <v>0</v>
      </c>
      <c r="M1535" t="b">
        <f t="shared" si="215"/>
        <v>0</v>
      </c>
      <c r="N1535" t="b">
        <f t="shared" si="216"/>
        <v>0</v>
      </c>
    </row>
    <row r="1536" spans="1:14">
      <c r="A1536" s="29">
        <v>46096</v>
      </c>
      <c r="B1536" s="30">
        <f t="shared" si="208"/>
        <v>3</v>
      </c>
      <c r="C1536" s="30">
        <f t="shared" si="211"/>
        <v>15</v>
      </c>
      <c r="D1536" s="26">
        <f>MATCH(WEEKDAY(A1536),そのた定義!A:A,0)</f>
        <v>2</v>
      </c>
      <c r="E1536" s="32" t="str">
        <f t="shared" ca="1" si="212"/>
        <v>日</v>
      </c>
      <c r="F1536" s="26">
        <f t="shared" si="213"/>
        <v>1</v>
      </c>
      <c r="G1536" s="26">
        <f>IF(ISNA(MATCH(A1536,祝日定義!E:E,0)),0,1)</f>
        <v>0</v>
      </c>
      <c r="H1536" s="26">
        <f>IF(ISNA(MATCH(B1536&amp;"/"&amp;C1536,そのた定義!E:E,0)), 0, 1)</f>
        <v>0</v>
      </c>
      <c r="I1536" s="23" t="b">
        <f t="shared" si="214"/>
        <v>1</v>
      </c>
      <c r="J1536" s="26">
        <v>0</v>
      </c>
      <c r="K1536" s="26" t="b">
        <f t="shared" si="209"/>
        <v>0</v>
      </c>
      <c r="L1536" s="26" t="b">
        <f t="shared" si="210"/>
        <v>0</v>
      </c>
      <c r="M1536" t="b">
        <f t="shared" si="215"/>
        <v>0</v>
      </c>
      <c r="N1536" t="b">
        <f t="shared" si="216"/>
        <v>0</v>
      </c>
    </row>
    <row r="1537" spans="1:14">
      <c r="A1537" s="29">
        <v>46097</v>
      </c>
      <c r="B1537" s="30">
        <f t="shared" si="208"/>
        <v>3</v>
      </c>
      <c r="C1537" s="30">
        <f t="shared" si="211"/>
        <v>16</v>
      </c>
      <c r="D1537" s="26">
        <f>MATCH(WEEKDAY(A1537),そのた定義!A:A,0)</f>
        <v>3</v>
      </c>
      <c r="E1537" s="26" t="str">
        <f t="shared" ca="1" si="212"/>
        <v>月</v>
      </c>
      <c r="F1537" s="26">
        <f t="shared" si="213"/>
        <v>0</v>
      </c>
      <c r="G1537" s="26">
        <f>IF(ISNA(MATCH(A1537,祝日定義!E:E,0)),0,1)</f>
        <v>0</v>
      </c>
      <c r="H1537" s="26">
        <f>IF(ISNA(MATCH(B1537&amp;"/"&amp;C1537,そのた定義!E:E,0)), 0, 1)</f>
        <v>0</v>
      </c>
      <c r="I1537" s="26" t="b">
        <f t="shared" si="214"/>
        <v>0</v>
      </c>
      <c r="J1537" s="26">
        <v>2</v>
      </c>
      <c r="K1537" s="26" t="b">
        <f t="shared" si="209"/>
        <v>0</v>
      </c>
      <c r="L1537" s="26" t="b">
        <f t="shared" si="210"/>
        <v>0</v>
      </c>
      <c r="M1537" t="b">
        <f t="shared" si="215"/>
        <v>0</v>
      </c>
      <c r="N1537" t="b">
        <f t="shared" si="216"/>
        <v>0</v>
      </c>
    </row>
    <row r="1538" spans="1:14">
      <c r="A1538" s="29">
        <v>46098</v>
      </c>
      <c r="B1538" s="30">
        <f t="shared" ref="B1538:B1601" si="217">MONTH(A1538)</f>
        <v>3</v>
      </c>
      <c r="C1538" s="30">
        <f t="shared" si="211"/>
        <v>17</v>
      </c>
      <c r="D1538" s="26">
        <f>MATCH(WEEKDAY(A1538),そのた定義!A:A,0)</f>
        <v>4</v>
      </c>
      <c r="E1538" s="26" t="str">
        <f t="shared" ca="1" si="212"/>
        <v>火</v>
      </c>
      <c r="F1538" s="26">
        <f t="shared" si="213"/>
        <v>0</v>
      </c>
      <c r="G1538" s="26">
        <f>IF(ISNA(MATCH(A1538,祝日定義!E:E,0)),0,1)</f>
        <v>0</v>
      </c>
      <c r="H1538" s="26">
        <f>IF(ISNA(MATCH(B1538&amp;"/"&amp;C1538,そのた定義!E:E,0)), 0, 1)</f>
        <v>0</v>
      </c>
      <c r="I1538" s="26" t="b">
        <f t="shared" si="214"/>
        <v>0</v>
      </c>
      <c r="J1538" s="26">
        <v>0</v>
      </c>
      <c r="K1538" s="26" t="b">
        <f t="shared" ref="K1538:K1601" si="218">AND(C1538&gt;25,DAY(A1538-J1538)&lt;=25)</f>
        <v>0</v>
      </c>
      <c r="L1538" s="26" t="b">
        <f t="shared" ref="L1538:L1601" si="219">C1538=25</f>
        <v>0</v>
      </c>
      <c r="M1538" t="b">
        <f t="shared" si="215"/>
        <v>0</v>
      </c>
      <c r="N1538" t="b">
        <f t="shared" si="216"/>
        <v>0</v>
      </c>
    </row>
    <row r="1539" spans="1:14">
      <c r="A1539" s="29">
        <v>46099</v>
      </c>
      <c r="B1539" s="30">
        <f t="shared" si="217"/>
        <v>3</v>
      </c>
      <c r="C1539" s="30">
        <f t="shared" ref="C1539:C1602" si="220">DAY(A1539)</f>
        <v>18</v>
      </c>
      <c r="D1539" s="26">
        <f>MATCH(WEEKDAY(A1539),そのた定義!A:A,0)</f>
        <v>5</v>
      </c>
      <c r="E1539" s="26" t="str">
        <f t="shared" ref="E1539:E1602" ca="1" si="221">INDIRECT("そのた定義!"&amp;"B"&amp;D1539)</f>
        <v>水</v>
      </c>
      <c r="F1539" s="26">
        <f t="shared" ref="F1539:F1602" si="222">IF(OR(D1539=8,D1539=2),1,0)</f>
        <v>0</v>
      </c>
      <c r="G1539" s="26">
        <f>IF(ISNA(MATCH(A1539,祝日定義!E:E,0)),0,1)</f>
        <v>0</v>
      </c>
      <c r="H1539" s="26">
        <f>IF(ISNA(MATCH(B1539&amp;"/"&amp;C1539,そのた定義!E:E,0)), 0, 1)</f>
        <v>0</v>
      </c>
      <c r="I1539" s="26" t="b">
        <f t="shared" ref="I1539:I1602" si="223">SUM(F1539:H1539)&gt;0</f>
        <v>0</v>
      </c>
      <c r="J1539" s="26">
        <v>0</v>
      </c>
      <c r="K1539" s="26" t="b">
        <f t="shared" si="218"/>
        <v>0</v>
      </c>
      <c r="L1539" s="26" t="b">
        <f t="shared" si="219"/>
        <v>0</v>
      </c>
      <c r="M1539" t="b">
        <f t="shared" ref="M1539:M1602" si="224">B1539&lt;&gt;MONTH(A1539-J1539)</f>
        <v>0</v>
      </c>
      <c r="N1539" t="b">
        <f t="shared" ref="N1539:N1602" si="225">B1539&lt;&gt;MONTH(A1539+1)</f>
        <v>0</v>
      </c>
    </row>
    <row r="1540" spans="1:14">
      <c r="A1540" s="29">
        <v>46100</v>
      </c>
      <c r="B1540" s="30">
        <f t="shared" si="217"/>
        <v>3</v>
      </c>
      <c r="C1540" s="30">
        <f t="shared" si="220"/>
        <v>19</v>
      </c>
      <c r="D1540" s="26">
        <f>MATCH(WEEKDAY(A1540),そのた定義!A:A,0)</f>
        <v>6</v>
      </c>
      <c r="E1540" s="26" t="str">
        <f t="shared" ca="1" si="221"/>
        <v>木</v>
      </c>
      <c r="F1540" s="26">
        <f t="shared" si="222"/>
        <v>0</v>
      </c>
      <c r="G1540" s="26">
        <f>IF(ISNA(MATCH(A1540,祝日定義!E:E,0)),0,1)</f>
        <v>0</v>
      </c>
      <c r="H1540" s="26">
        <f>IF(ISNA(MATCH(B1540&amp;"/"&amp;C1540,そのた定義!E:E,0)), 0, 1)</f>
        <v>0</v>
      </c>
      <c r="I1540" s="26" t="b">
        <f t="shared" si="223"/>
        <v>0</v>
      </c>
      <c r="J1540" s="26">
        <v>0</v>
      </c>
      <c r="K1540" s="26" t="b">
        <f t="shared" si="218"/>
        <v>0</v>
      </c>
      <c r="L1540" s="26" t="b">
        <f t="shared" si="219"/>
        <v>0</v>
      </c>
      <c r="M1540" t="b">
        <f t="shared" si="224"/>
        <v>0</v>
      </c>
      <c r="N1540" t="b">
        <f t="shared" si="225"/>
        <v>0</v>
      </c>
    </row>
    <row r="1541" spans="1:14">
      <c r="A1541" s="29">
        <v>46101</v>
      </c>
      <c r="B1541" s="30">
        <f t="shared" si="217"/>
        <v>3</v>
      </c>
      <c r="C1541" s="30">
        <f t="shared" si="220"/>
        <v>20</v>
      </c>
      <c r="D1541" s="26">
        <f>MATCH(WEEKDAY(A1541),そのた定義!A:A,0)</f>
        <v>7</v>
      </c>
      <c r="E1541" s="31" t="str">
        <f t="shared" ca="1" si="221"/>
        <v>金</v>
      </c>
      <c r="F1541" s="26">
        <f t="shared" si="222"/>
        <v>0</v>
      </c>
      <c r="G1541" s="26">
        <f>IF(ISNA(MATCH(A1541,祝日定義!E:E,0)),0,1)</f>
        <v>1</v>
      </c>
      <c r="H1541" s="26">
        <f>IF(ISNA(MATCH(B1541&amp;"/"&amp;C1541,そのた定義!E:E,0)), 0, 1)</f>
        <v>0</v>
      </c>
      <c r="I1541" s="23" t="b">
        <f t="shared" si="223"/>
        <v>1</v>
      </c>
      <c r="J1541" s="26">
        <v>0</v>
      </c>
      <c r="K1541" s="26" t="b">
        <f t="shared" si="218"/>
        <v>0</v>
      </c>
      <c r="L1541" s="26" t="b">
        <f t="shared" si="219"/>
        <v>0</v>
      </c>
      <c r="M1541" t="b">
        <f t="shared" si="224"/>
        <v>0</v>
      </c>
      <c r="N1541" t="b">
        <f t="shared" si="225"/>
        <v>0</v>
      </c>
    </row>
    <row r="1542" spans="1:14">
      <c r="A1542" s="29">
        <v>46102</v>
      </c>
      <c r="B1542" s="30">
        <f t="shared" si="217"/>
        <v>3</v>
      </c>
      <c r="C1542" s="30">
        <f t="shared" si="220"/>
        <v>21</v>
      </c>
      <c r="D1542" s="26">
        <f>MATCH(WEEKDAY(A1542),そのた定義!A:A,0)</f>
        <v>8</v>
      </c>
      <c r="E1542" s="33" t="str">
        <f t="shared" ca="1" si="221"/>
        <v>土</v>
      </c>
      <c r="F1542" s="26">
        <f t="shared" si="222"/>
        <v>1</v>
      </c>
      <c r="G1542" s="26">
        <f>IF(ISNA(MATCH(A1542,祝日定義!E:E,0)),0,1)</f>
        <v>0</v>
      </c>
      <c r="H1542" s="26">
        <f>IF(ISNA(MATCH(B1542&amp;"/"&amp;C1542,そのた定義!E:E,0)), 0, 1)</f>
        <v>0</v>
      </c>
      <c r="I1542" s="23" t="b">
        <f t="shared" si="223"/>
        <v>1</v>
      </c>
      <c r="J1542" s="26">
        <v>0</v>
      </c>
      <c r="K1542" s="26" t="b">
        <f t="shared" si="218"/>
        <v>0</v>
      </c>
      <c r="L1542" s="26" t="b">
        <f t="shared" si="219"/>
        <v>0</v>
      </c>
      <c r="M1542" t="b">
        <f t="shared" si="224"/>
        <v>0</v>
      </c>
      <c r="N1542" t="b">
        <f t="shared" si="225"/>
        <v>0</v>
      </c>
    </row>
    <row r="1543" spans="1:14">
      <c r="A1543" s="29">
        <v>46103</v>
      </c>
      <c r="B1543" s="30">
        <f t="shared" si="217"/>
        <v>3</v>
      </c>
      <c r="C1543" s="30">
        <f t="shared" si="220"/>
        <v>22</v>
      </c>
      <c r="D1543" s="26">
        <f>MATCH(WEEKDAY(A1543),そのた定義!A:A,0)</f>
        <v>2</v>
      </c>
      <c r="E1543" s="32" t="str">
        <f t="shared" ca="1" si="221"/>
        <v>日</v>
      </c>
      <c r="F1543" s="26">
        <f t="shared" si="222"/>
        <v>1</v>
      </c>
      <c r="G1543" s="26">
        <f>IF(ISNA(MATCH(A1543,祝日定義!E:E,0)),0,1)</f>
        <v>0</v>
      </c>
      <c r="H1543" s="26">
        <f>IF(ISNA(MATCH(B1543&amp;"/"&amp;C1543,そのた定義!E:E,0)), 0, 1)</f>
        <v>0</v>
      </c>
      <c r="I1543" s="23" t="b">
        <f t="shared" si="223"/>
        <v>1</v>
      </c>
      <c r="J1543" s="26">
        <v>0</v>
      </c>
      <c r="K1543" s="26" t="b">
        <f t="shared" si="218"/>
        <v>0</v>
      </c>
      <c r="L1543" s="26" t="b">
        <f t="shared" si="219"/>
        <v>0</v>
      </c>
      <c r="M1543" t="b">
        <f t="shared" si="224"/>
        <v>0</v>
      </c>
      <c r="N1543" t="b">
        <f t="shared" si="225"/>
        <v>0</v>
      </c>
    </row>
    <row r="1544" spans="1:14">
      <c r="A1544" s="29">
        <v>46104</v>
      </c>
      <c r="B1544" s="30">
        <f t="shared" si="217"/>
        <v>3</v>
      </c>
      <c r="C1544" s="30">
        <f t="shared" si="220"/>
        <v>23</v>
      </c>
      <c r="D1544" s="26">
        <f>MATCH(WEEKDAY(A1544),そのた定義!A:A,0)</f>
        <v>3</v>
      </c>
      <c r="E1544" s="26" t="str">
        <f t="shared" ca="1" si="221"/>
        <v>月</v>
      </c>
      <c r="F1544" s="26">
        <f t="shared" si="222"/>
        <v>0</v>
      </c>
      <c r="G1544" s="26">
        <f>IF(ISNA(MATCH(A1544,祝日定義!E:E,0)),0,1)</f>
        <v>0</v>
      </c>
      <c r="H1544" s="26">
        <f>IF(ISNA(MATCH(B1544&amp;"/"&amp;C1544,そのた定義!E:E,0)), 0, 1)</f>
        <v>0</v>
      </c>
      <c r="I1544" s="26" t="b">
        <f t="shared" si="223"/>
        <v>0</v>
      </c>
      <c r="J1544" s="26">
        <v>3</v>
      </c>
      <c r="K1544" s="26" t="b">
        <f t="shared" si="218"/>
        <v>0</v>
      </c>
      <c r="L1544" s="26" t="b">
        <f t="shared" si="219"/>
        <v>0</v>
      </c>
      <c r="M1544" t="b">
        <f t="shared" si="224"/>
        <v>0</v>
      </c>
      <c r="N1544" t="b">
        <f t="shared" si="225"/>
        <v>0</v>
      </c>
    </row>
    <row r="1545" spans="1:14">
      <c r="A1545" s="29">
        <v>46105</v>
      </c>
      <c r="B1545" s="30">
        <f t="shared" si="217"/>
        <v>3</v>
      </c>
      <c r="C1545" s="30">
        <f t="shared" si="220"/>
        <v>24</v>
      </c>
      <c r="D1545" s="26">
        <f>MATCH(WEEKDAY(A1545),そのた定義!A:A,0)</f>
        <v>4</v>
      </c>
      <c r="E1545" s="26" t="str">
        <f t="shared" ca="1" si="221"/>
        <v>火</v>
      </c>
      <c r="F1545" s="26">
        <f t="shared" si="222"/>
        <v>0</v>
      </c>
      <c r="G1545" s="26">
        <f>IF(ISNA(MATCH(A1545,祝日定義!E:E,0)),0,1)</f>
        <v>0</v>
      </c>
      <c r="H1545" s="26">
        <f>IF(ISNA(MATCH(B1545&amp;"/"&amp;C1545,そのた定義!E:E,0)), 0, 1)</f>
        <v>0</v>
      </c>
      <c r="I1545" s="26" t="b">
        <f t="shared" si="223"/>
        <v>0</v>
      </c>
      <c r="J1545" s="26">
        <v>0</v>
      </c>
      <c r="K1545" s="26" t="b">
        <f t="shared" si="218"/>
        <v>0</v>
      </c>
      <c r="L1545" s="26" t="b">
        <f t="shared" si="219"/>
        <v>0</v>
      </c>
      <c r="M1545" t="b">
        <f t="shared" si="224"/>
        <v>0</v>
      </c>
      <c r="N1545" t="b">
        <f t="shared" si="225"/>
        <v>0</v>
      </c>
    </row>
    <row r="1546" spans="1:14">
      <c r="A1546" s="29">
        <v>46106</v>
      </c>
      <c r="B1546" s="30">
        <f t="shared" si="217"/>
        <v>3</v>
      </c>
      <c r="C1546" s="30">
        <f t="shared" si="220"/>
        <v>25</v>
      </c>
      <c r="D1546" s="26">
        <f>MATCH(WEEKDAY(A1546),そのた定義!A:A,0)</f>
        <v>5</v>
      </c>
      <c r="E1546" s="26" t="str">
        <f t="shared" ca="1" si="221"/>
        <v>水</v>
      </c>
      <c r="F1546" s="26">
        <f t="shared" si="222"/>
        <v>0</v>
      </c>
      <c r="G1546" s="26">
        <f>IF(ISNA(MATCH(A1546,祝日定義!E:E,0)),0,1)</f>
        <v>0</v>
      </c>
      <c r="H1546" s="26">
        <f>IF(ISNA(MATCH(B1546&amp;"/"&amp;C1546,そのた定義!E:E,0)), 0, 1)</f>
        <v>0</v>
      </c>
      <c r="I1546" s="26" t="b">
        <f t="shared" si="223"/>
        <v>0</v>
      </c>
      <c r="J1546" s="26">
        <v>0</v>
      </c>
      <c r="K1546" s="26" t="b">
        <f t="shared" si="218"/>
        <v>0</v>
      </c>
      <c r="L1546" s="23" t="b">
        <f t="shared" si="219"/>
        <v>1</v>
      </c>
      <c r="M1546" t="b">
        <f t="shared" si="224"/>
        <v>0</v>
      </c>
      <c r="N1546" t="b">
        <f t="shared" si="225"/>
        <v>0</v>
      </c>
    </row>
    <row r="1547" spans="1:14">
      <c r="A1547" s="29">
        <v>46107</v>
      </c>
      <c r="B1547" s="30">
        <f t="shared" si="217"/>
        <v>3</v>
      </c>
      <c r="C1547" s="30">
        <f t="shared" si="220"/>
        <v>26</v>
      </c>
      <c r="D1547" s="26">
        <f>MATCH(WEEKDAY(A1547),そのた定義!A:A,0)</f>
        <v>6</v>
      </c>
      <c r="E1547" s="26" t="str">
        <f t="shared" ca="1" si="221"/>
        <v>木</v>
      </c>
      <c r="F1547" s="26">
        <f t="shared" si="222"/>
        <v>0</v>
      </c>
      <c r="G1547" s="26">
        <f>IF(ISNA(MATCH(A1547,祝日定義!E:E,0)),0,1)</f>
        <v>0</v>
      </c>
      <c r="H1547" s="26">
        <f>IF(ISNA(MATCH(B1547&amp;"/"&amp;C1547,そのた定義!E:E,0)), 0, 1)</f>
        <v>0</v>
      </c>
      <c r="I1547" s="26" t="b">
        <f t="shared" si="223"/>
        <v>0</v>
      </c>
      <c r="J1547" s="26">
        <v>0</v>
      </c>
      <c r="K1547" s="26" t="b">
        <f t="shared" si="218"/>
        <v>0</v>
      </c>
      <c r="L1547" s="26" t="b">
        <f t="shared" si="219"/>
        <v>0</v>
      </c>
      <c r="M1547" t="b">
        <f t="shared" si="224"/>
        <v>0</v>
      </c>
      <c r="N1547" t="b">
        <f t="shared" si="225"/>
        <v>0</v>
      </c>
    </row>
    <row r="1548" spans="1:14">
      <c r="A1548" s="29">
        <v>46108</v>
      </c>
      <c r="B1548" s="30">
        <f t="shared" si="217"/>
        <v>3</v>
      </c>
      <c r="C1548" s="30">
        <f t="shared" si="220"/>
        <v>27</v>
      </c>
      <c r="D1548" s="26">
        <f>MATCH(WEEKDAY(A1548),そのた定義!A:A,0)</f>
        <v>7</v>
      </c>
      <c r="E1548" s="26" t="str">
        <f t="shared" ca="1" si="221"/>
        <v>金</v>
      </c>
      <c r="F1548" s="26">
        <f t="shared" si="222"/>
        <v>0</v>
      </c>
      <c r="G1548" s="26">
        <f>IF(ISNA(MATCH(A1548,祝日定義!E:E,0)),0,1)</f>
        <v>0</v>
      </c>
      <c r="H1548" s="26">
        <f>IF(ISNA(MATCH(B1548&amp;"/"&amp;C1548,そのた定義!E:E,0)), 0, 1)</f>
        <v>0</v>
      </c>
      <c r="I1548" s="26" t="b">
        <f t="shared" si="223"/>
        <v>0</v>
      </c>
      <c r="J1548" s="26">
        <v>0</v>
      </c>
      <c r="K1548" s="26" t="b">
        <f t="shared" si="218"/>
        <v>0</v>
      </c>
      <c r="L1548" s="26" t="b">
        <f t="shared" si="219"/>
        <v>0</v>
      </c>
      <c r="M1548" t="b">
        <f t="shared" si="224"/>
        <v>0</v>
      </c>
      <c r="N1548" t="b">
        <f t="shared" si="225"/>
        <v>0</v>
      </c>
    </row>
    <row r="1549" spans="1:14">
      <c r="A1549" s="29">
        <v>46109</v>
      </c>
      <c r="B1549" s="30">
        <f t="shared" si="217"/>
        <v>3</v>
      </c>
      <c r="C1549" s="30">
        <f t="shared" si="220"/>
        <v>28</v>
      </c>
      <c r="D1549" s="26">
        <f>MATCH(WEEKDAY(A1549),そのた定義!A:A,0)</f>
        <v>8</v>
      </c>
      <c r="E1549" s="33" t="str">
        <f t="shared" ca="1" si="221"/>
        <v>土</v>
      </c>
      <c r="F1549" s="26">
        <f t="shared" si="222"/>
        <v>1</v>
      </c>
      <c r="G1549" s="26">
        <f>IF(ISNA(MATCH(A1549,祝日定義!E:E,0)),0,1)</f>
        <v>0</v>
      </c>
      <c r="H1549" s="26">
        <f>IF(ISNA(MATCH(B1549&amp;"/"&amp;C1549,そのた定義!E:E,0)), 0, 1)</f>
        <v>0</v>
      </c>
      <c r="I1549" s="23" t="b">
        <f t="shared" si="223"/>
        <v>1</v>
      </c>
      <c r="J1549" s="26">
        <v>0</v>
      </c>
      <c r="K1549" s="26" t="b">
        <f t="shared" si="218"/>
        <v>0</v>
      </c>
      <c r="L1549" s="26" t="b">
        <f t="shared" si="219"/>
        <v>0</v>
      </c>
      <c r="M1549" t="b">
        <f t="shared" si="224"/>
        <v>0</v>
      </c>
      <c r="N1549" t="b">
        <f t="shared" si="225"/>
        <v>0</v>
      </c>
    </row>
    <row r="1550" spans="1:14">
      <c r="A1550" s="29">
        <v>46110</v>
      </c>
      <c r="B1550" s="30">
        <f t="shared" si="217"/>
        <v>3</v>
      </c>
      <c r="C1550" s="30">
        <f t="shared" si="220"/>
        <v>29</v>
      </c>
      <c r="D1550" s="26">
        <f>MATCH(WEEKDAY(A1550),そのた定義!A:A,0)</f>
        <v>2</v>
      </c>
      <c r="E1550" s="32" t="str">
        <f t="shared" ca="1" si="221"/>
        <v>日</v>
      </c>
      <c r="F1550" s="26">
        <f t="shared" si="222"/>
        <v>1</v>
      </c>
      <c r="G1550" s="26">
        <f>IF(ISNA(MATCH(A1550,祝日定義!E:E,0)),0,1)</f>
        <v>0</v>
      </c>
      <c r="H1550" s="26">
        <f>IF(ISNA(MATCH(B1550&amp;"/"&amp;C1550,そのた定義!E:E,0)), 0, 1)</f>
        <v>0</v>
      </c>
      <c r="I1550" s="23" t="b">
        <f t="shared" si="223"/>
        <v>1</v>
      </c>
      <c r="J1550" s="26">
        <v>0</v>
      </c>
      <c r="K1550" s="26" t="b">
        <f t="shared" si="218"/>
        <v>0</v>
      </c>
      <c r="L1550" s="26" t="b">
        <f t="shared" si="219"/>
        <v>0</v>
      </c>
      <c r="M1550" t="b">
        <f t="shared" si="224"/>
        <v>0</v>
      </c>
      <c r="N1550" t="b">
        <f t="shared" si="225"/>
        <v>0</v>
      </c>
    </row>
    <row r="1551" spans="1:14">
      <c r="A1551" s="29">
        <v>46111</v>
      </c>
      <c r="B1551" s="30">
        <f t="shared" si="217"/>
        <v>3</v>
      </c>
      <c r="C1551" s="30">
        <f t="shared" si="220"/>
        <v>30</v>
      </c>
      <c r="D1551" s="26">
        <f>MATCH(WEEKDAY(A1551),そのた定義!A:A,0)</f>
        <v>3</v>
      </c>
      <c r="E1551" s="26" t="str">
        <f t="shared" ca="1" si="221"/>
        <v>月</v>
      </c>
      <c r="F1551" s="26">
        <f t="shared" si="222"/>
        <v>0</v>
      </c>
      <c r="G1551" s="26">
        <f>IF(ISNA(MATCH(A1551,祝日定義!E:E,0)),0,1)</f>
        <v>0</v>
      </c>
      <c r="H1551" s="26">
        <f>IF(ISNA(MATCH(B1551&amp;"/"&amp;C1551,そのた定義!E:E,0)), 0, 1)</f>
        <v>0</v>
      </c>
      <c r="I1551" s="26" t="b">
        <f t="shared" si="223"/>
        <v>0</v>
      </c>
      <c r="J1551" s="26">
        <v>2</v>
      </c>
      <c r="K1551" s="26" t="b">
        <f t="shared" si="218"/>
        <v>0</v>
      </c>
      <c r="L1551" s="26" t="b">
        <f t="shared" si="219"/>
        <v>0</v>
      </c>
      <c r="M1551" t="b">
        <f t="shared" si="224"/>
        <v>0</v>
      </c>
      <c r="N1551" t="b">
        <f t="shared" si="225"/>
        <v>0</v>
      </c>
    </row>
    <row r="1552" spans="1:14">
      <c r="A1552" s="29">
        <v>46112</v>
      </c>
      <c r="B1552" s="30">
        <f t="shared" si="217"/>
        <v>3</v>
      </c>
      <c r="C1552" s="30">
        <f t="shared" si="220"/>
        <v>31</v>
      </c>
      <c r="D1552" s="26">
        <f>MATCH(WEEKDAY(A1552),そのた定義!A:A,0)</f>
        <v>4</v>
      </c>
      <c r="E1552" s="26" t="str">
        <f t="shared" ca="1" si="221"/>
        <v>火</v>
      </c>
      <c r="F1552" s="26">
        <f t="shared" si="222"/>
        <v>0</v>
      </c>
      <c r="G1552" s="26">
        <f>IF(ISNA(MATCH(A1552,祝日定義!E:E,0)),0,1)</f>
        <v>0</v>
      </c>
      <c r="H1552" s="26">
        <f>IF(ISNA(MATCH(B1552&amp;"/"&amp;C1552,そのた定義!E:E,0)), 0, 1)</f>
        <v>0</v>
      </c>
      <c r="I1552" s="26" t="b">
        <f t="shared" si="223"/>
        <v>0</v>
      </c>
      <c r="J1552" s="26">
        <v>0</v>
      </c>
      <c r="K1552" s="26" t="b">
        <f t="shared" si="218"/>
        <v>0</v>
      </c>
      <c r="L1552" s="26" t="b">
        <f t="shared" si="219"/>
        <v>0</v>
      </c>
      <c r="M1552" t="b">
        <f t="shared" si="224"/>
        <v>0</v>
      </c>
      <c r="N1552" t="b">
        <f t="shared" si="225"/>
        <v>1</v>
      </c>
    </row>
    <row r="1553" spans="1:14">
      <c r="A1553" s="29">
        <v>46113</v>
      </c>
      <c r="B1553" s="30">
        <f t="shared" si="217"/>
        <v>4</v>
      </c>
      <c r="C1553" s="30">
        <f t="shared" si="220"/>
        <v>1</v>
      </c>
      <c r="D1553" s="26">
        <f>MATCH(WEEKDAY(A1553),そのた定義!A:A,0)</f>
        <v>5</v>
      </c>
      <c r="E1553" s="26" t="str">
        <f t="shared" ca="1" si="221"/>
        <v>水</v>
      </c>
      <c r="F1553" s="26">
        <f t="shared" si="222"/>
        <v>0</v>
      </c>
      <c r="G1553" s="26">
        <f>IF(ISNA(MATCH(A1553,祝日定義!E:E,0)),0,1)</f>
        <v>0</v>
      </c>
      <c r="H1553" s="26">
        <f>IF(ISNA(MATCH(B1553&amp;"/"&amp;C1553,そのた定義!E:E,0)), 0, 1)</f>
        <v>0</v>
      </c>
      <c r="I1553" s="26" t="b">
        <f t="shared" si="223"/>
        <v>0</v>
      </c>
      <c r="J1553" s="26">
        <v>0</v>
      </c>
      <c r="K1553" s="26" t="b">
        <f t="shared" si="218"/>
        <v>0</v>
      </c>
      <c r="L1553" s="26" t="b">
        <f t="shared" si="219"/>
        <v>0</v>
      </c>
      <c r="M1553" t="b">
        <f t="shared" si="224"/>
        <v>0</v>
      </c>
      <c r="N1553" t="b">
        <f t="shared" si="225"/>
        <v>0</v>
      </c>
    </row>
    <row r="1554" spans="1:14">
      <c r="A1554" s="29">
        <v>46114</v>
      </c>
      <c r="B1554" s="30">
        <f t="shared" si="217"/>
        <v>4</v>
      </c>
      <c r="C1554" s="30">
        <f t="shared" si="220"/>
        <v>2</v>
      </c>
      <c r="D1554" s="26">
        <f>MATCH(WEEKDAY(A1554),そのた定義!A:A,0)</f>
        <v>6</v>
      </c>
      <c r="E1554" s="26" t="str">
        <f t="shared" ca="1" si="221"/>
        <v>木</v>
      </c>
      <c r="F1554" s="26">
        <f t="shared" si="222"/>
        <v>0</v>
      </c>
      <c r="G1554" s="26">
        <f>IF(ISNA(MATCH(A1554,祝日定義!E:E,0)),0,1)</f>
        <v>0</v>
      </c>
      <c r="H1554" s="26">
        <f>IF(ISNA(MATCH(B1554&amp;"/"&amp;C1554,そのた定義!E:E,0)), 0, 1)</f>
        <v>0</v>
      </c>
      <c r="I1554" s="26" t="b">
        <f t="shared" si="223"/>
        <v>0</v>
      </c>
      <c r="J1554" s="26">
        <v>0</v>
      </c>
      <c r="K1554" s="26" t="b">
        <f t="shared" si="218"/>
        <v>0</v>
      </c>
      <c r="L1554" s="26" t="b">
        <f t="shared" si="219"/>
        <v>0</v>
      </c>
      <c r="M1554" t="b">
        <f t="shared" si="224"/>
        <v>0</v>
      </c>
      <c r="N1554" t="b">
        <f t="shared" si="225"/>
        <v>0</v>
      </c>
    </row>
    <row r="1555" spans="1:14">
      <c r="A1555" s="29">
        <v>46115</v>
      </c>
      <c r="B1555" s="30">
        <f t="shared" si="217"/>
        <v>4</v>
      </c>
      <c r="C1555" s="30">
        <f t="shared" si="220"/>
        <v>3</v>
      </c>
      <c r="D1555" s="26">
        <f>MATCH(WEEKDAY(A1555),そのた定義!A:A,0)</f>
        <v>7</v>
      </c>
      <c r="E1555" s="26" t="str">
        <f t="shared" ca="1" si="221"/>
        <v>金</v>
      </c>
      <c r="F1555" s="26">
        <f t="shared" si="222"/>
        <v>0</v>
      </c>
      <c r="G1555" s="26">
        <f>IF(ISNA(MATCH(A1555,祝日定義!E:E,0)),0,1)</f>
        <v>0</v>
      </c>
      <c r="H1555" s="26">
        <f>IF(ISNA(MATCH(B1555&amp;"/"&amp;C1555,そのた定義!E:E,0)), 0, 1)</f>
        <v>0</v>
      </c>
      <c r="I1555" s="26" t="b">
        <f t="shared" si="223"/>
        <v>0</v>
      </c>
      <c r="J1555" s="26">
        <v>0</v>
      </c>
      <c r="K1555" s="26" t="b">
        <f t="shared" si="218"/>
        <v>0</v>
      </c>
      <c r="L1555" s="26" t="b">
        <f t="shared" si="219"/>
        <v>0</v>
      </c>
      <c r="M1555" t="b">
        <f t="shared" si="224"/>
        <v>0</v>
      </c>
      <c r="N1555" t="b">
        <f t="shared" si="225"/>
        <v>0</v>
      </c>
    </row>
    <row r="1556" spans="1:14">
      <c r="A1556" s="29">
        <v>46116</v>
      </c>
      <c r="B1556" s="30">
        <f t="shared" si="217"/>
        <v>4</v>
      </c>
      <c r="C1556" s="30">
        <f t="shared" si="220"/>
        <v>4</v>
      </c>
      <c r="D1556" s="26">
        <f>MATCH(WEEKDAY(A1556),そのた定義!A:A,0)</f>
        <v>8</v>
      </c>
      <c r="E1556" s="33" t="str">
        <f t="shared" ca="1" si="221"/>
        <v>土</v>
      </c>
      <c r="F1556" s="26">
        <f t="shared" si="222"/>
        <v>1</v>
      </c>
      <c r="G1556" s="26">
        <f>IF(ISNA(MATCH(A1556,祝日定義!E:E,0)),0,1)</f>
        <v>0</v>
      </c>
      <c r="H1556" s="26">
        <f>IF(ISNA(MATCH(B1556&amp;"/"&amp;C1556,そのた定義!E:E,0)), 0, 1)</f>
        <v>0</v>
      </c>
      <c r="I1556" s="23" t="b">
        <f t="shared" si="223"/>
        <v>1</v>
      </c>
      <c r="J1556" s="26">
        <v>0</v>
      </c>
      <c r="K1556" s="26" t="b">
        <f t="shared" si="218"/>
        <v>0</v>
      </c>
      <c r="L1556" s="26" t="b">
        <f t="shared" si="219"/>
        <v>0</v>
      </c>
      <c r="M1556" t="b">
        <f t="shared" si="224"/>
        <v>0</v>
      </c>
      <c r="N1556" t="b">
        <f t="shared" si="225"/>
        <v>0</v>
      </c>
    </row>
    <row r="1557" spans="1:14">
      <c r="A1557" s="29">
        <v>46117</v>
      </c>
      <c r="B1557" s="30">
        <f t="shared" si="217"/>
        <v>4</v>
      </c>
      <c r="C1557" s="30">
        <f t="shared" si="220"/>
        <v>5</v>
      </c>
      <c r="D1557" s="26">
        <f>MATCH(WEEKDAY(A1557),そのた定義!A:A,0)</f>
        <v>2</v>
      </c>
      <c r="E1557" s="32" t="str">
        <f t="shared" ca="1" si="221"/>
        <v>日</v>
      </c>
      <c r="F1557" s="26">
        <f t="shared" si="222"/>
        <v>1</v>
      </c>
      <c r="G1557" s="26">
        <f>IF(ISNA(MATCH(A1557,祝日定義!E:E,0)),0,1)</f>
        <v>0</v>
      </c>
      <c r="H1557" s="26">
        <f>IF(ISNA(MATCH(B1557&amp;"/"&amp;C1557,そのた定義!E:E,0)), 0, 1)</f>
        <v>0</v>
      </c>
      <c r="I1557" s="23" t="b">
        <f t="shared" si="223"/>
        <v>1</v>
      </c>
      <c r="J1557" s="26">
        <v>0</v>
      </c>
      <c r="K1557" s="26" t="b">
        <f t="shared" si="218"/>
        <v>0</v>
      </c>
      <c r="L1557" s="26" t="b">
        <f t="shared" si="219"/>
        <v>0</v>
      </c>
      <c r="M1557" t="b">
        <f t="shared" si="224"/>
        <v>0</v>
      </c>
      <c r="N1557" t="b">
        <f t="shared" si="225"/>
        <v>0</v>
      </c>
    </row>
    <row r="1558" spans="1:14">
      <c r="A1558" s="29">
        <v>46118</v>
      </c>
      <c r="B1558" s="30">
        <f t="shared" si="217"/>
        <v>4</v>
      </c>
      <c r="C1558" s="30">
        <f t="shared" si="220"/>
        <v>6</v>
      </c>
      <c r="D1558" s="26">
        <f>MATCH(WEEKDAY(A1558),そのた定義!A:A,0)</f>
        <v>3</v>
      </c>
      <c r="E1558" s="26" t="str">
        <f t="shared" ca="1" si="221"/>
        <v>月</v>
      </c>
      <c r="F1558" s="26">
        <f t="shared" si="222"/>
        <v>0</v>
      </c>
      <c r="G1558" s="26">
        <f>IF(ISNA(MATCH(A1558,祝日定義!E:E,0)),0,1)</f>
        <v>0</v>
      </c>
      <c r="H1558" s="26">
        <f>IF(ISNA(MATCH(B1558&amp;"/"&amp;C1558,そのた定義!E:E,0)), 0, 1)</f>
        <v>0</v>
      </c>
      <c r="I1558" s="26" t="b">
        <f t="shared" si="223"/>
        <v>0</v>
      </c>
      <c r="J1558" s="26">
        <v>2</v>
      </c>
      <c r="K1558" s="26" t="b">
        <f t="shared" si="218"/>
        <v>0</v>
      </c>
      <c r="L1558" s="26" t="b">
        <f t="shared" si="219"/>
        <v>0</v>
      </c>
      <c r="M1558" t="b">
        <f t="shared" si="224"/>
        <v>0</v>
      </c>
      <c r="N1558" t="b">
        <f t="shared" si="225"/>
        <v>0</v>
      </c>
    </row>
    <row r="1559" spans="1:14">
      <c r="A1559" s="29">
        <v>46119</v>
      </c>
      <c r="B1559" s="30">
        <f t="shared" si="217"/>
        <v>4</v>
      </c>
      <c r="C1559" s="30">
        <f t="shared" si="220"/>
        <v>7</v>
      </c>
      <c r="D1559" s="26">
        <f>MATCH(WEEKDAY(A1559),そのた定義!A:A,0)</f>
        <v>4</v>
      </c>
      <c r="E1559" s="26" t="str">
        <f t="shared" ca="1" si="221"/>
        <v>火</v>
      </c>
      <c r="F1559" s="26">
        <f t="shared" si="222"/>
        <v>0</v>
      </c>
      <c r="G1559" s="26">
        <f>IF(ISNA(MATCH(A1559,祝日定義!E:E,0)),0,1)</f>
        <v>0</v>
      </c>
      <c r="H1559" s="26">
        <f>IF(ISNA(MATCH(B1559&amp;"/"&amp;C1559,そのた定義!E:E,0)), 0, 1)</f>
        <v>0</v>
      </c>
      <c r="I1559" s="26" t="b">
        <f t="shared" si="223"/>
        <v>0</v>
      </c>
      <c r="J1559" s="26">
        <v>0</v>
      </c>
      <c r="K1559" s="26" t="b">
        <f t="shared" si="218"/>
        <v>0</v>
      </c>
      <c r="L1559" s="26" t="b">
        <f t="shared" si="219"/>
        <v>0</v>
      </c>
      <c r="M1559" t="b">
        <f t="shared" si="224"/>
        <v>0</v>
      </c>
      <c r="N1559" t="b">
        <f t="shared" si="225"/>
        <v>0</v>
      </c>
    </row>
    <row r="1560" spans="1:14">
      <c r="A1560" s="29">
        <v>46120</v>
      </c>
      <c r="B1560" s="30">
        <f t="shared" si="217"/>
        <v>4</v>
      </c>
      <c r="C1560" s="30">
        <f t="shared" si="220"/>
        <v>8</v>
      </c>
      <c r="D1560" s="26">
        <f>MATCH(WEEKDAY(A1560),そのた定義!A:A,0)</f>
        <v>5</v>
      </c>
      <c r="E1560" s="26" t="str">
        <f t="shared" ca="1" si="221"/>
        <v>水</v>
      </c>
      <c r="F1560" s="26">
        <f t="shared" si="222"/>
        <v>0</v>
      </c>
      <c r="G1560" s="26">
        <f>IF(ISNA(MATCH(A1560,祝日定義!E:E,0)),0,1)</f>
        <v>0</v>
      </c>
      <c r="H1560" s="26">
        <f>IF(ISNA(MATCH(B1560&amp;"/"&amp;C1560,そのた定義!E:E,0)), 0, 1)</f>
        <v>0</v>
      </c>
      <c r="I1560" s="26" t="b">
        <f t="shared" si="223"/>
        <v>0</v>
      </c>
      <c r="J1560" s="26">
        <v>0</v>
      </c>
      <c r="K1560" s="26" t="b">
        <f t="shared" si="218"/>
        <v>0</v>
      </c>
      <c r="L1560" s="26" t="b">
        <f t="shared" si="219"/>
        <v>0</v>
      </c>
      <c r="M1560" t="b">
        <f t="shared" si="224"/>
        <v>0</v>
      </c>
      <c r="N1560" t="b">
        <f t="shared" si="225"/>
        <v>0</v>
      </c>
    </row>
    <row r="1561" spans="1:14">
      <c r="A1561" s="29">
        <v>46121</v>
      </c>
      <c r="B1561" s="30">
        <f t="shared" si="217"/>
        <v>4</v>
      </c>
      <c r="C1561" s="30">
        <f t="shared" si="220"/>
        <v>9</v>
      </c>
      <c r="D1561" s="26">
        <f>MATCH(WEEKDAY(A1561),そのた定義!A:A,0)</f>
        <v>6</v>
      </c>
      <c r="E1561" s="26" t="str">
        <f t="shared" ca="1" si="221"/>
        <v>木</v>
      </c>
      <c r="F1561" s="26">
        <f t="shared" si="222"/>
        <v>0</v>
      </c>
      <c r="G1561" s="26">
        <f>IF(ISNA(MATCH(A1561,祝日定義!E:E,0)),0,1)</f>
        <v>0</v>
      </c>
      <c r="H1561" s="26">
        <f>IF(ISNA(MATCH(B1561&amp;"/"&amp;C1561,そのた定義!E:E,0)), 0, 1)</f>
        <v>0</v>
      </c>
      <c r="I1561" s="26" t="b">
        <f t="shared" si="223"/>
        <v>0</v>
      </c>
      <c r="J1561" s="26">
        <v>0</v>
      </c>
      <c r="K1561" s="26" t="b">
        <f t="shared" si="218"/>
        <v>0</v>
      </c>
      <c r="L1561" s="26" t="b">
        <f t="shared" si="219"/>
        <v>0</v>
      </c>
      <c r="M1561" t="b">
        <f t="shared" si="224"/>
        <v>0</v>
      </c>
      <c r="N1561" t="b">
        <f t="shared" si="225"/>
        <v>0</v>
      </c>
    </row>
    <row r="1562" spans="1:14">
      <c r="A1562" s="29">
        <v>46122</v>
      </c>
      <c r="B1562" s="30">
        <f t="shared" si="217"/>
        <v>4</v>
      </c>
      <c r="C1562" s="30">
        <f t="shared" si="220"/>
        <v>10</v>
      </c>
      <c r="D1562" s="26">
        <f>MATCH(WEEKDAY(A1562),そのた定義!A:A,0)</f>
        <v>7</v>
      </c>
      <c r="E1562" s="26" t="str">
        <f t="shared" ca="1" si="221"/>
        <v>金</v>
      </c>
      <c r="F1562" s="26">
        <f t="shared" si="222"/>
        <v>0</v>
      </c>
      <c r="G1562" s="26">
        <f>IF(ISNA(MATCH(A1562,祝日定義!E:E,0)),0,1)</f>
        <v>0</v>
      </c>
      <c r="H1562" s="26">
        <f>IF(ISNA(MATCH(B1562&amp;"/"&amp;C1562,そのた定義!E:E,0)), 0, 1)</f>
        <v>0</v>
      </c>
      <c r="I1562" s="26" t="b">
        <f t="shared" si="223"/>
        <v>0</v>
      </c>
      <c r="J1562" s="26">
        <v>0</v>
      </c>
      <c r="K1562" s="26" t="b">
        <f t="shared" si="218"/>
        <v>0</v>
      </c>
      <c r="L1562" s="26" t="b">
        <f t="shared" si="219"/>
        <v>0</v>
      </c>
      <c r="M1562" t="b">
        <f t="shared" si="224"/>
        <v>0</v>
      </c>
      <c r="N1562" t="b">
        <f t="shared" si="225"/>
        <v>0</v>
      </c>
    </row>
    <row r="1563" spans="1:14">
      <c r="A1563" s="29">
        <v>46123</v>
      </c>
      <c r="B1563" s="30">
        <f t="shared" si="217"/>
        <v>4</v>
      </c>
      <c r="C1563" s="30">
        <f t="shared" si="220"/>
        <v>11</v>
      </c>
      <c r="D1563" s="26">
        <f>MATCH(WEEKDAY(A1563),そのた定義!A:A,0)</f>
        <v>8</v>
      </c>
      <c r="E1563" s="33" t="str">
        <f t="shared" ca="1" si="221"/>
        <v>土</v>
      </c>
      <c r="F1563" s="26">
        <f t="shared" si="222"/>
        <v>1</v>
      </c>
      <c r="G1563" s="26">
        <f>IF(ISNA(MATCH(A1563,祝日定義!E:E,0)),0,1)</f>
        <v>0</v>
      </c>
      <c r="H1563" s="26">
        <f>IF(ISNA(MATCH(B1563&amp;"/"&amp;C1563,そのた定義!E:E,0)), 0, 1)</f>
        <v>0</v>
      </c>
      <c r="I1563" s="23" t="b">
        <f t="shared" si="223"/>
        <v>1</v>
      </c>
      <c r="J1563" s="26">
        <v>0</v>
      </c>
      <c r="K1563" s="26" t="b">
        <f t="shared" si="218"/>
        <v>0</v>
      </c>
      <c r="L1563" s="26" t="b">
        <f t="shared" si="219"/>
        <v>0</v>
      </c>
      <c r="M1563" t="b">
        <f t="shared" si="224"/>
        <v>0</v>
      </c>
      <c r="N1563" t="b">
        <f t="shared" si="225"/>
        <v>0</v>
      </c>
    </row>
    <row r="1564" spans="1:14">
      <c r="A1564" s="29">
        <v>46124</v>
      </c>
      <c r="B1564" s="30">
        <f t="shared" si="217"/>
        <v>4</v>
      </c>
      <c r="C1564" s="30">
        <f t="shared" si="220"/>
        <v>12</v>
      </c>
      <c r="D1564" s="26">
        <f>MATCH(WEEKDAY(A1564),そのた定義!A:A,0)</f>
        <v>2</v>
      </c>
      <c r="E1564" s="32" t="str">
        <f t="shared" ca="1" si="221"/>
        <v>日</v>
      </c>
      <c r="F1564" s="26">
        <f t="shared" si="222"/>
        <v>1</v>
      </c>
      <c r="G1564" s="26">
        <f>IF(ISNA(MATCH(A1564,祝日定義!E:E,0)),0,1)</f>
        <v>0</v>
      </c>
      <c r="H1564" s="26">
        <f>IF(ISNA(MATCH(B1564&amp;"/"&amp;C1564,そのた定義!E:E,0)), 0, 1)</f>
        <v>0</v>
      </c>
      <c r="I1564" s="23" t="b">
        <f t="shared" si="223"/>
        <v>1</v>
      </c>
      <c r="J1564" s="26">
        <v>0</v>
      </c>
      <c r="K1564" s="26" t="b">
        <f t="shared" si="218"/>
        <v>0</v>
      </c>
      <c r="L1564" s="26" t="b">
        <f t="shared" si="219"/>
        <v>0</v>
      </c>
      <c r="M1564" t="b">
        <f t="shared" si="224"/>
        <v>0</v>
      </c>
      <c r="N1564" t="b">
        <f t="shared" si="225"/>
        <v>0</v>
      </c>
    </row>
    <row r="1565" spans="1:14">
      <c r="A1565" s="29">
        <v>46125</v>
      </c>
      <c r="B1565" s="30">
        <f t="shared" si="217"/>
        <v>4</v>
      </c>
      <c r="C1565" s="30">
        <f t="shared" si="220"/>
        <v>13</v>
      </c>
      <c r="D1565" s="26">
        <f>MATCH(WEEKDAY(A1565),そのた定義!A:A,0)</f>
        <v>3</v>
      </c>
      <c r="E1565" s="26" t="str">
        <f t="shared" ca="1" si="221"/>
        <v>月</v>
      </c>
      <c r="F1565" s="26">
        <f t="shared" si="222"/>
        <v>0</v>
      </c>
      <c r="G1565" s="26">
        <f>IF(ISNA(MATCH(A1565,祝日定義!E:E,0)),0,1)</f>
        <v>0</v>
      </c>
      <c r="H1565" s="26">
        <f>IF(ISNA(MATCH(B1565&amp;"/"&amp;C1565,そのた定義!E:E,0)), 0, 1)</f>
        <v>0</v>
      </c>
      <c r="I1565" s="26" t="b">
        <f t="shared" si="223"/>
        <v>0</v>
      </c>
      <c r="J1565" s="26">
        <v>2</v>
      </c>
      <c r="K1565" s="26" t="b">
        <f t="shared" si="218"/>
        <v>0</v>
      </c>
      <c r="L1565" s="26" t="b">
        <f t="shared" si="219"/>
        <v>0</v>
      </c>
      <c r="M1565" t="b">
        <f t="shared" si="224"/>
        <v>0</v>
      </c>
      <c r="N1565" t="b">
        <f t="shared" si="225"/>
        <v>0</v>
      </c>
    </row>
    <row r="1566" spans="1:14">
      <c r="A1566" s="29">
        <v>46126</v>
      </c>
      <c r="B1566" s="30">
        <f t="shared" si="217"/>
        <v>4</v>
      </c>
      <c r="C1566" s="30">
        <f t="shared" si="220"/>
        <v>14</v>
      </c>
      <c r="D1566" s="26">
        <f>MATCH(WEEKDAY(A1566),そのた定義!A:A,0)</f>
        <v>4</v>
      </c>
      <c r="E1566" s="26" t="str">
        <f t="shared" ca="1" si="221"/>
        <v>火</v>
      </c>
      <c r="F1566" s="26">
        <f t="shared" si="222"/>
        <v>0</v>
      </c>
      <c r="G1566" s="26">
        <f>IF(ISNA(MATCH(A1566,祝日定義!E:E,0)),0,1)</f>
        <v>0</v>
      </c>
      <c r="H1566" s="26">
        <f>IF(ISNA(MATCH(B1566&amp;"/"&amp;C1566,そのた定義!E:E,0)), 0, 1)</f>
        <v>0</v>
      </c>
      <c r="I1566" s="26" t="b">
        <f t="shared" si="223"/>
        <v>0</v>
      </c>
      <c r="J1566" s="26">
        <v>0</v>
      </c>
      <c r="K1566" s="26" t="b">
        <f t="shared" si="218"/>
        <v>0</v>
      </c>
      <c r="L1566" s="26" t="b">
        <f t="shared" si="219"/>
        <v>0</v>
      </c>
      <c r="M1566" t="b">
        <f t="shared" si="224"/>
        <v>0</v>
      </c>
      <c r="N1566" t="b">
        <f t="shared" si="225"/>
        <v>0</v>
      </c>
    </row>
    <row r="1567" spans="1:14">
      <c r="A1567" s="29">
        <v>46127</v>
      </c>
      <c r="B1567" s="30">
        <f t="shared" si="217"/>
        <v>4</v>
      </c>
      <c r="C1567" s="30">
        <f t="shared" si="220"/>
        <v>15</v>
      </c>
      <c r="D1567" s="26">
        <f>MATCH(WEEKDAY(A1567),そのた定義!A:A,0)</f>
        <v>5</v>
      </c>
      <c r="E1567" s="26" t="str">
        <f t="shared" ca="1" si="221"/>
        <v>水</v>
      </c>
      <c r="F1567" s="26">
        <f t="shared" si="222"/>
        <v>0</v>
      </c>
      <c r="G1567" s="26">
        <f>IF(ISNA(MATCH(A1567,祝日定義!E:E,0)),0,1)</f>
        <v>0</v>
      </c>
      <c r="H1567" s="26">
        <f>IF(ISNA(MATCH(B1567&amp;"/"&amp;C1567,そのた定義!E:E,0)), 0, 1)</f>
        <v>0</v>
      </c>
      <c r="I1567" s="26" t="b">
        <f t="shared" si="223"/>
        <v>0</v>
      </c>
      <c r="J1567" s="26">
        <v>0</v>
      </c>
      <c r="K1567" s="26" t="b">
        <f t="shared" si="218"/>
        <v>0</v>
      </c>
      <c r="L1567" s="26" t="b">
        <f t="shared" si="219"/>
        <v>0</v>
      </c>
      <c r="M1567" t="b">
        <f t="shared" si="224"/>
        <v>0</v>
      </c>
      <c r="N1567" t="b">
        <f t="shared" si="225"/>
        <v>0</v>
      </c>
    </row>
    <row r="1568" spans="1:14">
      <c r="A1568" s="29">
        <v>46128</v>
      </c>
      <c r="B1568" s="30">
        <f t="shared" si="217"/>
        <v>4</v>
      </c>
      <c r="C1568" s="30">
        <f t="shared" si="220"/>
        <v>16</v>
      </c>
      <c r="D1568" s="26">
        <f>MATCH(WEEKDAY(A1568),そのた定義!A:A,0)</f>
        <v>6</v>
      </c>
      <c r="E1568" s="26" t="str">
        <f t="shared" ca="1" si="221"/>
        <v>木</v>
      </c>
      <c r="F1568" s="26">
        <f t="shared" si="222"/>
        <v>0</v>
      </c>
      <c r="G1568" s="26">
        <f>IF(ISNA(MATCH(A1568,祝日定義!E:E,0)),0,1)</f>
        <v>0</v>
      </c>
      <c r="H1568" s="26">
        <f>IF(ISNA(MATCH(B1568&amp;"/"&amp;C1568,そのた定義!E:E,0)), 0, 1)</f>
        <v>0</v>
      </c>
      <c r="I1568" s="26" t="b">
        <f t="shared" si="223"/>
        <v>0</v>
      </c>
      <c r="J1568" s="26">
        <v>0</v>
      </c>
      <c r="K1568" s="26" t="b">
        <f t="shared" si="218"/>
        <v>0</v>
      </c>
      <c r="L1568" s="26" t="b">
        <f t="shared" si="219"/>
        <v>0</v>
      </c>
      <c r="M1568" t="b">
        <f t="shared" si="224"/>
        <v>0</v>
      </c>
      <c r="N1568" t="b">
        <f t="shared" si="225"/>
        <v>0</v>
      </c>
    </row>
    <row r="1569" spans="1:14">
      <c r="A1569" s="29">
        <v>46129</v>
      </c>
      <c r="B1569" s="30">
        <f t="shared" si="217"/>
        <v>4</v>
      </c>
      <c r="C1569" s="30">
        <f t="shared" si="220"/>
        <v>17</v>
      </c>
      <c r="D1569" s="26">
        <f>MATCH(WEEKDAY(A1569),そのた定義!A:A,0)</f>
        <v>7</v>
      </c>
      <c r="E1569" s="26" t="str">
        <f t="shared" ca="1" si="221"/>
        <v>金</v>
      </c>
      <c r="F1569" s="26">
        <f t="shared" si="222"/>
        <v>0</v>
      </c>
      <c r="G1569" s="26">
        <f>IF(ISNA(MATCH(A1569,祝日定義!E:E,0)),0,1)</f>
        <v>0</v>
      </c>
      <c r="H1569" s="26">
        <f>IF(ISNA(MATCH(B1569&amp;"/"&amp;C1569,そのた定義!E:E,0)), 0, 1)</f>
        <v>0</v>
      </c>
      <c r="I1569" s="26" t="b">
        <f t="shared" si="223"/>
        <v>0</v>
      </c>
      <c r="J1569" s="26">
        <v>0</v>
      </c>
      <c r="K1569" s="26" t="b">
        <f t="shared" si="218"/>
        <v>0</v>
      </c>
      <c r="L1569" s="26" t="b">
        <f t="shared" si="219"/>
        <v>0</v>
      </c>
      <c r="M1569" t="b">
        <f t="shared" si="224"/>
        <v>0</v>
      </c>
      <c r="N1569" t="b">
        <f t="shared" si="225"/>
        <v>0</v>
      </c>
    </row>
    <row r="1570" spans="1:14">
      <c r="A1570" s="29">
        <v>46130</v>
      </c>
      <c r="B1570" s="30">
        <f t="shared" si="217"/>
        <v>4</v>
      </c>
      <c r="C1570" s="30">
        <f t="shared" si="220"/>
        <v>18</v>
      </c>
      <c r="D1570" s="26">
        <f>MATCH(WEEKDAY(A1570),そのた定義!A:A,0)</f>
        <v>8</v>
      </c>
      <c r="E1570" s="33" t="str">
        <f t="shared" ca="1" si="221"/>
        <v>土</v>
      </c>
      <c r="F1570" s="26">
        <f t="shared" si="222"/>
        <v>1</v>
      </c>
      <c r="G1570" s="26">
        <f>IF(ISNA(MATCH(A1570,祝日定義!E:E,0)),0,1)</f>
        <v>0</v>
      </c>
      <c r="H1570" s="26">
        <f>IF(ISNA(MATCH(B1570&amp;"/"&amp;C1570,そのた定義!E:E,0)), 0, 1)</f>
        <v>0</v>
      </c>
      <c r="I1570" s="23" t="b">
        <f t="shared" si="223"/>
        <v>1</v>
      </c>
      <c r="J1570" s="26">
        <v>0</v>
      </c>
      <c r="K1570" s="26" t="b">
        <f t="shared" si="218"/>
        <v>0</v>
      </c>
      <c r="L1570" s="26" t="b">
        <f t="shared" si="219"/>
        <v>0</v>
      </c>
      <c r="M1570" t="b">
        <f t="shared" si="224"/>
        <v>0</v>
      </c>
      <c r="N1570" t="b">
        <f t="shared" si="225"/>
        <v>0</v>
      </c>
    </row>
    <row r="1571" spans="1:14">
      <c r="A1571" s="29">
        <v>46131</v>
      </c>
      <c r="B1571" s="30">
        <f t="shared" si="217"/>
        <v>4</v>
      </c>
      <c r="C1571" s="30">
        <f t="shared" si="220"/>
        <v>19</v>
      </c>
      <c r="D1571" s="26">
        <f>MATCH(WEEKDAY(A1571),そのた定義!A:A,0)</f>
        <v>2</v>
      </c>
      <c r="E1571" s="32" t="str">
        <f t="shared" ca="1" si="221"/>
        <v>日</v>
      </c>
      <c r="F1571" s="26">
        <f t="shared" si="222"/>
        <v>1</v>
      </c>
      <c r="G1571" s="26">
        <f>IF(ISNA(MATCH(A1571,祝日定義!E:E,0)),0,1)</f>
        <v>0</v>
      </c>
      <c r="H1571" s="26">
        <f>IF(ISNA(MATCH(B1571&amp;"/"&amp;C1571,そのた定義!E:E,0)), 0, 1)</f>
        <v>0</v>
      </c>
      <c r="I1571" s="23" t="b">
        <f t="shared" si="223"/>
        <v>1</v>
      </c>
      <c r="J1571" s="26">
        <v>0</v>
      </c>
      <c r="K1571" s="26" t="b">
        <f t="shared" si="218"/>
        <v>0</v>
      </c>
      <c r="L1571" s="26" t="b">
        <f t="shared" si="219"/>
        <v>0</v>
      </c>
      <c r="M1571" t="b">
        <f t="shared" si="224"/>
        <v>0</v>
      </c>
      <c r="N1571" t="b">
        <f t="shared" si="225"/>
        <v>0</v>
      </c>
    </row>
    <row r="1572" spans="1:14">
      <c r="A1572" s="29">
        <v>46132</v>
      </c>
      <c r="B1572" s="30">
        <f t="shared" si="217"/>
        <v>4</v>
      </c>
      <c r="C1572" s="30">
        <f t="shared" si="220"/>
        <v>20</v>
      </c>
      <c r="D1572" s="26">
        <f>MATCH(WEEKDAY(A1572),そのた定義!A:A,0)</f>
        <v>3</v>
      </c>
      <c r="E1572" s="26" t="str">
        <f t="shared" ca="1" si="221"/>
        <v>月</v>
      </c>
      <c r="F1572" s="26">
        <f t="shared" si="222"/>
        <v>0</v>
      </c>
      <c r="G1572" s="26">
        <f>IF(ISNA(MATCH(A1572,祝日定義!E:E,0)),0,1)</f>
        <v>0</v>
      </c>
      <c r="H1572" s="26">
        <f>IF(ISNA(MATCH(B1572&amp;"/"&amp;C1572,そのた定義!E:E,0)), 0, 1)</f>
        <v>0</v>
      </c>
      <c r="I1572" s="26" t="b">
        <f t="shared" si="223"/>
        <v>0</v>
      </c>
      <c r="J1572" s="26">
        <v>2</v>
      </c>
      <c r="K1572" s="26" t="b">
        <f t="shared" si="218"/>
        <v>0</v>
      </c>
      <c r="L1572" s="26" t="b">
        <f t="shared" si="219"/>
        <v>0</v>
      </c>
      <c r="M1572" t="b">
        <f t="shared" si="224"/>
        <v>0</v>
      </c>
      <c r="N1572" t="b">
        <f t="shared" si="225"/>
        <v>0</v>
      </c>
    </row>
    <row r="1573" spans="1:14">
      <c r="A1573" s="29">
        <v>46133</v>
      </c>
      <c r="B1573" s="30">
        <f t="shared" si="217"/>
        <v>4</v>
      </c>
      <c r="C1573" s="30">
        <f t="shared" si="220"/>
        <v>21</v>
      </c>
      <c r="D1573" s="26">
        <f>MATCH(WEEKDAY(A1573),そのた定義!A:A,0)</f>
        <v>4</v>
      </c>
      <c r="E1573" s="26" t="str">
        <f t="shared" ca="1" si="221"/>
        <v>火</v>
      </c>
      <c r="F1573" s="26">
        <f t="shared" si="222"/>
        <v>0</v>
      </c>
      <c r="G1573" s="26">
        <f>IF(ISNA(MATCH(A1573,祝日定義!E:E,0)),0,1)</f>
        <v>0</v>
      </c>
      <c r="H1573" s="26">
        <f>IF(ISNA(MATCH(B1573&amp;"/"&amp;C1573,そのた定義!E:E,0)), 0, 1)</f>
        <v>0</v>
      </c>
      <c r="I1573" s="26" t="b">
        <f t="shared" si="223"/>
        <v>0</v>
      </c>
      <c r="J1573" s="26">
        <v>0</v>
      </c>
      <c r="K1573" s="26" t="b">
        <f t="shared" si="218"/>
        <v>0</v>
      </c>
      <c r="L1573" s="26" t="b">
        <f t="shared" si="219"/>
        <v>0</v>
      </c>
      <c r="M1573" t="b">
        <f t="shared" si="224"/>
        <v>0</v>
      </c>
      <c r="N1573" t="b">
        <f t="shared" si="225"/>
        <v>0</v>
      </c>
    </row>
    <row r="1574" spans="1:14">
      <c r="A1574" s="29">
        <v>46134</v>
      </c>
      <c r="B1574" s="30">
        <f t="shared" si="217"/>
        <v>4</v>
      </c>
      <c r="C1574" s="30">
        <f t="shared" si="220"/>
        <v>22</v>
      </c>
      <c r="D1574" s="26">
        <f>MATCH(WEEKDAY(A1574),そのた定義!A:A,0)</f>
        <v>5</v>
      </c>
      <c r="E1574" s="26" t="str">
        <f t="shared" ca="1" si="221"/>
        <v>水</v>
      </c>
      <c r="F1574" s="26">
        <f t="shared" si="222"/>
        <v>0</v>
      </c>
      <c r="G1574" s="26">
        <f>IF(ISNA(MATCH(A1574,祝日定義!E:E,0)),0,1)</f>
        <v>0</v>
      </c>
      <c r="H1574" s="26">
        <f>IF(ISNA(MATCH(B1574&amp;"/"&amp;C1574,そのた定義!E:E,0)), 0, 1)</f>
        <v>0</v>
      </c>
      <c r="I1574" s="26" t="b">
        <f t="shared" si="223"/>
        <v>0</v>
      </c>
      <c r="J1574" s="26">
        <v>0</v>
      </c>
      <c r="K1574" s="26" t="b">
        <f t="shared" si="218"/>
        <v>0</v>
      </c>
      <c r="L1574" s="26" t="b">
        <f t="shared" si="219"/>
        <v>0</v>
      </c>
      <c r="M1574" t="b">
        <f t="shared" si="224"/>
        <v>0</v>
      </c>
      <c r="N1574" t="b">
        <f t="shared" si="225"/>
        <v>0</v>
      </c>
    </row>
    <row r="1575" spans="1:14">
      <c r="A1575" s="29">
        <v>46135</v>
      </c>
      <c r="B1575" s="30">
        <f t="shared" si="217"/>
        <v>4</v>
      </c>
      <c r="C1575" s="30">
        <f t="shared" si="220"/>
        <v>23</v>
      </c>
      <c r="D1575" s="26">
        <f>MATCH(WEEKDAY(A1575),そのた定義!A:A,0)</f>
        <v>6</v>
      </c>
      <c r="E1575" s="26" t="str">
        <f t="shared" ca="1" si="221"/>
        <v>木</v>
      </c>
      <c r="F1575" s="26">
        <f t="shared" si="222"/>
        <v>0</v>
      </c>
      <c r="G1575" s="26">
        <f>IF(ISNA(MATCH(A1575,祝日定義!E:E,0)),0,1)</f>
        <v>0</v>
      </c>
      <c r="H1575" s="26">
        <f>IF(ISNA(MATCH(B1575&amp;"/"&amp;C1575,そのた定義!E:E,0)), 0, 1)</f>
        <v>0</v>
      </c>
      <c r="I1575" s="26" t="b">
        <f t="shared" si="223"/>
        <v>0</v>
      </c>
      <c r="J1575" s="26">
        <v>0</v>
      </c>
      <c r="K1575" s="26" t="b">
        <f t="shared" si="218"/>
        <v>0</v>
      </c>
      <c r="L1575" s="26" t="b">
        <f t="shared" si="219"/>
        <v>0</v>
      </c>
      <c r="M1575" t="b">
        <f t="shared" si="224"/>
        <v>0</v>
      </c>
      <c r="N1575" t="b">
        <f t="shared" si="225"/>
        <v>0</v>
      </c>
    </row>
    <row r="1576" spans="1:14">
      <c r="A1576" s="29">
        <v>46136</v>
      </c>
      <c r="B1576" s="30">
        <f t="shared" si="217"/>
        <v>4</v>
      </c>
      <c r="C1576" s="30">
        <f t="shared" si="220"/>
        <v>24</v>
      </c>
      <c r="D1576" s="26">
        <f>MATCH(WEEKDAY(A1576),そのた定義!A:A,0)</f>
        <v>7</v>
      </c>
      <c r="E1576" s="26" t="str">
        <f t="shared" ca="1" si="221"/>
        <v>金</v>
      </c>
      <c r="F1576" s="26">
        <f t="shared" si="222"/>
        <v>0</v>
      </c>
      <c r="G1576" s="26">
        <f>IF(ISNA(MATCH(A1576,祝日定義!E:E,0)),0,1)</f>
        <v>0</v>
      </c>
      <c r="H1576" s="26">
        <f>IF(ISNA(MATCH(B1576&amp;"/"&amp;C1576,そのた定義!E:E,0)), 0, 1)</f>
        <v>0</v>
      </c>
      <c r="I1576" s="26" t="b">
        <f t="shared" si="223"/>
        <v>0</v>
      </c>
      <c r="J1576" s="26">
        <v>0</v>
      </c>
      <c r="K1576" s="26" t="b">
        <f t="shared" si="218"/>
        <v>0</v>
      </c>
      <c r="L1576" s="26" t="b">
        <f t="shared" si="219"/>
        <v>0</v>
      </c>
      <c r="M1576" t="b">
        <f t="shared" si="224"/>
        <v>0</v>
      </c>
      <c r="N1576" t="b">
        <f t="shared" si="225"/>
        <v>0</v>
      </c>
    </row>
    <row r="1577" spans="1:14">
      <c r="A1577" s="29">
        <v>46137</v>
      </c>
      <c r="B1577" s="30">
        <f t="shared" si="217"/>
        <v>4</v>
      </c>
      <c r="C1577" s="30">
        <f t="shared" si="220"/>
        <v>25</v>
      </c>
      <c r="D1577" s="26">
        <f>MATCH(WEEKDAY(A1577),そのた定義!A:A,0)</f>
        <v>8</v>
      </c>
      <c r="E1577" s="33" t="str">
        <f t="shared" ca="1" si="221"/>
        <v>土</v>
      </c>
      <c r="F1577" s="26">
        <f t="shared" si="222"/>
        <v>1</v>
      </c>
      <c r="G1577" s="26">
        <f>IF(ISNA(MATCH(A1577,祝日定義!E:E,0)),0,1)</f>
        <v>0</v>
      </c>
      <c r="H1577" s="26">
        <f>IF(ISNA(MATCH(B1577&amp;"/"&amp;C1577,そのた定義!E:E,0)), 0, 1)</f>
        <v>0</v>
      </c>
      <c r="I1577" s="23" t="b">
        <f t="shared" si="223"/>
        <v>1</v>
      </c>
      <c r="J1577" s="26">
        <v>0</v>
      </c>
      <c r="K1577" s="26" t="b">
        <f t="shared" si="218"/>
        <v>0</v>
      </c>
      <c r="L1577" s="23" t="b">
        <f t="shared" si="219"/>
        <v>1</v>
      </c>
      <c r="M1577" t="b">
        <f t="shared" si="224"/>
        <v>0</v>
      </c>
      <c r="N1577" t="b">
        <f t="shared" si="225"/>
        <v>0</v>
      </c>
    </row>
    <row r="1578" spans="1:14">
      <c r="A1578" s="29">
        <v>46138</v>
      </c>
      <c r="B1578" s="30">
        <f t="shared" si="217"/>
        <v>4</v>
      </c>
      <c r="C1578" s="30">
        <f t="shared" si="220"/>
        <v>26</v>
      </c>
      <c r="D1578" s="26">
        <f>MATCH(WEEKDAY(A1578),そのた定義!A:A,0)</f>
        <v>2</v>
      </c>
      <c r="E1578" s="32" t="str">
        <f t="shared" ca="1" si="221"/>
        <v>日</v>
      </c>
      <c r="F1578" s="26">
        <f t="shared" si="222"/>
        <v>1</v>
      </c>
      <c r="G1578" s="26">
        <f>IF(ISNA(MATCH(A1578,祝日定義!E:E,0)),0,1)</f>
        <v>0</v>
      </c>
      <c r="H1578" s="26">
        <f>IF(ISNA(MATCH(B1578&amp;"/"&amp;C1578,そのた定義!E:E,0)), 0, 1)</f>
        <v>0</v>
      </c>
      <c r="I1578" s="23" t="b">
        <f t="shared" si="223"/>
        <v>1</v>
      </c>
      <c r="J1578" s="26">
        <v>0</v>
      </c>
      <c r="K1578" s="26" t="b">
        <f t="shared" si="218"/>
        <v>0</v>
      </c>
      <c r="L1578" s="26" t="b">
        <f t="shared" si="219"/>
        <v>0</v>
      </c>
      <c r="M1578" t="b">
        <f t="shared" si="224"/>
        <v>0</v>
      </c>
      <c r="N1578" t="b">
        <f t="shared" si="225"/>
        <v>0</v>
      </c>
    </row>
    <row r="1579" spans="1:14">
      <c r="A1579" s="29">
        <v>46139</v>
      </c>
      <c r="B1579" s="30">
        <f t="shared" si="217"/>
        <v>4</v>
      </c>
      <c r="C1579" s="30">
        <f t="shared" si="220"/>
        <v>27</v>
      </c>
      <c r="D1579" s="26">
        <f>MATCH(WEEKDAY(A1579),そのた定義!A:A,0)</f>
        <v>3</v>
      </c>
      <c r="E1579" s="26" t="str">
        <f t="shared" ca="1" si="221"/>
        <v>月</v>
      </c>
      <c r="F1579" s="26">
        <f t="shared" si="222"/>
        <v>0</v>
      </c>
      <c r="G1579" s="26">
        <f>IF(ISNA(MATCH(A1579,祝日定義!E:E,0)),0,1)</f>
        <v>0</v>
      </c>
      <c r="H1579" s="26">
        <f>IF(ISNA(MATCH(B1579&amp;"/"&amp;C1579,そのた定義!E:E,0)), 0, 1)</f>
        <v>0</v>
      </c>
      <c r="I1579" s="26" t="b">
        <f t="shared" si="223"/>
        <v>0</v>
      </c>
      <c r="J1579" s="26">
        <v>2</v>
      </c>
      <c r="K1579" s="23" t="b">
        <f t="shared" si="218"/>
        <v>1</v>
      </c>
      <c r="L1579" s="26" t="b">
        <f t="shared" si="219"/>
        <v>0</v>
      </c>
      <c r="M1579" t="b">
        <f t="shared" si="224"/>
        <v>0</v>
      </c>
      <c r="N1579" t="b">
        <f t="shared" si="225"/>
        <v>0</v>
      </c>
    </row>
    <row r="1580" spans="1:14">
      <c r="A1580" s="29">
        <v>46140</v>
      </c>
      <c r="B1580" s="30">
        <f t="shared" si="217"/>
        <v>4</v>
      </c>
      <c r="C1580" s="30">
        <f t="shared" si="220"/>
        <v>28</v>
      </c>
      <c r="D1580" s="26">
        <f>MATCH(WEEKDAY(A1580),そのた定義!A:A,0)</f>
        <v>4</v>
      </c>
      <c r="E1580" s="26" t="str">
        <f t="shared" ca="1" si="221"/>
        <v>火</v>
      </c>
      <c r="F1580" s="26">
        <f t="shared" si="222"/>
        <v>0</v>
      </c>
      <c r="G1580" s="26">
        <f>IF(ISNA(MATCH(A1580,祝日定義!E:E,0)),0,1)</f>
        <v>0</v>
      </c>
      <c r="H1580" s="26">
        <f>IF(ISNA(MATCH(B1580&amp;"/"&amp;C1580,そのた定義!E:E,0)), 0, 1)</f>
        <v>0</v>
      </c>
      <c r="I1580" s="26" t="b">
        <f t="shared" si="223"/>
        <v>0</v>
      </c>
      <c r="J1580" s="26">
        <v>0</v>
      </c>
      <c r="K1580" s="26" t="b">
        <f t="shared" si="218"/>
        <v>0</v>
      </c>
      <c r="L1580" s="26" t="b">
        <f t="shared" si="219"/>
        <v>0</v>
      </c>
      <c r="M1580" t="b">
        <f t="shared" si="224"/>
        <v>0</v>
      </c>
      <c r="N1580" t="b">
        <f t="shared" si="225"/>
        <v>0</v>
      </c>
    </row>
    <row r="1581" spans="1:14">
      <c r="A1581" s="29">
        <v>46141</v>
      </c>
      <c r="B1581" s="30">
        <f t="shared" si="217"/>
        <v>4</v>
      </c>
      <c r="C1581" s="30">
        <f t="shared" si="220"/>
        <v>29</v>
      </c>
      <c r="D1581" s="26">
        <f>MATCH(WEEKDAY(A1581),そのた定義!A:A,0)</f>
        <v>5</v>
      </c>
      <c r="E1581" s="31" t="str">
        <f t="shared" ca="1" si="221"/>
        <v>水</v>
      </c>
      <c r="F1581" s="26">
        <f t="shared" si="222"/>
        <v>0</v>
      </c>
      <c r="G1581" s="26">
        <f>IF(ISNA(MATCH(A1581,祝日定義!E:E,0)),0,1)</f>
        <v>1</v>
      </c>
      <c r="H1581" s="26">
        <f>IF(ISNA(MATCH(B1581&amp;"/"&amp;C1581,そのた定義!E:E,0)), 0, 1)</f>
        <v>0</v>
      </c>
      <c r="I1581" s="23" t="b">
        <f t="shared" si="223"/>
        <v>1</v>
      </c>
      <c r="J1581" s="26">
        <v>0</v>
      </c>
      <c r="K1581" s="26" t="b">
        <f t="shared" si="218"/>
        <v>0</v>
      </c>
      <c r="L1581" s="26" t="b">
        <f t="shared" si="219"/>
        <v>0</v>
      </c>
      <c r="M1581" t="b">
        <f t="shared" si="224"/>
        <v>0</v>
      </c>
      <c r="N1581" t="b">
        <f t="shared" si="225"/>
        <v>0</v>
      </c>
    </row>
    <row r="1582" spans="1:14">
      <c r="A1582" s="29">
        <v>46142</v>
      </c>
      <c r="B1582" s="30">
        <f t="shared" si="217"/>
        <v>4</v>
      </c>
      <c r="C1582" s="30">
        <f t="shared" si="220"/>
        <v>30</v>
      </c>
      <c r="D1582" s="26">
        <f>MATCH(WEEKDAY(A1582),そのた定義!A:A,0)</f>
        <v>6</v>
      </c>
      <c r="E1582" s="26" t="str">
        <f t="shared" ca="1" si="221"/>
        <v>木</v>
      </c>
      <c r="F1582" s="26">
        <f t="shared" si="222"/>
        <v>0</v>
      </c>
      <c r="G1582" s="26">
        <f>IF(ISNA(MATCH(A1582,祝日定義!E:E,0)),0,1)</f>
        <v>0</v>
      </c>
      <c r="H1582" s="26">
        <f>IF(ISNA(MATCH(B1582&amp;"/"&amp;C1582,そのた定義!E:E,0)), 0, 1)</f>
        <v>0</v>
      </c>
      <c r="I1582" s="26" t="b">
        <f t="shared" si="223"/>
        <v>0</v>
      </c>
      <c r="J1582" s="26">
        <v>1</v>
      </c>
      <c r="K1582" s="26" t="b">
        <f t="shared" si="218"/>
        <v>0</v>
      </c>
      <c r="L1582" s="26" t="b">
        <f t="shared" si="219"/>
        <v>0</v>
      </c>
      <c r="M1582" t="b">
        <f t="shared" si="224"/>
        <v>0</v>
      </c>
      <c r="N1582" t="b">
        <f t="shared" si="225"/>
        <v>1</v>
      </c>
    </row>
    <row r="1583" spans="1:14">
      <c r="A1583" s="29">
        <v>46143</v>
      </c>
      <c r="B1583" s="30">
        <f t="shared" si="217"/>
        <v>5</v>
      </c>
      <c r="C1583" s="30">
        <f t="shared" si="220"/>
        <v>1</v>
      </c>
      <c r="D1583" s="26">
        <f>MATCH(WEEKDAY(A1583),そのた定義!A:A,0)</f>
        <v>7</v>
      </c>
      <c r="E1583" s="26" t="str">
        <f t="shared" ca="1" si="221"/>
        <v>金</v>
      </c>
      <c r="F1583" s="26">
        <f t="shared" si="222"/>
        <v>0</v>
      </c>
      <c r="G1583" s="26">
        <f>IF(ISNA(MATCH(A1583,祝日定義!E:E,0)),0,1)</f>
        <v>0</v>
      </c>
      <c r="H1583" s="26">
        <f>IF(ISNA(MATCH(B1583&amp;"/"&amp;C1583,そのた定義!E:E,0)), 0, 1)</f>
        <v>0</v>
      </c>
      <c r="I1583" s="26" t="b">
        <f t="shared" si="223"/>
        <v>0</v>
      </c>
      <c r="J1583" s="26">
        <v>0</v>
      </c>
      <c r="K1583" s="26" t="b">
        <f t="shared" si="218"/>
        <v>0</v>
      </c>
      <c r="L1583" s="26" t="b">
        <f t="shared" si="219"/>
        <v>0</v>
      </c>
      <c r="M1583" t="b">
        <f t="shared" si="224"/>
        <v>0</v>
      </c>
      <c r="N1583" t="b">
        <f t="shared" si="225"/>
        <v>0</v>
      </c>
    </row>
    <row r="1584" spans="1:14">
      <c r="A1584" s="29">
        <v>46144</v>
      </c>
      <c r="B1584" s="30">
        <f t="shared" si="217"/>
        <v>5</v>
      </c>
      <c r="C1584" s="30">
        <f t="shared" si="220"/>
        <v>2</v>
      </c>
      <c r="D1584" s="26">
        <f>MATCH(WEEKDAY(A1584),そのた定義!A:A,0)</f>
        <v>8</v>
      </c>
      <c r="E1584" s="33" t="str">
        <f t="shared" ca="1" si="221"/>
        <v>土</v>
      </c>
      <c r="F1584" s="26">
        <f t="shared" si="222"/>
        <v>1</v>
      </c>
      <c r="G1584" s="26">
        <f>IF(ISNA(MATCH(A1584,祝日定義!E:E,0)),0,1)</f>
        <v>0</v>
      </c>
      <c r="H1584" s="26">
        <f>IF(ISNA(MATCH(B1584&amp;"/"&amp;C1584,そのた定義!E:E,0)), 0, 1)</f>
        <v>0</v>
      </c>
      <c r="I1584" s="23" t="b">
        <f t="shared" si="223"/>
        <v>1</v>
      </c>
      <c r="J1584" s="26">
        <v>0</v>
      </c>
      <c r="K1584" s="26" t="b">
        <f t="shared" si="218"/>
        <v>0</v>
      </c>
      <c r="L1584" s="26" t="b">
        <f t="shared" si="219"/>
        <v>0</v>
      </c>
      <c r="M1584" t="b">
        <f t="shared" si="224"/>
        <v>0</v>
      </c>
      <c r="N1584" t="b">
        <f t="shared" si="225"/>
        <v>0</v>
      </c>
    </row>
    <row r="1585" spans="1:14">
      <c r="A1585" s="29">
        <v>46145</v>
      </c>
      <c r="B1585" s="30">
        <f t="shared" si="217"/>
        <v>5</v>
      </c>
      <c r="C1585" s="30">
        <f t="shared" si="220"/>
        <v>3</v>
      </c>
      <c r="D1585" s="26">
        <f>MATCH(WEEKDAY(A1585),そのた定義!A:A,0)</f>
        <v>2</v>
      </c>
      <c r="E1585" s="32" t="str">
        <f t="shared" ca="1" si="221"/>
        <v>日</v>
      </c>
      <c r="F1585" s="26">
        <f t="shared" si="222"/>
        <v>1</v>
      </c>
      <c r="G1585" s="26">
        <f>IF(ISNA(MATCH(A1585,祝日定義!E:E,0)),0,1)</f>
        <v>1</v>
      </c>
      <c r="H1585" s="26">
        <f>IF(ISNA(MATCH(B1585&amp;"/"&amp;C1585,そのた定義!E:E,0)), 0, 1)</f>
        <v>0</v>
      </c>
      <c r="I1585" s="23" t="b">
        <f t="shared" si="223"/>
        <v>1</v>
      </c>
      <c r="J1585" s="26">
        <v>0</v>
      </c>
      <c r="K1585" s="26" t="b">
        <f t="shared" si="218"/>
        <v>0</v>
      </c>
      <c r="L1585" s="26" t="b">
        <f t="shared" si="219"/>
        <v>0</v>
      </c>
      <c r="M1585" t="b">
        <f t="shared" si="224"/>
        <v>0</v>
      </c>
      <c r="N1585" t="b">
        <f t="shared" si="225"/>
        <v>0</v>
      </c>
    </row>
    <row r="1586" spans="1:14">
      <c r="A1586" s="29">
        <v>46146</v>
      </c>
      <c r="B1586" s="30">
        <f t="shared" si="217"/>
        <v>5</v>
      </c>
      <c r="C1586" s="30">
        <f t="shared" si="220"/>
        <v>4</v>
      </c>
      <c r="D1586" s="26">
        <f>MATCH(WEEKDAY(A1586),そのた定義!A:A,0)</f>
        <v>3</v>
      </c>
      <c r="E1586" s="31" t="str">
        <f t="shared" ca="1" si="221"/>
        <v>月</v>
      </c>
      <c r="F1586" s="26">
        <f t="shared" si="222"/>
        <v>0</v>
      </c>
      <c r="G1586" s="26">
        <f>IF(ISNA(MATCH(A1586,祝日定義!E:E,0)),0,1)</f>
        <v>1</v>
      </c>
      <c r="H1586" s="26">
        <f>IF(ISNA(MATCH(B1586&amp;"/"&amp;C1586,そのた定義!E:E,0)), 0, 1)</f>
        <v>0</v>
      </c>
      <c r="I1586" s="23" t="b">
        <f t="shared" si="223"/>
        <v>1</v>
      </c>
      <c r="J1586" s="26">
        <v>0</v>
      </c>
      <c r="K1586" s="26" t="b">
        <f t="shared" si="218"/>
        <v>0</v>
      </c>
      <c r="L1586" s="26" t="b">
        <f t="shared" si="219"/>
        <v>0</v>
      </c>
      <c r="M1586" t="b">
        <f t="shared" si="224"/>
        <v>0</v>
      </c>
      <c r="N1586" t="b">
        <f t="shared" si="225"/>
        <v>0</v>
      </c>
    </row>
    <row r="1587" spans="1:14">
      <c r="A1587" s="29">
        <v>46147</v>
      </c>
      <c r="B1587" s="30">
        <f t="shared" si="217"/>
        <v>5</v>
      </c>
      <c r="C1587" s="30">
        <f t="shared" si="220"/>
        <v>5</v>
      </c>
      <c r="D1587" s="26">
        <f>MATCH(WEEKDAY(A1587),そのた定義!A:A,0)</f>
        <v>4</v>
      </c>
      <c r="E1587" s="31" t="str">
        <f t="shared" ca="1" si="221"/>
        <v>火</v>
      </c>
      <c r="F1587" s="26">
        <f t="shared" si="222"/>
        <v>0</v>
      </c>
      <c r="G1587" s="26">
        <f>IF(ISNA(MATCH(A1587,祝日定義!E:E,0)),0,1)</f>
        <v>1</v>
      </c>
      <c r="H1587" s="26">
        <f>IF(ISNA(MATCH(B1587&amp;"/"&amp;C1587,そのた定義!E:E,0)), 0, 1)</f>
        <v>0</v>
      </c>
      <c r="I1587" s="23" t="b">
        <f t="shared" si="223"/>
        <v>1</v>
      </c>
      <c r="J1587" s="26">
        <v>0</v>
      </c>
      <c r="K1587" s="26" t="b">
        <f t="shared" si="218"/>
        <v>0</v>
      </c>
      <c r="L1587" s="26" t="b">
        <f t="shared" si="219"/>
        <v>0</v>
      </c>
      <c r="M1587" t="b">
        <f t="shared" si="224"/>
        <v>0</v>
      </c>
      <c r="N1587" t="b">
        <f t="shared" si="225"/>
        <v>0</v>
      </c>
    </row>
    <row r="1588" spans="1:14">
      <c r="A1588" s="29">
        <v>46148</v>
      </c>
      <c r="B1588" s="30">
        <f t="shared" si="217"/>
        <v>5</v>
      </c>
      <c r="C1588" s="30">
        <f t="shared" si="220"/>
        <v>6</v>
      </c>
      <c r="D1588" s="26">
        <f>MATCH(WEEKDAY(A1588),そのた定義!A:A,0)</f>
        <v>5</v>
      </c>
      <c r="E1588" s="31" t="str">
        <f t="shared" ca="1" si="221"/>
        <v>水</v>
      </c>
      <c r="F1588" s="26">
        <f t="shared" si="222"/>
        <v>0</v>
      </c>
      <c r="G1588" s="26">
        <f>IF(ISNA(MATCH(A1588,祝日定義!E:E,0)),0,1)</f>
        <v>1</v>
      </c>
      <c r="H1588" s="26">
        <f>IF(ISNA(MATCH(B1588&amp;"/"&amp;C1588,そのた定義!E:E,0)), 0, 1)</f>
        <v>0</v>
      </c>
      <c r="I1588" s="23" t="b">
        <f t="shared" si="223"/>
        <v>1</v>
      </c>
      <c r="J1588" s="26">
        <v>0</v>
      </c>
      <c r="K1588" s="26" t="b">
        <f t="shared" si="218"/>
        <v>0</v>
      </c>
      <c r="L1588" s="26" t="b">
        <f t="shared" si="219"/>
        <v>0</v>
      </c>
      <c r="M1588" t="b">
        <f t="shared" si="224"/>
        <v>0</v>
      </c>
      <c r="N1588" t="b">
        <f t="shared" si="225"/>
        <v>0</v>
      </c>
    </row>
    <row r="1589" spans="1:14">
      <c r="A1589" s="29">
        <v>46149</v>
      </c>
      <c r="B1589" s="30">
        <f t="shared" si="217"/>
        <v>5</v>
      </c>
      <c r="C1589" s="30">
        <f t="shared" si="220"/>
        <v>7</v>
      </c>
      <c r="D1589" s="26">
        <f>MATCH(WEEKDAY(A1589),そのた定義!A:A,0)</f>
        <v>6</v>
      </c>
      <c r="E1589" s="26" t="str">
        <f t="shared" ca="1" si="221"/>
        <v>木</v>
      </c>
      <c r="F1589" s="26">
        <f t="shared" si="222"/>
        <v>0</v>
      </c>
      <c r="G1589" s="26">
        <f>IF(ISNA(MATCH(A1589,祝日定義!E:E,0)),0,1)</f>
        <v>0</v>
      </c>
      <c r="H1589" s="26">
        <f>IF(ISNA(MATCH(B1589&amp;"/"&amp;C1589,そのた定義!E:E,0)), 0, 1)</f>
        <v>0</v>
      </c>
      <c r="I1589" s="26" t="b">
        <f t="shared" si="223"/>
        <v>0</v>
      </c>
      <c r="J1589" s="26">
        <v>5</v>
      </c>
      <c r="K1589" s="26" t="b">
        <f t="shared" si="218"/>
        <v>0</v>
      </c>
      <c r="L1589" s="26" t="b">
        <f t="shared" si="219"/>
        <v>0</v>
      </c>
      <c r="M1589" t="b">
        <f t="shared" si="224"/>
        <v>0</v>
      </c>
      <c r="N1589" t="b">
        <f t="shared" si="225"/>
        <v>0</v>
      </c>
    </row>
    <row r="1590" spans="1:14">
      <c r="A1590" s="29">
        <v>46150</v>
      </c>
      <c r="B1590" s="30">
        <f t="shared" si="217"/>
        <v>5</v>
      </c>
      <c r="C1590" s="30">
        <f t="shared" si="220"/>
        <v>8</v>
      </c>
      <c r="D1590" s="26">
        <f>MATCH(WEEKDAY(A1590),そのた定義!A:A,0)</f>
        <v>7</v>
      </c>
      <c r="E1590" s="26" t="str">
        <f t="shared" ca="1" si="221"/>
        <v>金</v>
      </c>
      <c r="F1590" s="26">
        <f t="shared" si="222"/>
        <v>0</v>
      </c>
      <c r="G1590" s="26">
        <f>IF(ISNA(MATCH(A1590,祝日定義!E:E,0)),0,1)</f>
        <v>0</v>
      </c>
      <c r="H1590" s="26">
        <f>IF(ISNA(MATCH(B1590&amp;"/"&amp;C1590,そのた定義!E:E,0)), 0, 1)</f>
        <v>0</v>
      </c>
      <c r="I1590" s="26" t="b">
        <f t="shared" si="223"/>
        <v>0</v>
      </c>
      <c r="J1590" s="26">
        <v>0</v>
      </c>
      <c r="K1590" s="26" t="b">
        <f t="shared" si="218"/>
        <v>0</v>
      </c>
      <c r="L1590" s="26" t="b">
        <f t="shared" si="219"/>
        <v>0</v>
      </c>
      <c r="M1590" t="b">
        <f t="shared" si="224"/>
        <v>0</v>
      </c>
      <c r="N1590" t="b">
        <f t="shared" si="225"/>
        <v>0</v>
      </c>
    </row>
    <row r="1591" spans="1:14">
      <c r="A1591" s="29">
        <v>46151</v>
      </c>
      <c r="B1591" s="30">
        <f t="shared" si="217"/>
        <v>5</v>
      </c>
      <c r="C1591" s="30">
        <f t="shared" si="220"/>
        <v>9</v>
      </c>
      <c r="D1591" s="26">
        <f>MATCH(WEEKDAY(A1591),そのた定義!A:A,0)</f>
        <v>8</v>
      </c>
      <c r="E1591" s="33" t="str">
        <f t="shared" ca="1" si="221"/>
        <v>土</v>
      </c>
      <c r="F1591" s="26">
        <f t="shared" si="222"/>
        <v>1</v>
      </c>
      <c r="G1591" s="26">
        <f>IF(ISNA(MATCH(A1591,祝日定義!E:E,0)),0,1)</f>
        <v>0</v>
      </c>
      <c r="H1591" s="26">
        <f>IF(ISNA(MATCH(B1591&amp;"/"&amp;C1591,そのた定義!E:E,0)), 0, 1)</f>
        <v>0</v>
      </c>
      <c r="I1591" s="23" t="b">
        <f t="shared" si="223"/>
        <v>1</v>
      </c>
      <c r="J1591" s="26">
        <v>0</v>
      </c>
      <c r="K1591" s="26" t="b">
        <f t="shared" si="218"/>
        <v>0</v>
      </c>
      <c r="L1591" s="26" t="b">
        <f t="shared" si="219"/>
        <v>0</v>
      </c>
      <c r="M1591" t="b">
        <f t="shared" si="224"/>
        <v>0</v>
      </c>
      <c r="N1591" t="b">
        <f t="shared" si="225"/>
        <v>0</v>
      </c>
    </row>
    <row r="1592" spans="1:14">
      <c r="A1592" s="29">
        <v>46152</v>
      </c>
      <c r="B1592" s="30">
        <f t="shared" si="217"/>
        <v>5</v>
      </c>
      <c r="C1592" s="30">
        <f t="shared" si="220"/>
        <v>10</v>
      </c>
      <c r="D1592" s="26">
        <f>MATCH(WEEKDAY(A1592),そのた定義!A:A,0)</f>
        <v>2</v>
      </c>
      <c r="E1592" s="32" t="str">
        <f t="shared" ca="1" si="221"/>
        <v>日</v>
      </c>
      <c r="F1592" s="26">
        <f t="shared" si="222"/>
        <v>1</v>
      </c>
      <c r="G1592" s="26">
        <f>IF(ISNA(MATCH(A1592,祝日定義!E:E,0)),0,1)</f>
        <v>0</v>
      </c>
      <c r="H1592" s="26">
        <f>IF(ISNA(MATCH(B1592&amp;"/"&amp;C1592,そのた定義!E:E,0)), 0, 1)</f>
        <v>0</v>
      </c>
      <c r="I1592" s="23" t="b">
        <f t="shared" si="223"/>
        <v>1</v>
      </c>
      <c r="J1592" s="26">
        <v>0</v>
      </c>
      <c r="K1592" s="26" t="b">
        <f t="shared" si="218"/>
        <v>0</v>
      </c>
      <c r="L1592" s="26" t="b">
        <f t="shared" si="219"/>
        <v>0</v>
      </c>
      <c r="M1592" t="b">
        <f t="shared" si="224"/>
        <v>0</v>
      </c>
      <c r="N1592" t="b">
        <f t="shared" si="225"/>
        <v>0</v>
      </c>
    </row>
    <row r="1593" spans="1:14">
      <c r="A1593" s="29">
        <v>46153</v>
      </c>
      <c r="B1593" s="30">
        <f t="shared" si="217"/>
        <v>5</v>
      </c>
      <c r="C1593" s="30">
        <f t="shared" si="220"/>
        <v>11</v>
      </c>
      <c r="D1593" s="26">
        <f>MATCH(WEEKDAY(A1593),そのた定義!A:A,0)</f>
        <v>3</v>
      </c>
      <c r="E1593" s="26" t="str">
        <f t="shared" ca="1" si="221"/>
        <v>月</v>
      </c>
      <c r="F1593" s="26">
        <f t="shared" si="222"/>
        <v>0</v>
      </c>
      <c r="G1593" s="26">
        <f>IF(ISNA(MATCH(A1593,祝日定義!E:E,0)),0,1)</f>
        <v>0</v>
      </c>
      <c r="H1593" s="26">
        <f>IF(ISNA(MATCH(B1593&amp;"/"&amp;C1593,そのた定義!E:E,0)), 0, 1)</f>
        <v>0</v>
      </c>
      <c r="I1593" s="26" t="b">
        <f t="shared" si="223"/>
        <v>0</v>
      </c>
      <c r="J1593" s="26">
        <v>2</v>
      </c>
      <c r="K1593" s="26" t="b">
        <f t="shared" si="218"/>
        <v>0</v>
      </c>
      <c r="L1593" s="26" t="b">
        <f t="shared" si="219"/>
        <v>0</v>
      </c>
      <c r="M1593" t="b">
        <f t="shared" si="224"/>
        <v>0</v>
      </c>
      <c r="N1593" t="b">
        <f t="shared" si="225"/>
        <v>0</v>
      </c>
    </row>
    <row r="1594" spans="1:14">
      <c r="A1594" s="29">
        <v>46154</v>
      </c>
      <c r="B1594" s="30">
        <f t="shared" si="217"/>
        <v>5</v>
      </c>
      <c r="C1594" s="30">
        <f t="shared" si="220"/>
        <v>12</v>
      </c>
      <c r="D1594" s="26">
        <f>MATCH(WEEKDAY(A1594),そのた定義!A:A,0)</f>
        <v>4</v>
      </c>
      <c r="E1594" s="26" t="str">
        <f t="shared" ca="1" si="221"/>
        <v>火</v>
      </c>
      <c r="F1594" s="26">
        <f t="shared" si="222"/>
        <v>0</v>
      </c>
      <c r="G1594" s="26">
        <f>IF(ISNA(MATCH(A1594,祝日定義!E:E,0)),0,1)</f>
        <v>0</v>
      </c>
      <c r="H1594" s="26">
        <f>IF(ISNA(MATCH(B1594&amp;"/"&amp;C1594,そのた定義!E:E,0)), 0, 1)</f>
        <v>0</v>
      </c>
      <c r="I1594" s="26" t="b">
        <f t="shared" si="223"/>
        <v>0</v>
      </c>
      <c r="J1594" s="26">
        <v>0</v>
      </c>
      <c r="K1594" s="26" t="b">
        <f t="shared" si="218"/>
        <v>0</v>
      </c>
      <c r="L1594" s="26" t="b">
        <f t="shared" si="219"/>
        <v>0</v>
      </c>
      <c r="M1594" t="b">
        <f t="shared" si="224"/>
        <v>0</v>
      </c>
      <c r="N1594" t="b">
        <f t="shared" si="225"/>
        <v>0</v>
      </c>
    </row>
    <row r="1595" spans="1:14">
      <c r="A1595" s="29">
        <v>46155</v>
      </c>
      <c r="B1595" s="30">
        <f t="shared" si="217"/>
        <v>5</v>
      </c>
      <c r="C1595" s="30">
        <f t="shared" si="220"/>
        <v>13</v>
      </c>
      <c r="D1595" s="26">
        <f>MATCH(WEEKDAY(A1595),そのた定義!A:A,0)</f>
        <v>5</v>
      </c>
      <c r="E1595" s="26" t="str">
        <f t="shared" ca="1" si="221"/>
        <v>水</v>
      </c>
      <c r="F1595" s="26">
        <f t="shared" si="222"/>
        <v>0</v>
      </c>
      <c r="G1595" s="26">
        <f>IF(ISNA(MATCH(A1595,祝日定義!E:E,0)),0,1)</f>
        <v>0</v>
      </c>
      <c r="H1595" s="26">
        <f>IF(ISNA(MATCH(B1595&amp;"/"&amp;C1595,そのた定義!E:E,0)), 0, 1)</f>
        <v>0</v>
      </c>
      <c r="I1595" s="26" t="b">
        <f t="shared" si="223"/>
        <v>0</v>
      </c>
      <c r="J1595" s="26">
        <v>0</v>
      </c>
      <c r="K1595" s="26" t="b">
        <f t="shared" si="218"/>
        <v>0</v>
      </c>
      <c r="L1595" s="26" t="b">
        <f t="shared" si="219"/>
        <v>0</v>
      </c>
      <c r="M1595" t="b">
        <f t="shared" si="224"/>
        <v>0</v>
      </c>
      <c r="N1595" t="b">
        <f t="shared" si="225"/>
        <v>0</v>
      </c>
    </row>
    <row r="1596" spans="1:14">
      <c r="A1596" s="29">
        <v>46156</v>
      </c>
      <c r="B1596" s="30">
        <f t="shared" si="217"/>
        <v>5</v>
      </c>
      <c r="C1596" s="30">
        <f t="shared" si="220"/>
        <v>14</v>
      </c>
      <c r="D1596" s="26">
        <f>MATCH(WEEKDAY(A1596),そのた定義!A:A,0)</f>
        <v>6</v>
      </c>
      <c r="E1596" s="26" t="str">
        <f t="shared" ca="1" si="221"/>
        <v>木</v>
      </c>
      <c r="F1596" s="26">
        <f t="shared" si="222"/>
        <v>0</v>
      </c>
      <c r="G1596" s="26">
        <f>IF(ISNA(MATCH(A1596,祝日定義!E:E,0)),0,1)</f>
        <v>0</v>
      </c>
      <c r="H1596" s="26">
        <f>IF(ISNA(MATCH(B1596&amp;"/"&amp;C1596,そのた定義!E:E,0)), 0, 1)</f>
        <v>0</v>
      </c>
      <c r="I1596" s="26" t="b">
        <f t="shared" si="223"/>
        <v>0</v>
      </c>
      <c r="J1596" s="26">
        <v>0</v>
      </c>
      <c r="K1596" s="26" t="b">
        <f t="shared" si="218"/>
        <v>0</v>
      </c>
      <c r="L1596" s="26" t="b">
        <f t="shared" si="219"/>
        <v>0</v>
      </c>
      <c r="M1596" t="b">
        <f t="shared" si="224"/>
        <v>0</v>
      </c>
      <c r="N1596" t="b">
        <f t="shared" si="225"/>
        <v>0</v>
      </c>
    </row>
    <row r="1597" spans="1:14">
      <c r="A1597" s="29">
        <v>46157</v>
      </c>
      <c r="B1597" s="30">
        <f t="shared" si="217"/>
        <v>5</v>
      </c>
      <c r="C1597" s="30">
        <f t="shared" si="220"/>
        <v>15</v>
      </c>
      <c r="D1597" s="26">
        <f>MATCH(WEEKDAY(A1597),そのた定義!A:A,0)</f>
        <v>7</v>
      </c>
      <c r="E1597" s="26" t="str">
        <f t="shared" ca="1" si="221"/>
        <v>金</v>
      </c>
      <c r="F1597" s="26">
        <f t="shared" si="222"/>
        <v>0</v>
      </c>
      <c r="G1597" s="26">
        <f>IF(ISNA(MATCH(A1597,祝日定義!E:E,0)),0,1)</f>
        <v>0</v>
      </c>
      <c r="H1597" s="26">
        <f>IF(ISNA(MATCH(B1597&amp;"/"&amp;C1597,そのた定義!E:E,0)), 0, 1)</f>
        <v>0</v>
      </c>
      <c r="I1597" s="26" t="b">
        <f t="shared" si="223"/>
        <v>0</v>
      </c>
      <c r="J1597" s="26">
        <v>0</v>
      </c>
      <c r="K1597" s="26" t="b">
        <f t="shared" si="218"/>
        <v>0</v>
      </c>
      <c r="L1597" s="26" t="b">
        <f t="shared" si="219"/>
        <v>0</v>
      </c>
      <c r="M1597" t="b">
        <f t="shared" si="224"/>
        <v>0</v>
      </c>
      <c r="N1597" t="b">
        <f t="shared" si="225"/>
        <v>0</v>
      </c>
    </row>
    <row r="1598" spans="1:14">
      <c r="A1598" s="29">
        <v>46158</v>
      </c>
      <c r="B1598" s="30">
        <f t="shared" si="217"/>
        <v>5</v>
      </c>
      <c r="C1598" s="30">
        <f t="shared" si="220"/>
        <v>16</v>
      </c>
      <c r="D1598" s="26">
        <f>MATCH(WEEKDAY(A1598),そのた定義!A:A,0)</f>
        <v>8</v>
      </c>
      <c r="E1598" s="33" t="str">
        <f t="shared" ca="1" si="221"/>
        <v>土</v>
      </c>
      <c r="F1598" s="26">
        <f t="shared" si="222"/>
        <v>1</v>
      </c>
      <c r="G1598" s="26">
        <f>IF(ISNA(MATCH(A1598,祝日定義!E:E,0)),0,1)</f>
        <v>0</v>
      </c>
      <c r="H1598" s="26">
        <f>IF(ISNA(MATCH(B1598&amp;"/"&amp;C1598,そのた定義!E:E,0)), 0, 1)</f>
        <v>0</v>
      </c>
      <c r="I1598" s="23" t="b">
        <f t="shared" si="223"/>
        <v>1</v>
      </c>
      <c r="J1598" s="26">
        <v>0</v>
      </c>
      <c r="K1598" s="26" t="b">
        <f t="shared" si="218"/>
        <v>0</v>
      </c>
      <c r="L1598" s="26" t="b">
        <f t="shared" si="219"/>
        <v>0</v>
      </c>
      <c r="M1598" t="b">
        <f t="shared" si="224"/>
        <v>0</v>
      </c>
      <c r="N1598" t="b">
        <f t="shared" si="225"/>
        <v>0</v>
      </c>
    </row>
    <row r="1599" spans="1:14">
      <c r="A1599" s="29">
        <v>46159</v>
      </c>
      <c r="B1599" s="30">
        <f t="shared" si="217"/>
        <v>5</v>
      </c>
      <c r="C1599" s="30">
        <f t="shared" si="220"/>
        <v>17</v>
      </c>
      <c r="D1599" s="26">
        <f>MATCH(WEEKDAY(A1599),そのた定義!A:A,0)</f>
        <v>2</v>
      </c>
      <c r="E1599" s="32" t="str">
        <f t="shared" ca="1" si="221"/>
        <v>日</v>
      </c>
      <c r="F1599" s="26">
        <f t="shared" si="222"/>
        <v>1</v>
      </c>
      <c r="G1599" s="26">
        <f>IF(ISNA(MATCH(A1599,祝日定義!E:E,0)),0,1)</f>
        <v>0</v>
      </c>
      <c r="H1599" s="26">
        <f>IF(ISNA(MATCH(B1599&amp;"/"&amp;C1599,そのた定義!E:E,0)), 0, 1)</f>
        <v>0</v>
      </c>
      <c r="I1599" s="23" t="b">
        <f t="shared" si="223"/>
        <v>1</v>
      </c>
      <c r="J1599" s="26">
        <v>0</v>
      </c>
      <c r="K1599" s="26" t="b">
        <f t="shared" si="218"/>
        <v>0</v>
      </c>
      <c r="L1599" s="26" t="b">
        <f t="shared" si="219"/>
        <v>0</v>
      </c>
      <c r="M1599" t="b">
        <f t="shared" si="224"/>
        <v>0</v>
      </c>
      <c r="N1599" t="b">
        <f t="shared" si="225"/>
        <v>0</v>
      </c>
    </row>
    <row r="1600" spans="1:14">
      <c r="A1600" s="29">
        <v>46160</v>
      </c>
      <c r="B1600" s="30">
        <f t="shared" si="217"/>
        <v>5</v>
      </c>
      <c r="C1600" s="30">
        <f t="shared" si="220"/>
        <v>18</v>
      </c>
      <c r="D1600" s="26">
        <f>MATCH(WEEKDAY(A1600),そのた定義!A:A,0)</f>
        <v>3</v>
      </c>
      <c r="E1600" s="26" t="str">
        <f t="shared" ca="1" si="221"/>
        <v>月</v>
      </c>
      <c r="F1600" s="26">
        <f t="shared" si="222"/>
        <v>0</v>
      </c>
      <c r="G1600" s="26">
        <f>IF(ISNA(MATCH(A1600,祝日定義!E:E,0)),0,1)</f>
        <v>0</v>
      </c>
      <c r="H1600" s="26">
        <f>IF(ISNA(MATCH(B1600&amp;"/"&amp;C1600,そのた定義!E:E,0)), 0, 1)</f>
        <v>0</v>
      </c>
      <c r="I1600" s="26" t="b">
        <f t="shared" si="223"/>
        <v>0</v>
      </c>
      <c r="J1600" s="26">
        <v>2</v>
      </c>
      <c r="K1600" s="26" t="b">
        <f t="shared" si="218"/>
        <v>0</v>
      </c>
      <c r="L1600" s="26" t="b">
        <f t="shared" si="219"/>
        <v>0</v>
      </c>
      <c r="M1600" t="b">
        <f t="shared" si="224"/>
        <v>0</v>
      </c>
      <c r="N1600" t="b">
        <f t="shared" si="225"/>
        <v>0</v>
      </c>
    </row>
    <row r="1601" spans="1:14">
      <c r="A1601" s="29">
        <v>46161</v>
      </c>
      <c r="B1601" s="30">
        <f t="shared" si="217"/>
        <v>5</v>
      </c>
      <c r="C1601" s="30">
        <f t="shared" si="220"/>
        <v>19</v>
      </c>
      <c r="D1601" s="26">
        <f>MATCH(WEEKDAY(A1601),そのた定義!A:A,0)</f>
        <v>4</v>
      </c>
      <c r="E1601" s="26" t="str">
        <f t="shared" ca="1" si="221"/>
        <v>火</v>
      </c>
      <c r="F1601" s="26">
        <f t="shared" si="222"/>
        <v>0</v>
      </c>
      <c r="G1601" s="26">
        <f>IF(ISNA(MATCH(A1601,祝日定義!E:E,0)),0,1)</f>
        <v>0</v>
      </c>
      <c r="H1601" s="26">
        <f>IF(ISNA(MATCH(B1601&amp;"/"&amp;C1601,そのた定義!E:E,0)), 0, 1)</f>
        <v>0</v>
      </c>
      <c r="I1601" s="26" t="b">
        <f t="shared" si="223"/>
        <v>0</v>
      </c>
      <c r="J1601" s="26">
        <v>0</v>
      </c>
      <c r="K1601" s="26" t="b">
        <f t="shared" si="218"/>
        <v>0</v>
      </c>
      <c r="L1601" s="26" t="b">
        <f t="shared" si="219"/>
        <v>0</v>
      </c>
      <c r="M1601" t="b">
        <f t="shared" si="224"/>
        <v>0</v>
      </c>
      <c r="N1601" t="b">
        <f t="shared" si="225"/>
        <v>0</v>
      </c>
    </row>
    <row r="1602" spans="1:14">
      <c r="A1602" s="29">
        <v>46162</v>
      </c>
      <c r="B1602" s="30">
        <f t="shared" ref="B1602:B1665" si="226">MONTH(A1602)</f>
        <v>5</v>
      </c>
      <c r="C1602" s="30">
        <f t="shared" si="220"/>
        <v>20</v>
      </c>
      <c r="D1602" s="26">
        <f>MATCH(WEEKDAY(A1602),そのた定義!A:A,0)</f>
        <v>5</v>
      </c>
      <c r="E1602" s="26" t="str">
        <f t="shared" ca="1" si="221"/>
        <v>水</v>
      </c>
      <c r="F1602" s="26">
        <f t="shared" si="222"/>
        <v>0</v>
      </c>
      <c r="G1602" s="26">
        <f>IF(ISNA(MATCH(A1602,祝日定義!E:E,0)),0,1)</f>
        <v>0</v>
      </c>
      <c r="H1602" s="26">
        <f>IF(ISNA(MATCH(B1602&amp;"/"&amp;C1602,そのた定義!E:E,0)), 0, 1)</f>
        <v>0</v>
      </c>
      <c r="I1602" s="26" t="b">
        <f t="shared" si="223"/>
        <v>0</v>
      </c>
      <c r="J1602" s="26">
        <v>0</v>
      </c>
      <c r="K1602" s="26" t="b">
        <f t="shared" ref="K1602:K1665" si="227">AND(C1602&gt;25,DAY(A1602-J1602)&lt;=25)</f>
        <v>0</v>
      </c>
      <c r="L1602" s="26" t="b">
        <f t="shared" ref="L1602:L1665" si="228">C1602=25</f>
        <v>0</v>
      </c>
      <c r="M1602" t="b">
        <f t="shared" si="224"/>
        <v>0</v>
      </c>
      <c r="N1602" t="b">
        <f t="shared" si="225"/>
        <v>0</v>
      </c>
    </row>
    <row r="1603" spans="1:14">
      <c r="A1603" s="29">
        <v>46163</v>
      </c>
      <c r="B1603" s="30">
        <f t="shared" si="226"/>
        <v>5</v>
      </c>
      <c r="C1603" s="30">
        <f t="shared" ref="C1603:C1666" si="229">DAY(A1603)</f>
        <v>21</v>
      </c>
      <c r="D1603" s="26">
        <f>MATCH(WEEKDAY(A1603),そのた定義!A:A,0)</f>
        <v>6</v>
      </c>
      <c r="E1603" s="26" t="str">
        <f t="shared" ref="E1603:E1666" ca="1" si="230">INDIRECT("そのた定義!"&amp;"B"&amp;D1603)</f>
        <v>木</v>
      </c>
      <c r="F1603" s="26">
        <f t="shared" ref="F1603:F1666" si="231">IF(OR(D1603=8,D1603=2),1,0)</f>
        <v>0</v>
      </c>
      <c r="G1603" s="26">
        <f>IF(ISNA(MATCH(A1603,祝日定義!E:E,0)),0,1)</f>
        <v>0</v>
      </c>
      <c r="H1603" s="26">
        <f>IF(ISNA(MATCH(B1603&amp;"/"&amp;C1603,そのた定義!E:E,0)), 0, 1)</f>
        <v>0</v>
      </c>
      <c r="I1603" s="26" t="b">
        <f t="shared" ref="I1603:I1666" si="232">SUM(F1603:H1603)&gt;0</f>
        <v>0</v>
      </c>
      <c r="J1603" s="26">
        <v>0</v>
      </c>
      <c r="K1603" s="26" t="b">
        <f t="shared" si="227"/>
        <v>0</v>
      </c>
      <c r="L1603" s="26" t="b">
        <f t="shared" si="228"/>
        <v>0</v>
      </c>
      <c r="M1603" t="b">
        <f t="shared" ref="M1603:M1666" si="233">B1603&lt;&gt;MONTH(A1603-J1603)</f>
        <v>0</v>
      </c>
      <c r="N1603" t="b">
        <f t="shared" ref="N1603:N1666" si="234">B1603&lt;&gt;MONTH(A1603+1)</f>
        <v>0</v>
      </c>
    </row>
    <row r="1604" spans="1:14">
      <c r="A1604" s="29">
        <v>46164</v>
      </c>
      <c r="B1604" s="30">
        <f t="shared" si="226"/>
        <v>5</v>
      </c>
      <c r="C1604" s="30">
        <f t="shared" si="229"/>
        <v>22</v>
      </c>
      <c r="D1604" s="26">
        <f>MATCH(WEEKDAY(A1604),そのた定義!A:A,0)</f>
        <v>7</v>
      </c>
      <c r="E1604" s="26" t="str">
        <f t="shared" ca="1" si="230"/>
        <v>金</v>
      </c>
      <c r="F1604" s="26">
        <f t="shared" si="231"/>
        <v>0</v>
      </c>
      <c r="G1604" s="26">
        <f>IF(ISNA(MATCH(A1604,祝日定義!E:E,0)),0,1)</f>
        <v>0</v>
      </c>
      <c r="H1604" s="26">
        <f>IF(ISNA(MATCH(B1604&amp;"/"&amp;C1604,そのた定義!E:E,0)), 0, 1)</f>
        <v>0</v>
      </c>
      <c r="I1604" s="26" t="b">
        <f t="shared" si="232"/>
        <v>0</v>
      </c>
      <c r="J1604" s="26">
        <v>0</v>
      </c>
      <c r="K1604" s="26" t="b">
        <f t="shared" si="227"/>
        <v>0</v>
      </c>
      <c r="L1604" s="26" t="b">
        <f t="shared" si="228"/>
        <v>0</v>
      </c>
      <c r="M1604" t="b">
        <f t="shared" si="233"/>
        <v>0</v>
      </c>
      <c r="N1604" t="b">
        <f t="shared" si="234"/>
        <v>0</v>
      </c>
    </row>
    <row r="1605" spans="1:14">
      <c r="A1605" s="29">
        <v>46165</v>
      </c>
      <c r="B1605" s="30">
        <f t="shared" si="226"/>
        <v>5</v>
      </c>
      <c r="C1605" s="30">
        <f t="shared" si="229"/>
        <v>23</v>
      </c>
      <c r="D1605" s="26">
        <f>MATCH(WEEKDAY(A1605),そのた定義!A:A,0)</f>
        <v>8</v>
      </c>
      <c r="E1605" s="33" t="str">
        <f t="shared" ca="1" si="230"/>
        <v>土</v>
      </c>
      <c r="F1605" s="26">
        <f t="shared" si="231"/>
        <v>1</v>
      </c>
      <c r="G1605" s="26">
        <f>IF(ISNA(MATCH(A1605,祝日定義!E:E,0)),0,1)</f>
        <v>0</v>
      </c>
      <c r="H1605" s="26">
        <f>IF(ISNA(MATCH(B1605&amp;"/"&amp;C1605,そのた定義!E:E,0)), 0, 1)</f>
        <v>0</v>
      </c>
      <c r="I1605" s="23" t="b">
        <f t="shared" si="232"/>
        <v>1</v>
      </c>
      <c r="J1605" s="26">
        <v>0</v>
      </c>
      <c r="K1605" s="26" t="b">
        <f t="shared" si="227"/>
        <v>0</v>
      </c>
      <c r="L1605" s="26" t="b">
        <f t="shared" si="228"/>
        <v>0</v>
      </c>
      <c r="M1605" t="b">
        <f t="shared" si="233"/>
        <v>0</v>
      </c>
      <c r="N1605" t="b">
        <f t="shared" si="234"/>
        <v>0</v>
      </c>
    </row>
    <row r="1606" spans="1:14">
      <c r="A1606" s="29">
        <v>46166</v>
      </c>
      <c r="B1606" s="30">
        <f t="shared" si="226"/>
        <v>5</v>
      </c>
      <c r="C1606" s="30">
        <f t="shared" si="229"/>
        <v>24</v>
      </c>
      <c r="D1606" s="26">
        <f>MATCH(WEEKDAY(A1606),そのた定義!A:A,0)</f>
        <v>2</v>
      </c>
      <c r="E1606" s="32" t="str">
        <f t="shared" ca="1" si="230"/>
        <v>日</v>
      </c>
      <c r="F1606" s="26">
        <f t="shared" si="231"/>
        <v>1</v>
      </c>
      <c r="G1606" s="26">
        <f>IF(ISNA(MATCH(A1606,祝日定義!E:E,0)),0,1)</f>
        <v>0</v>
      </c>
      <c r="H1606" s="26">
        <f>IF(ISNA(MATCH(B1606&amp;"/"&amp;C1606,そのた定義!E:E,0)), 0, 1)</f>
        <v>0</v>
      </c>
      <c r="I1606" s="23" t="b">
        <f t="shared" si="232"/>
        <v>1</v>
      </c>
      <c r="J1606" s="26">
        <v>0</v>
      </c>
      <c r="K1606" s="26" t="b">
        <f t="shared" si="227"/>
        <v>0</v>
      </c>
      <c r="L1606" s="26" t="b">
        <f t="shared" si="228"/>
        <v>0</v>
      </c>
      <c r="M1606" t="b">
        <f t="shared" si="233"/>
        <v>0</v>
      </c>
      <c r="N1606" t="b">
        <f t="shared" si="234"/>
        <v>0</v>
      </c>
    </row>
    <row r="1607" spans="1:14">
      <c r="A1607" s="29">
        <v>46167</v>
      </c>
      <c r="B1607" s="30">
        <f t="shared" si="226"/>
        <v>5</v>
      </c>
      <c r="C1607" s="30">
        <f t="shared" si="229"/>
        <v>25</v>
      </c>
      <c r="D1607" s="26">
        <f>MATCH(WEEKDAY(A1607),そのた定義!A:A,0)</f>
        <v>3</v>
      </c>
      <c r="E1607" s="26" t="str">
        <f t="shared" ca="1" si="230"/>
        <v>月</v>
      </c>
      <c r="F1607" s="26">
        <f t="shared" si="231"/>
        <v>0</v>
      </c>
      <c r="G1607" s="26">
        <f>IF(ISNA(MATCH(A1607,祝日定義!E:E,0)),0,1)</f>
        <v>0</v>
      </c>
      <c r="H1607" s="26">
        <f>IF(ISNA(MATCH(B1607&amp;"/"&amp;C1607,そのた定義!E:E,0)), 0, 1)</f>
        <v>0</v>
      </c>
      <c r="I1607" s="26" t="b">
        <f t="shared" si="232"/>
        <v>0</v>
      </c>
      <c r="J1607" s="26">
        <v>2</v>
      </c>
      <c r="K1607" s="26" t="b">
        <f t="shared" si="227"/>
        <v>0</v>
      </c>
      <c r="L1607" s="23" t="b">
        <f t="shared" si="228"/>
        <v>1</v>
      </c>
      <c r="M1607" t="b">
        <f t="shared" si="233"/>
        <v>0</v>
      </c>
      <c r="N1607" t="b">
        <f t="shared" si="234"/>
        <v>0</v>
      </c>
    </row>
    <row r="1608" spans="1:14">
      <c r="A1608" s="29">
        <v>46168</v>
      </c>
      <c r="B1608" s="30">
        <f t="shared" si="226"/>
        <v>5</v>
      </c>
      <c r="C1608" s="30">
        <f t="shared" si="229"/>
        <v>26</v>
      </c>
      <c r="D1608" s="26">
        <f>MATCH(WEEKDAY(A1608),そのた定義!A:A,0)</f>
        <v>4</v>
      </c>
      <c r="E1608" s="26" t="str">
        <f t="shared" ca="1" si="230"/>
        <v>火</v>
      </c>
      <c r="F1608" s="26">
        <f t="shared" si="231"/>
        <v>0</v>
      </c>
      <c r="G1608" s="26">
        <f>IF(ISNA(MATCH(A1608,祝日定義!E:E,0)),0,1)</f>
        <v>0</v>
      </c>
      <c r="H1608" s="26">
        <f>IF(ISNA(MATCH(B1608&amp;"/"&amp;C1608,そのた定義!E:E,0)), 0, 1)</f>
        <v>0</v>
      </c>
      <c r="I1608" s="26" t="b">
        <f t="shared" si="232"/>
        <v>0</v>
      </c>
      <c r="J1608" s="26">
        <v>0</v>
      </c>
      <c r="K1608" s="26" t="b">
        <f t="shared" si="227"/>
        <v>0</v>
      </c>
      <c r="L1608" s="26" t="b">
        <f t="shared" si="228"/>
        <v>0</v>
      </c>
      <c r="M1608" t="b">
        <f t="shared" si="233"/>
        <v>0</v>
      </c>
      <c r="N1608" t="b">
        <f t="shared" si="234"/>
        <v>0</v>
      </c>
    </row>
    <row r="1609" spans="1:14">
      <c r="A1609" s="29">
        <v>46169</v>
      </c>
      <c r="B1609" s="30">
        <f t="shared" si="226"/>
        <v>5</v>
      </c>
      <c r="C1609" s="30">
        <f t="shared" si="229"/>
        <v>27</v>
      </c>
      <c r="D1609" s="26">
        <f>MATCH(WEEKDAY(A1609),そのた定義!A:A,0)</f>
        <v>5</v>
      </c>
      <c r="E1609" s="26" t="str">
        <f t="shared" ca="1" si="230"/>
        <v>水</v>
      </c>
      <c r="F1609" s="26">
        <f t="shared" si="231"/>
        <v>0</v>
      </c>
      <c r="G1609" s="26">
        <f>IF(ISNA(MATCH(A1609,祝日定義!E:E,0)),0,1)</f>
        <v>0</v>
      </c>
      <c r="H1609" s="26">
        <f>IF(ISNA(MATCH(B1609&amp;"/"&amp;C1609,そのた定義!E:E,0)), 0, 1)</f>
        <v>0</v>
      </c>
      <c r="I1609" s="26" t="b">
        <f t="shared" si="232"/>
        <v>0</v>
      </c>
      <c r="J1609" s="26">
        <v>0</v>
      </c>
      <c r="K1609" s="26" t="b">
        <f t="shared" si="227"/>
        <v>0</v>
      </c>
      <c r="L1609" s="26" t="b">
        <f t="shared" si="228"/>
        <v>0</v>
      </c>
      <c r="M1609" t="b">
        <f t="shared" si="233"/>
        <v>0</v>
      </c>
      <c r="N1609" t="b">
        <f t="shared" si="234"/>
        <v>0</v>
      </c>
    </row>
    <row r="1610" spans="1:14">
      <c r="A1610" s="29">
        <v>46170</v>
      </c>
      <c r="B1610" s="30">
        <f t="shared" si="226"/>
        <v>5</v>
      </c>
      <c r="C1610" s="30">
        <f t="shared" si="229"/>
        <v>28</v>
      </c>
      <c r="D1610" s="26">
        <f>MATCH(WEEKDAY(A1610),そのた定義!A:A,0)</f>
        <v>6</v>
      </c>
      <c r="E1610" s="26" t="str">
        <f t="shared" ca="1" si="230"/>
        <v>木</v>
      </c>
      <c r="F1610" s="26">
        <f t="shared" si="231"/>
        <v>0</v>
      </c>
      <c r="G1610" s="26">
        <f>IF(ISNA(MATCH(A1610,祝日定義!E:E,0)),0,1)</f>
        <v>0</v>
      </c>
      <c r="H1610" s="26">
        <f>IF(ISNA(MATCH(B1610&amp;"/"&amp;C1610,そのた定義!E:E,0)), 0, 1)</f>
        <v>0</v>
      </c>
      <c r="I1610" s="26" t="b">
        <f t="shared" si="232"/>
        <v>0</v>
      </c>
      <c r="J1610" s="26">
        <v>0</v>
      </c>
      <c r="K1610" s="26" t="b">
        <f t="shared" si="227"/>
        <v>0</v>
      </c>
      <c r="L1610" s="26" t="b">
        <f t="shared" si="228"/>
        <v>0</v>
      </c>
      <c r="M1610" t="b">
        <f t="shared" si="233"/>
        <v>0</v>
      </c>
      <c r="N1610" t="b">
        <f t="shared" si="234"/>
        <v>0</v>
      </c>
    </row>
    <row r="1611" spans="1:14">
      <c r="A1611" s="29">
        <v>46171</v>
      </c>
      <c r="B1611" s="30">
        <f t="shared" si="226"/>
        <v>5</v>
      </c>
      <c r="C1611" s="30">
        <f t="shared" si="229"/>
        <v>29</v>
      </c>
      <c r="D1611" s="26">
        <f>MATCH(WEEKDAY(A1611),そのた定義!A:A,0)</f>
        <v>7</v>
      </c>
      <c r="E1611" s="26" t="str">
        <f t="shared" ca="1" si="230"/>
        <v>金</v>
      </c>
      <c r="F1611" s="26">
        <f t="shared" si="231"/>
        <v>0</v>
      </c>
      <c r="G1611" s="26">
        <f>IF(ISNA(MATCH(A1611,祝日定義!E:E,0)),0,1)</f>
        <v>0</v>
      </c>
      <c r="H1611" s="26">
        <f>IF(ISNA(MATCH(B1611&amp;"/"&amp;C1611,そのた定義!E:E,0)), 0, 1)</f>
        <v>0</v>
      </c>
      <c r="I1611" s="26" t="b">
        <f t="shared" si="232"/>
        <v>0</v>
      </c>
      <c r="J1611" s="26">
        <v>0</v>
      </c>
      <c r="K1611" s="26" t="b">
        <f t="shared" si="227"/>
        <v>0</v>
      </c>
      <c r="L1611" s="26" t="b">
        <f t="shared" si="228"/>
        <v>0</v>
      </c>
      <c r="M1611" t="b">
        <f t="shared" si="233"/>
        <v>0</v>
      </c>
      <c r="N1611" t="b">
        <f t="shared" si="234"/>
        <v>0</v>
      </c>
    </row>
    <row r="1612" spans="1:14">
      <c r="A1612" s="29">
        <v>46172</v>
      </c>
      <c r="B1612" s="30">
        <f t="shared" si="226"/>
        <v>5</v>
      </c>
      <c r="C1612" s="30">
        <f t="shared" si="229"/>
        <v>30</v>
      </c>
      <c r="D1612" s="26">
        <f>MATCH(WEEKDAY(A1612),そのた定義!A:A,0)</f>
        <v>8</v>
      </c>
      <c r="E1612" s="33" t="str">
        <f t="shared" ca="1" si="230"/>
        <v>土</v>
      </c>
      <c r="F1612" s="26">
        <f t="shared" si="231"/>
        <v>1</v>
      </c>
      <c r="G1612" s="26">
        <f>IF(ISNA(MATCH(A1612,祝日定義!E:E,0)),0,1)</f>
        <v>0</v>
      </c>
      <c r="H1612" s="26">
        <f>IF(ISNA(MATCH(B1612&amp;"/"&amp;C1612,そのた定義!E:E,0)), 0, 1)</f>
        <v>0</v>
      </c>
      <c r="I1612" s="23" t="b">
        <f t="shared" si="232"/>
        <v>1</v>
      </c>
      <c r="J1612" s="26">
        <v>0</v>
      </c>
      <c r="K1612" s="26" t="b">
        <f t="shared" si="227"/>
        <v>0</v>
      </c>
      <c r="L1612" s="26" t="b">
        <f t="shared" si="228"/>
        <v>0</v>
      </c>
      <c r="M1612" t="b">
        <f t="shared" si="233"/>
        <v>0</v>
      </c>
      <c r="N1612" t="b">
        <f t="shared" si="234"/>
        <v>0</v>
      </c>
    </row>
    <row r="1613" spans="1:14">
      <c r="A1613" s="29">
        <v>46173</v>
      </c>
      <c r="B1613" s="30">
        <f t="shared" si="226"/>
        <v>5</v>
      </c>
      <c r="C1613" s="30">
        <f t="shared" si="229"/>
        <v>31</v>
      </c>
      <c r="D1613" s="26">
        <f>MATCH(WEEKDAY(A1613),そのた定義!A:A,0)</f>
        <v>2</v>
      </c>
      <c r="E1613" s="32" t="str">
        <f t="shared" ca="1" si="230"/>
        <v>日</v>
      </c>
      <c r="F1613" s="26">
        <f t="shared" si="231"/>
        <v>1</v>
      </c>
      <c r="G1613" s="26">
        <f>IF(ISNA(MATCH(A1613,祝日定義!E:E,0)),0,1)</f>
        <v>0</v>
      </c>
      <c r="H1613" s="26">
        <f>IF(ISNA(MATCH(B1613&amp;"/"&amp;C1613,そのた定義!E:E,0)), 0, 1)</f>
        <v>0</v>
      </c>
      <c r="I1613" s="23" t="b">
        <f t="shared" si="232"/>
        <v>1</v>
      </c>
      <c r="J1613" s="26">
        <v>0</v>
      </c>
      <c r="K1613" s="26" t="b">
        <f t="shared" si="227"/>
        <v>0</v>
      </c>
      <c r="L1613" s="26" t="b">
        <f t="shared" si="228"/>
        <v>0</v>
      </c>
      <c r="M1613" t="b">
        <f t="shared" si="233"/>
        <v>0</v>
      </c>
      <c r="N1613" t="b">
        <f t="shared" si="234"/>
        <v>1</v>
      </c>
    </row>
    <row r="1614" spans="1:14">
      <c r="A1614" s="29">
        <v>46174</v>
      </c>
      <c r="B1614" s="30">
        <f t="shared" si="226"/>
        <v>6</v>
      </c>
      <c r="C1614" s="30">
        <f t="shared" si="229"/>
        <v>1</v>
      </c>
      <c r="D1614" s="26">
        <f>MATCH(WEEKDAY(A1614),そのた定義!A:A,0)</f>
        <v>3</v>
      </c>
      <c r="E1614" s="26" t="str">
        <f t="shared" ca="1" si="230"/>
        <v>月</v>
      </c>
      <c r="F1614" s="26">
        <f t="shared" si="231"/>
        <v>0</v>
      </c>
      <c r="G1614" s="26">
        <f>IF(ISNA(MATCH(A1614,祝日定義!E:E,0)),0,1)</f>
        <v>0</v>
      </c>
      <c r="H1614" s="26">
        <f>IF(ISNA(MATCH(B1614&amp;"/"&amp;C1614,そのた定義!E:E,0)), 0, 1)</f>
        <v>0</v>
      </c>
      <c r="I1614" s="26" t="b">
        <f t="shared" si="232"/>
        <v>0</v>
      </c>
      <c r="J1614" s="26">
        <v>2</v>
      </c>
      <c r="K1614" s="26" t="b">
        <f t="shared" si="227"/>
        <v>0</v>
      </c>
      <c r="L1614" s="26" t="b">
        <f t="shared" si="228"/>
        <v>0</v>
      </c>
      <c r="M1614" t="b">
        <f t="shared" si="233"/>
        <v>1</v>
      </c>
      <c r="N1614" t="b">
        <f t="shared" si="234"/>
        <v>0</v>
      </c>
    </row>
    <row r="1615" spans="1:14">
      <c r="A1615" s="29">
        <v>46175</v>
      </c>
      <c r="B1615" s="30">
        <f t="shared" si="226"/>
        <v>6</v>
      </c>
      <c r="C1615" s="30">
        <f t="shared" si="229"/>
        <v>2</v>
      </c>
      <c r="D1615" s="26">
        <f>MATCH(WEEKDAY(A1615),そのた定義!A:A,0)</f>
        <v>4</v>
      </c>
      <c r="E1615" s="26" t="str">
        <f t="shared" ca="1" si="230"/>
        <v>火</v>
      </c>
      <c r="F1615" s="26">
        <f t="shared" si="231"/>
        <v>0</v>
      </c>
      <c r="G1615" s="26">
        <f>IF(ISNA(MATCH(A1615,祝日定義!E:E,0)),0,1)</f>
        <v>0</v>
      </c>
      <c r="H1615" s="26">
        <f>IF(ISNA(MATCH(B1615&amp;"/"&amp;C1615,そのた定義!E:E,0)), 0, 1)</f>
        <v>0</v>
      </c>
      <c r="I1615" s="26" t="b">
        <f t="shared" si="232"/>
        <v>0</v>
      </c>
      <c r="J1615" s="26">
        <v>0</v>
      </c>
      <c r="K1615" s="26" t="b">
        <f t="shared" si="227"/>
        <v>0</v>
      </c>
      <c r="L1615" s="26" t="b">
        <f t="shared" si="228"/>
        <v>0</v>
      </c>
      <c r="M1615" t="b">
        <f t="shared" si="233"/>
        <v>0</v>
      </c>
      <c r="N1615" t="b">
        <f t="shared" si="234"/>
        <v>0</v>
      </c>
    </row>
    <row r="1616" spans="1:14">
      <c r="A1616" s="29">
        <v>46176</v>
      </c>
      <c r="B1616" s="30">
        <f t="shared" si="226"/>
        <v>6</v>
      </c>
      <c r="C1616" s="30">
        <f t="shared" si="229"/>
        <v>3</v>
      </c>
      <c r="D1616" s="26">
        <f>MATCH(WEEKDAY(A1616),そのた定義!A:A,0)</f>
        <v>5</v>
      </c>
      <c r="E1616" s="26" t="str">
        <f t="shared" ca="1" si="230"/>
        <v>水</v>
      </c>
      <c r="F1616" s="26">
        <f t="shared" si="231"/>
        <v>0</v>
      </c>
      <c r="G1616" s="26">
        <f>IF(ISNA(MATCH(A1616,祝日定義!E:E,0)),0,1)</f>
        <v>0</v>
      </c>
      <c r="H1616" s="26">
        <f>IF(ISNA(MATCH(B1616&amp;"/"&amp;C1616,そのた定義!E:E,0)), 0, 1)</f>
        <v>0</v>
      </c>
      <c r="I1616" s="26" t="b">
        <f t="shared" si="232"/>
        <v>0</v>
      </c>
      <c r="J1616" s="26">
        <v>0</v>
      </c>
      <c r="K1616" s="26" t="b">
        <f t="shared" si="227"/>
        <v>0</v>
      </c>
      <c r="L1616" s="26" t="b">
        <f t="shared" si="228"/>
        <v>0</v>
      </c>
      <c r="M1616" t="b">
        <f t="shared" si="233"/>
        <v>0</v>
      </c>
      <c r="N1616" t="b">
        <f t="shared" si="234"/>
        <v>0</v>
      </c>
    </row>
    <row r="1617" spans="1:14">
      <c r="A1617" s="29">
        <v>46177</v>
      </c>
      <c r="B1617" s="30">
        <f t="shared" si="226"/>
        <v>6</v>
      </c>
      <c r="C1617" s="30">
        <f t="shared" si="229"/>
        <v>4</v>
      </c>
      <c r="D1617" s="26">
        <f>MATCH(WEEKDAY(A1617),そのた定義!A:A,0)</f>
        <v>6</v>
      </c>
      <c r="E1617" s="26" t="str">
        <f t="shared" ca="1" si="230"/>
        <v>木</v>
      </c>
      <c r="F1617" s="26">
        <f t="shared" si="231"/>
        <v>0</v>
      </c>
      <c r="G1617" s="26">
        <f>IF(ISNA(MATCH(A1617,祝日定義!E:E,0)),0,1)</f>
        <v>0</v>
      </c>
      <c r="H1617" s="26">
        <f>IF(ISNA(MATCH(B1617&amp;"/"&amp;C1617,そのた定義!E:E,0)), 0, 1)</f>
        <v>0</v>
      </c>
      <c r="I1617" s="26" t="b">
        <f t="shared" si="232"/>
        <v>0</v>
      </c>
      <c r="J1617" s="26">
        <v>0</v>
      </c>
      <c r="K1617" s="26" t="b">
        <f t="shared" si="227"/>
        <v>0</v>
      </c>
      <c r="L1617" s="26" t="b">
        <f t="shared" si="228"/>
        <v>0</v>
      </c>
      <c r="M1617" t="b">
        <f t="shared" si="233"/>
        <v>0</v>
      </c>
      <c r="N1617" t="b">
        <f t="shared" si="234"/>
        <v>0</v>
      </c>
    </row>
    <row r="1618" spans="1:14">
      <c r="A1618" s="29">
        <v>46178</v>
      </c>
      <c r="B1618" s="30">
        <f t="shared" si="226"/>
        <v>6</v>
      </c>
      <c r="C1618" s="30">
        <f t="shared" si="229"/>
        <v>5</v>
      </c>
      <c r="D1618" s="26">
        <f>MATCH(WEEKDAY(A1618),そのた定義!A:A,0)</f>
        <v>7</v>
      </c>
      <c r="E1618" s="26" t="str">
        <f t="shared" ca="1" si="230"/>
        <v>金</v>
      </c>
      <c r="F1618" s="26">
        <f t="shared" si="231"/>
        <v>0</v>
      </c>
      <c r="G1618" s="26">
        <f>IF(ISNA(MATCH(A1618,祝日定義!E:E,0)),0,1)</f>
        <v>0</v>
      </c>
      <c r="H1618" s="26">
        <f>IF(ISNA(MATCH(B1618&amp;"/"&amp;C1618,そのた定義!E:E,0)), 0, 1)</f>
        <v>0</v>
      </c>
      <c r="I1618" s="26" t="b">
        <f t="shared" si="232"/>
        <v>0</v>
      </c>
      <c r="J1618" s="26">
        <v>0</v>
      </c>
      <c r="K1618" s="26" t="b">
        <f t="shared" si="227"/>
        <v>0</v>
      </c>
      <c r="L1618" s="26" t="b">
        <f t="shared" si="228"/>
        <v>0</v>
      </c>
      <c r="M1618" t="b">
        <f t="shared" si="233"/>
        <v>0</v>
      </c>
      <c r="N1618" t="b">
        <f t="shared" si="234"/>
        <v>0</v>
      </c>
    </row>
    <row r="1619" spans="1:14">
      <c r="A1619" s="29">
        <v>46179</v>
      </c>
      <c r="B1619" s="30">
        <f t="shared" si="226"/>
        <v>6</v>
      </c>
      <c r="C1619" s="30">
        <f t="shared" si="229"/>
        <v>6</v>
      </c>
      <c r="D1619" s="26">
        <f>MATCH(WEEKDAY(A1619),そのた定義!A:A,0)</f>
        <v>8</v>
      </c>
      <c r="E1619" s="33" t="str">
        <f t="shared" ca="1" si="230"/>
        <v>土</v>
      </c>
      <c r="F1619" s="26">
        <f t="shared" si="231"/>
        <v>1</v>
      </c>
      <c r="G1619" s="26">
        <f>IF(ISNA(MATCH(A1619,祝日定義!E:E,0)),0,1)</f>
        <v>0</v>
      </c>
      <c r="H1619" s="26">
        <f>IF(ISNA(MATCH(B1619&amp;"/"&amp;C1619,そのた定義!E:E,0)), 0, 1)</f>
        <v>0</v>
      </c>
      <c r="I1619" s="23" t="b">
        <f t="shared" si="232"/>
        <v>1</v>
      </c>
      <c r="J1619" s="26">
        <v>0</v>
      </c>
      <c r="K1619" s="26" t="b">
        <f t="shared" si="227"/>
        <v>0</v>
      </c>
      <c r="L1619" s="26" t="b">
        <f t="shared" si="228"/>
        <v>0</v>
      </c>
      <c r="M1619" t="b">
        <f t="shared" si="233"/>
        <v>0</v>
      </c>
      <c r="N1619" t="b">
        <f t="shared" si="234"/>
        <v>0</v>
      </c>
    </row>
    <row r="1620" spans="1:14">
      <c r="A1620" s="29">
        <v>46180</v>
      </c>
      <c r="B1620" s="30">
        <f t="shared" si="226"/>
        <v>6</v>
      </c>
      <c r="C1620" s="30">
        <f t="shared" si="229"/>
        <v>7</v>
      </c>
      <c r="D1620" s="26">
        <f>MATCH(WEEKDAY(A1620),そのた定義!A:A,0)</f>
        <v>2</v>
      </c>
      <c r="E1620" s="32" t="str">
        <f t="shared" ca="1" si="230"/>
        <v>日</v>
      </c>
      <c r="F1620" s="26">
        <f t="shared" si="231"/>
        <v>1</v>
      </c>
      <c r="G1620" s="26">
        <f>IF(ISNA(MATCH(A1620,祝日定義!E:E,0)),0,1)</f>
        <v>0</v>
      </c>
      <c r="H1620" s="26">
        <f>IF(ISNA(MATCH(B1620&amp;"/"&amp;C1620,そのた定義!E:E,0)), 0, 1)</f>
        <v>0</v>
      </c>
      <c r="I1620" s="23" t="b">
        <f t="shared" si="232"/>
        <v>1</v>
      </c>
      <c r="J1620" s="26">
        <v>0</v>
      </c>
      <c r="K1620" s="26" t="b">
        <f t="shared" si="227"/>
        <v>0</v>
      </c>
      <c r="L1620" s="26" t="b">
        <f t="shared" si="228"/>
        <v>0</v>
      </c>
      <c r="M1620" t="b">
        <f t="shared" si="233"/>
        <v>0</v>
      </c>
      <c r="N1620" t="b">
        <f t="shared" si="234"/>
        <v>0</v>
      </c>
    </row>
    <row r="1621" spans="1:14">
      <c r="A1621" s="29">
        <v>46181</v>
      </c>
      <c r="B1621" s="30">
        <f t="shared" si="226"/>
        <v>6</v>
      </c>
      <c r="C1621" s="30">
        <f t="shared" si="229"/>
        <v>8</v>
      </c>
      <c r="D1621" s="26">
        <f>MATCH(WEEKDAY(A1621),そのた定義!A:A,0)</f>
        <v>3</v>
      </c>
      <c r="E1621" s="26" t="str">
        <f t="shared" ca="1" si="230"/>
        <v>月</v>
      </c>
      <c r="F1621" s="26">
        <f t="shared" si="231"/>
        <v>0</v>
      </c>
      <c r="G1621" s="26">
        <f>IF(ISNA(MATCH(A1621,祝日定義!E:E,0)),0,1)</f>
        <v>0</v>
      </c>
      <c r="H1621" s="26">
        <f>IF(ISNA(MATCH(B1621&amp;"/"&amp;C1621,そのた定義!E:E,0)), 0, 1)</f>
        <v>0</v>
      </c>
      <c r="I1621" s="26" t="b">
        <f t="shared" si="232"/>
        <v>0</v>
      </c>
      <c r="J1621" s="26">
        <v>2</v>
      </c>
      <c r="K1621" s="26" t="b">
        <f t="shared" si="227"/>
        <v>0</v>
      </c>
      <c r="L1621" s="26" t="b">
        <f t="shared" si="228"/>
        <v>0</v>
      </c>
      <c r="M1621" t="b">
        <f t="shared" si="233"/>
        <v>0</v>
      </c>
      <c r="N1621" t="b">
        <f t="shared" si="234"/>
        <v>0</v>
      </c>
    </row>
    <row r="1622" spans="1:14">
      <c r="A1622" s="29">
        <v>46182</v>
      </c>
      <c r="B1622" s="30">
        <f t="shared" si="226"/>
        <v>6</v>
      </c>
      <c r="C1622" s="30">
        <f t="shared" si="229"/>
        <v>9</v>
      </c>
      <c r="D1622" s="26">
        <f>MATCH(WEEKDAY(A1622),そのた定義!A:A,0)</f>
        <v>4</v>
      </c>
      <c r="E1622" s="26" t="str">
        <f t="shared" ca="1" si="230"/>
        <v>火</v>
      </c>
      <c r="F1622" s="26">
        <f t="shared" si="231"/>
        <v>0</v>
      </c>
      <c r="G1622" s="26">
        <f>IF(ISNA(MATCH(A1622,祝日定義!E:E,0)),0,1)</f>
        <v>0</v>
      </c>
      <c r="H1622" s="26">
        <f>IF(ISNA(MATCH(B1622&amp;"/"&amp;C1622,そのた定義!E:E,0)), 0, 1)</f>
        <v>0</v>
      </c>
      <c r="I1622" s="26" t="b">
        <f t="shared" si="232"/>
        <v>0</v>
      </c>
      <c r="J1622" s="26">
        <v>0</v>
      </c>
      <c r="K1622" s="26" t="b">
        <f t="shared" si="227"/>
        <v>0</v>
      </c>
      <c r="L1622" s="26" t="b">
        <f t="shared" si="228"/>
        <v>0</v>
      </c>
      <c r="M1622" t="b">
        <f t="shared" si="233"/>
        <v>0</v>
      </c>
      <c r="N1622" t="b">
        <f t="shared" si="234"/>
        <v>0</v>
      </c>
    </row>
    <row r="1623" spans="1:14">
      <c r="A1623" s="29">
        <v>46183</v>
      </c>
      <c r="B1623" s="30">
        <f t="shared" si="226"/>
        <v>6</v>
      </c>
      <c r="C1623" s="30">
        <f t="shared" si="229"/>
        <v>10</v>
      </c>
      <c r="D1623" s="26">
        <f>MATCH(WEEKDAY(A1623),そのた定義!A:A,0)</f>
        <v>5</v>
      </c>
      <c r="E1623" s="26" t="str">
        <f t="shared" ca="1" si="230"/>
        <v>水</v>
      </c>
      <c r="F1623" s="26">
        <f t="shared" si="231"/>
        <v>0</v>
      </c>
      <c r="G1623" s="26">
        <f>IF(ISNA(MATCH(A1623,祝日定義!E:E,0)),0,1)</f>
        <v>0</v>
      </c>
      <c r="H1623" s="26">
        <f>IF(ISNA(MATCH(B1623&amp;"/"&amp;C1623,そのた定義!E:E,0)), 0, 1)</f>
        <v>0</v>
      </c>
      <c r="I1623" s="26" t="b">
        <f t="shared" si="232"/>
        <v>0</v>
      </c>
      <c r="J1623" s="26">
        <v>0</v>
      </c>
      <c r="K1623" s="26" t="b">
        <f t="shared" si="227"/>
        <v>0</v>
      </c>
      <c r="L1623" s="26" t="b">
        <f t="shared" si="228"/>
        <v>0</v>
      </c>
      <c r="M1623" t="b">
        <f t="shared" si="233"/>
        <v>0</v>
      </c>
      <c r="N1623" t="b">
        <f t="shared" si="234"/>
        <v>0</v>
      </c>
    </row>
    <row r="1624" spans="1:14">
      <c r="A1624" s="29">
        <v>46184</v>
      </c>
      <c r="B1624" s="30">
        <f t="shared" si="226"/>
        <v>6</v>
      </c>
      <c r="C1624" s="30">
        <f t="shared" si="229"/>
        <v>11</v>
      </c>
      <c r="D1624" s="26">
        <f>MATCH(WEEKDAY(A1624),そのた定義!A:A,0)</f>
        <v>6</v>
      </c>
      <c r="E1624" s="26" t="str">
        <f t="shared" ca="1" si="230"/>
        <v>木</v>
      </c>
      <c r="F1624" s="26">
        <f t="shared" si="231"/>
        <v>0</v>
      </c>
      <c r="G1624" s="26">
        <f>IF(ISNA(MATCH(A1624,祝日定義!E:E,0)),0,1)</f>
        <v>0</v>
      </c>
      <c r="H1624" s="26">
        <f>IF(ISNA(MATCH(B1624&amp;"/"&amp;C1624,そのた定義!E:E,0)), 0, 1)</f>
        <v>0</v>
      </c>
      <c r="I1624" s="26" t="b">
        <f t="shared" si="232"/>
        <v>0</v>
      </c>
      <c r="J1624" s="26">
        <v>0</v>
      </c>
      <c r="K1624" s="26" t="b">
        <f t="shared" si="227"/>
        <v>0</v>
      </c>
      <c r="L1624" s="26" t="b">
        <f t="shared" si="228"/>
        <v>0</v>
      </c>
      <c r="M1624" t="b">
        <f t="shared" si="233"/>
        <v>0</v>
      </c>
      <c r="N1624" t="b">
        <f t="shared" si="234"/>
        <v>0</v>
      </c>
    </row>
    <row r="1625" spans="1:14">
      <c r="A1625" s="29">
        <v>46185</v>
      </c>
      <c r="B1625" s="30">
        <f t="shared" si="226"/>
        <v>6</v>
      </c>
      <c r="C1625" s="30">
        <f t="shared" si="229"/>
        <v>12</v>
      </c>
      <c r="D1625" s="26">
        <f>MATCH(WEEKDAY(A1625),そのた定義!A:A,0)</f>
        <v>7</v>
      </c>
      <c r="E1625" s="26" t="str">
        <f t="shared" ca="1" si="230"/>
        <v>金</v>
      </c>
      <c r="F1625" s="26">
        <f t="shared" si="231"/>
        <v>0</v>
      </c>
      <c r="G1625" s="26">
        <f>IF(ISNA(MATCH(A1625,祝日定義!E:E,0)),0,1)</f>
        <v>0</v>
      </c>
      <c r="H1625" s="26">
        <f>IF(ISNA(MATCH(B1625&amp;"/"&amp;C1625,そのた定義!E:E,0)), 0, 1)</f>
        <v>0</v>
      </c>
      <c r="I1625" s="26" t="b">
        <f t="shared" si="232"/>
        <v>0</v>
      </c>
      <c r="J1625" s="26">
        <v>0</v>
      </c>
      <c r="K1625" s="26" t="b">
        <f t="shared" si="227"/>
        <v>0</v>
      </c>
      <c r="L1625" s="26" t="b">
        <f t="shared" si="228"/>
        <v>0</v>
      </c>
      <c r="M1625" t="b">
        <f t="shared" si="233"/>
        <v>0</v>
      </c>
      <c r="N1625" t="b">
        <f t="shared" si="234"/>
        <v>0</v>
      </c>
    </row>
    <row r="1626" spans="1:14">
      <c r="A1626" s="29">
        <v>46186</v>
      </c>
      <c r="B1626" s="30">
        <f t="shared" si="226"/>
        <v>6</v>
      </c>
      <c r="C1626" s="30">
        <f t="shared" si="229"/>
        <v>13</v>
      </c>
      <c r="D1626" s="26">
        <f>MATCH(WEEKDAY(A1626),そのた定義!A:A,0)</f>
        <v>8</v>
      </c>
      <c r="E1626" s="33" t="str">
        <f t="shared" ca="1" si="230"/>
        <v>土</v>
      </c>
      <c r="F1626" s="26">
        <f t="shared" si="231"/>
        <v>1</v>
      </c>
      <c r="G1626" s="26">
        <f>IF(ISNA(MATCH(A1626,祝日定義!E:E,0)),0,1)</f>
        <v>0</v>
      </c>
      <c r="H1626" s="26">
        <f>IF(ISNA(MATCH(B1626&amp;"/"&amp;C1626,そのた定義!E:E,0)), 0, 1)</f>
        <v>0</v>
      </c>
      <c r="I1626" s="23" t="b">
        <f t="shared" si="232"/>
        <v>1</v>
      </c>
      <c r="J1626" s="26">
        <v>0</v>
      </c>
      <c r="K1626" s="26" t="b">
        <f t="shared" si="227"/>
        <v>0</v>
      </c>
      <c r="L1626" s="26" t="b">
        <f t="shared" si="228"/>
        <v>0</v>
      </c>
      <c r="M1626" t="b">
        <f t="shared" si="233"/>
        <v>0</v>
      </c>
      <c r="N1626" t="b">
        <f t="shared" si="234"/>
        <v>0</v>
      </c>
    </row>
    <row r="1627" spans="1:14">
      <c r="A1627" s="29">
        <v>46187</v>
      </c>
      <c r="B1627" s="30">
        <f t="shared" si="226"/>
        <v>6</v>
      </c>
      <c r="C1627" s="30">
        <f t="shared" si="229"/>
        <v>14</v>
      </c>
      <c r="D1627" s="26">
        <f>MATCH(WEEKDAY(A1627),そのた定義!A:A,0)</f>
        <v>2</v>
      </c>
      <c r="E1627" s="32" t="str">
        <f t="shared" ca="1" si="230"/>
        <v>日</v>
      </c>
      <c r="F1627" s="26">
        <f t="shared" si="231"/>
        <v>1</v>
      </c>
      <c r="G1627" s="26">
        <f>IF(ISNA(MATCH(A1627,祝日定義!E:E,0)),0,1)</f>
        <v>0</v>
      </c>
      <c r="H1627" s="26">
        <f>IF(ISNA(MATCH(B1627&amp;"/"&amp;C1627,そのた定義!E:E,0)), 0, 1)</f>
        <v>0</v>
      </c>
      <c r="I1627" s="23" t="b">
        <f t="shared" si="232"/>
        <v>1</v>
      </c>
      <c r="J1627" s="26">
        <v>0</v>
      </c>
      <c r="K1627" s="26" t="b">
        <f t="shared" si="227"/>
        <v>0</v>
      </c>
      <c r="L1627" s="26" t="b">
        <f t="shared" si="228"/>
        <v>0</v>
      </c>
      <c r="M1627" t="b">
        <f t="shared" si="233"/>
        <v>0</v>
      </c>
      <c r="N1627" t="b">
        <f t="shared" si="234"/>
        <v>0</v>
      </c>
    </row>
    <row r="1628" spans="1:14">
      <c r="A1628" s="29">
        <v>46188</v>
      </c>
      <c r="B1628" s="30">
        <f t="shared" si="226"/>
        <v>6</v>
      </c>
      <c r="C1628" s="30">
        <f t="shared" si="229"/>
        <v>15</v>
      </c>
      <c r="D1628" s="26">
        <f>MATCH(WEEKDAY(A1628),そのた定義!A:A,0)</f>
        <v>3</v>
      </c>
      <c r="E1628" s="26" t="str">
        <f t="shared" ca="1" si="230"/>
        <v>月</v>
      </c>
      <c r="F1628" s="26">
        <f t="shared" si="231"/>
        <v>0</v>
      </c>
      <c r="G1628" s="26">
        <f>IF(ISNA(MATCH(A1628,祝日定義!E:E,0)),0,1)</f>
        <v>0</v>
      </c>
      <c r="H1628" s="26">
        <f>IF(ISNA(MATCH(B1628&amp;"/"&amp;C1628,そのた定義!E:E,0)), 0, 1)</f>
        <v>0</v>
      </c>
      <c r="I1628" s="26" t="b">
        <f t="shared" si="232"/>
        <v>0</v>
      </c>
      <c r="J1628" s="26">
        <v>2</v>
      </c>
      <c r="K1628" s="26" t="b">
        <f t="shared" si="227"/>
        <v>0</v>
      </c>
      <c r="L1628" s="26" t="b">
        <f t="shared" si="228"/>
        <v>0</v>
      </c>
      <c r="M1628" t="b">
        <f t="shared" si="233"/>
        <v>0</v>
      </c>
      <c r="N1628" t="b">
        <f t="shared" si="234"/>
        <v>0</v>
      </c>
    </row>
    <row r="1629" spans="1:14">
      <c r="A1629" s="29">
        <v>46189</v>
      </c>
      <c r="B1629" s="30">
        <f t="shared" si="226"/>
        <v>6</v>
      </c>
      <c r="C1629" s="30">
        <f t="shared" si="229"/>
        <v>16</v>
      </c>
      <c r="D1629" s="26">
        <f>MATCH(WEEKDAY(A1629),そのた定義!A:A,0)</f>
        <v>4</v>
      </c>
      <c r="E1629" s="26" t="str">
        <f t="shared" ca="1" si="230"/>
        <v>火</v>
      </c>
      <c r="F1629" s="26">
        <f t="shared" si="231"/>
        <v>0</v>
      </c>
      <c r="G1629" s="26">
        <f>IF(ISNA(MATCH(A1629,祝日定義!E:E,0)),0,1)</f>
        <v>0</v>
      </c>
      <c r="H1629" s="26">
        <f>IF(ISNA(MATCH(B1629&amp;"/"&amp;C1629,そのた定義!E:E,0)), 0, 1)</f>
        <v>0</v>
      </c>
      <c r="I1629" s="26" t="b">
        <f t="shared" si="232"/>
        <v>0</v>
      </c>
      <c r="J1629" s="26">
        <v>0</v>
      </c>
      <c r="K1629" s="26" t="b">
        <f t="shared" si="227"/>
        <v>0</v>
      </c>
      <c r="L1629" s="26" t="b">
        <f t="shared" si="228"/>
        <v>0</v>
      </c>
      <c r="M1629" t="b">
        <f t="shared" si="233"/>
        <v>0</v>
      </c>
      <c r="N1629" t="b">
        <f t="shared" si="234"/>
        <v>0</v>
      </c>
    </row>
    <row r="1630" spans="1:14">
      <c r="A1630" s="29">
        <v>46190</v>
      </c>
      <c r="B1630" s="30">
        <f t="shared" si="226"/>
        <v>6</v>
      </c>
      <c r="C1630" s="30">
        <f t="shared" si="229"/>
        <v>17</v>
      </c>
      <c r="D1630" s="26">
        <f>MATCH(WEEKDAY(A1630),そのた定義!A:A,0)</f>
        <v>5</v>
      </c>
      <c r="E1630" s="26" t="str">
        <f t="shared" ca="1" si="230"/>
        <v>水</v>
      </c>
      <c r="F1630" s="26">
        <f t="shared" si="231"/>
        <v>0</v>
      </c>
      <c r="G1630" s="26">
        <f>IF(ISNA(MATCH(A1630,祝日定義!E:E,0)),0,1)</f>
        <v>0</v>
      </c>
      <c r="H1630" s="26">
        <f>IF(ISNA(MATCH(B1630&amp;"/"&amp;C1630,そのた定義!E:E,0)), 0, 1)</f>
        <v>0</v>
      </c>
      <c r="I1630" s="26" t="b">
        <f t="shared" si="232"/>
        <v>0</v>
      </c>
      <c r="J1630" s="26">
        <v>0</v>
      </c>
      <c r="K1630" s="26" t="b">
        <f t="shared" si="227"/>
        <v>0</v>
      </c>
      <c r="L1630" s="26" t="b">
        <f t="shared" si="228"/>
        <v>0</v>
      </c>
      <c r="M1630" t="b">
        <f t="shared" si="233"/>
        <v>0</v>
      </c>
      <c r="N1630" t="b">
        <f t="shared" si="234"/>
        <v>0</v>
      </c>
    </row>
    <row r="1631" spans="1:14">
      <c r="A1631" s="29">
        <v>46191</v>
      </c>
      <c r="B1631" s="30">
        <f t="shared" si="226"/>
        <v>6</v>
      </c>
      <c r="C1631" s="30">
        <f t="shared" si="229"/>
        <v>18</v>
      </c>
      <c r="D1631" s="26">
        <f>MATCH(WEEKDAY(A1631),そのた定義!A:A,0)</f>
        <v>6</v>
      </c>
      <c r="E1631" s="26" t="str">
        <f t="shared" ca="1" si="230"/>
        <v>木</v>
      </c>
      <c r="F1631" s="26">
        <f t="shared" si="231"/>
        <v>0</v>
      </c>
      <c r="G1631" s="26">
        <f>IF(ISNA(MATCH(A1631,祝日定義!E:E,0)),0,1)</f>
        <v>0</v>
      </c>
      <c r="H1631" s="26">
        <f>IF(ISNA(MATCH(B1631&amp;"/"&amp;C1631,そのた定義!E:E,0)), 0, 1)</f>
        <v>0</v>
      </c>
      <c r="I1631" s="26" t="b">
        <f t="shared" si="232"/>
        <v>0</v>
      </c>
      <c r="J1631" s="26">
        <v>0</v>
      </c>
      <c r="K1631" s="26" t="b">
        <f t="shared" si="227"/>
        <v>0</v>
      </c>
      <c r="L1631" s="26" t="b">
        <f t="shared" si="228"/>
        <v>0</v>
      </c>
      <c r="M1631" t="b">
        <f t="shared" si="233"/>
        <v>0</v>
      </c>
      <c r="N1631" t="b">
        <f t="shared" si="234"/>
        <v>0</v>
      </c>
    </row>
    <row r="1632" spans="1:14">
      <c r="A1632" s="29">
        <v>46192</v>
      </c>
      <c r="B1632" s="30">
        <f t="shared" si="226"/>
        <v>6</v>
      </c>
      <c r="C1632" s="30">
        <f t="shared" si="229"/>
        <v>19</v>
      </c>
      <c r="D1632" s="26">
        <f>MATCH(WEEKDAY(A1632),そのた定義!A:A,0)</f>
        <v>7</v>
      </c>
      <c r="E1632" s="26" t="str">
        <f t="shared" ca="1" si="230"/>
        <v>金</v>
      </c>
      <c r="F1632" s="26">
        <f t="shared" si="231"/>
        <v>0</v>
      </c>
      <c r="G1632" s="26">
        <f>IF(ISNA(MATCH(A1632,祝日定義!E:E,0)),0,1)</f>
        <v>0</v>
      </c>
      <c r="H1632" s="26">
        <f>IF(ISNA(MATCH(B1632&amp;"/"&amp;C1632,そのた定義!E:E,0)), 0, 1)</f>
        <v>0</v>
      </c>
      <c r="I1632" s="26" t="b">
        <f t="shared" si="232"/>
        <v>0</v>
      </c>
      <c r="J1632" s="26">
        <v>0</v>
      </c>
      <c r="K1632" s="26" t="b">
        <f t="shared" si="227"/>
        <v>0</v>
      </c>
      <c r="L1632" s="26" t="b">
        <f t="shared" si="228"/>
        <v>0</v>
      </c>
      <c r="M1632" t="b">
        <f t="shared" si="233"/>
        <v>0</v>
      </c>
      <c r="N1632" t="b">
        <f t="shared" si="234"/>
        <v>0</v>
      </c>
    </row>
    <row r="1633" spans="1:14">
      <c r="A1633" s="29">
        <v>46193</v>
      </c>
      <c r="B1633" s="30">
        <f t="shared" si="226"/>
        <v>6</v>
      </c>
      <c r="C1633" s="30">
        <f t="shared" si="229"/>
        <v>20</v>
      </c>
      <c r="D1633" s="26">
        <f>MATCH(WEEKDAY(A1633),そのた定義!A:A,0)</f>
        <v>8</v>
      </c>
      <c r="E1633" s="33" t="str">
        <f t="shared" ca="1" si="230"/>
        <v>土</v>
      </c>
      <c r="F1633" s="26">
        <f t="shared" si="231"/>
        <v>1</v>
      </c>
      <c r="G1633" s="26">
        <f>IF(ISNA(MATCH(A1633,祝日定義!E:E,0)),0,1)</f>
        <v>0</v>
      </c>
      <c r="H1633" s="26">
        <f>IF(ISNA(MATCH(B1633&amp;"/"&amp;C1633,そのた定義!E:E,0)), 0, 1)</f>
        <v>0</v>
      </c>
      <c r="I1633" s="23" t="b">
        <f t="shared" si="232"/>
        <v>1</v>
      </c>
      <c r="J1633" s="26">
        <v>0</v>
      </c>
      <c r="K1633" s="26" t="b">
        <f t="shared" si="227"/>
        <v>0</v>
      </c>
      <c r="L1633" s="26" t="b">
        <f t="shared" si="228"/>
        <v>0</v>
      </c>
      <c r="M1633" t="b">
        <f t="shared" si="233"/>
        <v>0</v>
      </c>
      <c r="N1633" t="b">
        <f t="shared" si="234"/>
        <v>0</v>
      </c>
    </row>
    <row r="1634" spans="1:14">
      <c r="A1634" s="29">
        <v>46194</v>
      </c>
      <c r="B1634" s="30">
        <f t="shared" si="226"/>
        <v>6</v>
      </c>
      <c r="C1634" s="30">
        <f t="shared" si="229"/>
        <v>21</v>
      </c>
      <c r="D1634" s="26">
        <f>MATCH(WEEKDAY(A1634),そのた定義!A:A,0)</f>
        <v>2</v>
      </c>
      <c r="E1634" s="32" t="str">
        <f t="shared" ca="1" si="230"/>
        <v>日</v>
      </c>
      <c r="F1634" s="26">
        <f t="shared" si="231"/>
        <v>1</v>
      </c>
      <c r="G1634" s="26">
        <f>IF(ISNA(MATCH(A1634,祝日定義!E:E,0)),0,1)</f>
        <v>0</v>
      </c>
      <c r="H1634" s="26">
        <f>IF(ISNA(MATCH(B1634&amp;"/"&amp;C1634,そのた定義!E:E,0)), 0, 1)</f>
        <v>0</v>
      </c>
      <c r="I1634" s="23" t="b">
        <f t="shared" si="232"/>
        <v>1</v>
      </c>
      <c r="J1634" s="26">
        <v>0</v>
      </c>
      <c r="K1634" s="26" t="b">
        <f t="shared" si="227"/>
        <v>0</v>
      </c>
      <c r="L1634" s="26" t="b">
        <f t="shared" si="228"/>
        <v>0</v>
      </c>
      <c r="M1634" t="b">
        <f t="shared" si="233"/>
        <v>0</v>
      </c>
      <c r="N1634" t="b">
        <f t="shared" si="234"/>
        <v>0</v>
      </c>
    </row>
    <row r="1635" spans="1:14">
      <c r="A1635" s="29">
        <v>46195</v>
      </c>
      <c r="B1635" s="30">
        <f t="shared" si="226"/>
        <v>6</v>
      </c>
      <c r="C1635" s="30">
        <f t="shared" si="229"/>
        <v>22</v>
      </c>
      <c r="D1635" s="26">
        <f>MATCH(WEEKDAY(A1635),そのた定義!A:A,0)</f>
        <v>3</v>
      </c>
      <c r="E1635" s="26" t="str">
        <f t="shared" ca="1" si="230"/>
        <v>月</v>
      </c>
      <c r="F1635" s="26">
        <f t="shared" si="231"/>
        <v>0</v>
      </c>
      <c r="G1635" s="26">
        <f>IF(ISNA(MATCH(A1635,祝日定義!E:E,0)),0,1)</f>
        <v>0</v>
      </c>
      <c r="H1635" s="26">
        <f>IF(ISNA(MATCH(B1635&amp;"/"&amp;C1635,そのた定義!E:E,0)), 0, 1)</f>
        <v>0</v>
      </c>
      <c r="I1635" s="26" t="b">
        <f t="shared" si="232"/>
        <v>0</v>
      </c>
      <c r="J1635" s="26">
        <v>2</v>
      </c>
      <c r="K1635" s="26" t="b">
        <f t="shared" si="227"/>
        <v>0</v>
      </c>
      <c r="L1635" s="26" t="b">
        <f t="shared" si="228"/>
        <v>0</v>
      </c>
      <c r="M1635" t="b">
        <f t="shared" si="233"/>
        <v>0</v>
      </c>
      <c r="N1635" t="b">
        <f t="shared" si="234"/>
        <v>0</v>
      </c>
    </row>
    <row r="1636" spans="1:14">
      <c r="A1636" s="29">
        <v>46196</v>
      </c>
      <c r="B1636" s="30">
        <f t="shared" si="226"/>
        <v>6</v>
      </c>
      <c r="C1636" s="30">
        <f t="shared" si="229"/>
        <v>23</v>
      </c>
      <c r="D1636" s="26">
        <f>MATCH(WEEKDAY(A1636),そのた定義!A:A,0)</f>
        <v>4</v>
      </c>
      <c r="E1636" s="26" t="str">
        <f t="shared" ca="1" si="230"/>
        <v>火</v>
      </c>
      <c r="F1636" s="26">
        <f t="shared" si="231"/>
        <v>0</v>
      </c>
      <c r="G1636" s="26">
        <f>IF(ISNA(MATCH(A1636,祝日定義!E:E,0)),0,1)</f>
        <v>0</v>
      </c>
      <c r="H1636" s="26">
        <f>IF(ISNA(MATCH(B1636&amp;"/"&amp;C1636,そのた定義!E:E,0)), 0, 1)</f>
        <v>0</v>
      </c>
      <c r="I1636" s="26" t="b">
        <f t="shared" si="232"/>
        <v>0</v>
      </c>
      <c r="J1636" s="26">
        <v>0</v>
      </c>
      <c r="K1636" s="26" t="b">
        <f t="shared" si="227"/>
        <v>0</v>
      </c>
      <c r="L1636" s="26" t="b">
        <f t="shared" si="228"/>
        <v>0</v>
      </c>
      <c r="M1636" t="b">
        <f t="shared" si="233"/>
        <v>0</v>
      </c>
      <c r="N1636" t="b">
        <f t="shared" si="234"/>
        <v>0</v>
      </c>
    </row>
    <row r="1637" spans="1:14">
      <c r="A1637" s="29">
        <v>46197</v>
      </c>
      <c r="B1637" s="30">
        <f t="shared" si="226"/>
        <v>6</v>
      </c>
      <c r="C1637" s="30">
        <f t="shared" si="229"/>
        <v>24</v>
      </c>
      <c r="D1637" s="26">
        <f>MATCH(WEEKDAY(A1637),そのた定義!A:A,0)</f>
        <v>5</v>
      </c>
      <c r="E1637" s="26" t="str">
        <f t="shared" ca="1" si="230"/>
        <v>水</v>
      </c>
      <c r="F1637" s="26">
        <f t="shared" si="231"/>
        <v>0</v>
      </c>
      <c r="G1637" s="26">
        <f>IF(ISNA(MATCH(A1637,祝日定義!E:E,0)),0,1)</f>
        <v>0</v>
      </c>
      <c r="H1637" s="26">
        <f>IF(ISNA(MATCH(B1637&amp;"/"&amp;C1637,そのた定義!E:E,0)), 0, 1)</f>
        <v>0</v>
      </c>
      <c r="I1637" s="26" t="b">
        <f t="shared" si="232"/>
        <v>0</v>
      </c>
      <c r="J1637" s="26">
        <v>0</v>
      </c>
      <c r="K1637" s="26" t="b">
        <f t="shared" si="227"/>
        <v>0</v>
      </c>
      <c r="L1637" s="26" t="b">
        <f t="shared" si="228"/>
        <v>0</v>
      </c>
      <c r="M1637" t="b">
        <f t="shared" si="233"/>
        <v>0</v>
      </c>
      <c r="N1637" t="b">
        <f t="shared" si="234"/>
        <v>0</v>
      </c>
    </row>
    <row r="1638" spans="1:14">
      <c r="A1638" s="29">
        <v>46198</v>
      </c>
      <c r="B1638" s="30">
        <f t="shared" si="226"/>
        <v>6</v>
      </c>
      <c r="C1638" s="30">
        <f t="shared" si="229"/>
        <v>25</v>
      </c>
      <c r="D1638" s="26">
        <f>MATCH(WEEKDAY(A1638),そのた定義!A:A,0)</f>
        <v>6</v>
      </c>
      <c r="E1638" s="26" t="str">
        <f t="shared" ca="1" si="230"/>
        <v>木</v>
      </c>
      <c r="F1638" s="26">
        <f t="shared" si="231"/>
        <v>0</v>
      </c>
      <c r="G1638" s="26">
        <f>IF(ISNA(MATCH(A1638,祝日定義!E:E,0)),0,1)</f>
        <v>0</v>
      </c>
      <c r="H1638" s="26">
        <f>IF(ISNA(MATCH(B1638&amp;"/"&amp;C1638,そのた定義!E:E,0)), 0, 1)</f>
        <v>0</v>
      </c>
      <c r="I1638" s="26" t="b">
        <f t="shared" si="232"/>
        <v>0</v>
      </c>
      <c r="J1638" s="26">
        <v>0</v>
      </c>
      <c r="K1638" s="26" t="b">
        <f t="shared" si="227"/>
        <v>0</v>
      </c>
      <c r="L1638" s="23" t="b">
        <f t="shared" si="228"/>
        <v>1</v>
      </c>
      <c r="M1638" t="b">
        <f t="shared" si="233"/>
        <v>0</v>
      </c>
      <c r="N1638" t="b">
        <f t="shared" si="234"/>
        <v>0</v>
      </c>
    </row>
    <row r="1639" spans="1:14">
      <c r="A1639" s="29">
        <v>46199</v>
      </c>
      <c r="B1639" s="30">
        <f t="shared" si="226"/>
        <v>6</v>
      </c>
      <c r="C1639" s="30">
        <f t="shared" si="229"/>
        <v>26</v>
      </c>
      <c r="D1639" s="26">
        <f>MATCH(WEEKDAY(A1639),そのた定義!A:A,0)</f>
        <v>7</v>
      </c>
      <c r="E1639" s="26" t="str">
        <f t="shared" ca="1" si="230"/>
        <v>金</v>
      </c>
      <c r="F1639" s="26">
        <f t="shared" si="231"/>
        <v>0</v>
      </c>
      <c r="G1639" s="26">
        <f>IF(ISNA(MATCH(A1639,祝日定義!E:E,0)),0,1)</f>
        <v>0</v>
      </c>
      <c r="H1639" s="26">
        <f>IF(ISNA(MATCH(B1639&amp;"/"&amp;C1639,そのた定義!E:E,0)), 0, 1)</f>
        <v>0</v>
      </c>
      <c r="I1639" s="26" t="b">
        <f t="shared" si="232"/>
        <v>0</v>
      </c>
      <c r="J1639" s="26">
        <v>0</v>
      </c>
      <c r="K1639" s="26" t="b">
        <f t="shared" si="227"/>
        <v>0</v>
      </c>
      <c r="L1639" s="26" t="b">
        <f t="shared" si="228"/>
        <v>0</v>
      </c>
      <c r="M1639" t="b">
        <f t="shared" si="233"/>
        <v>0</v>
      </c>
      <c r="N1639" t="b">
        <f t="shared" si="234"/>
        <v>0</v>
      </c>
    </row>
    <row r="1640" spans="1:14">
      <c r="A1640" s="29">
        <v>46200</v>
      </c>
      <c r="B1640" s="30">
        <f t="shared" si="226"/>
        <v>6</v>
      </c>
      <c r="C1640" s="30">
        <f t="shared" si="229"/>
        <v>27</v>
      </c>
      <c r="D1640" s="26">
        <f>MATCH(WEEKDAY(A1640),そのた定義!A:A,0)</f>
        <v>8</v>
      </c>
      <c r="E1640" s="33" t="str">
        <f t="shared" ca="1" si="230"/>
        <v>土</v>
      </c>
      <c r="F1640" s="26">
        <f t="shared" si="231"/>
        <v>1</v>
      </c>
      <c r="G1640" s="26">
        <f>IF(ISNA(MATCH(A1640,祝日定義!E:E,0)),0,1)</f>
        <v>0</v>
      </c>
      <c r="H1640" s="26">
        <f>IF(ISNA(MATCH(B1640&amp;"/"&amp;C1640,そのた定義!E:E,0)), 0, 1)</f>
        <v>0</v>
      </c>
      <c r="I1640" s="23" t="b">
        <f t="shared" si="232"/>
        <v>1</v>
      </c>
      <c r="J1640" s="26">
        <v>0</v>
      </c>
      <c r="K1640" s="26" t="b">
        <f t="shared" si="227"/>
        <v>0</v>
      </c>
      <c r="L1640" s="26" t="b">
        <f t="shared" si="228"/>
        <v>0</v>
      </c>
      <c r="M1640" t="b">
        <f t="shared" si="233"/>
        <v>0</v>
      </c>
      <c r="N1640" t="b">
        <f t="shared" si="234"/>
        <v>0</v>
      </c>
    </row>
    <row r="1641" spans="1:14">
      <c r="A1641" s="29">
        <v>46201</v>
      </c>
      <c r="B1641" s="30">
        <f t="shared" si="226"/>
        <v>6</v>
      </c>
      <c r="C1641" s="30">
        <f t="shared" si="229"/>
        <v>28</v>
      </c>
      <c r="D1641" s="26">
        <f>MATCH(WEEKDAY(A1641),そのた定義!A:A,0)</f>
        <v>2</v>
      </c>
      <c r="E1641" s="32" t="str">
        <f t="shared" ca="1" si="230"/>
        <v>日</v>
      </c>
      <c r="F1641" s="26">
        <f t="shared" si="231"/>
        <v>1</v>
      </c>
      <c r="G1641" s="26">
        <f>IF(ISNA(MATCH(A1641,祝日定義!E:E,0)),0,1)</f>
        <v>0</v>
      </c>
      <c r="H1641" s="26">
        <f>IF(ISNA(MATCH(B1641&amp;"/"&amp;C1641,そのた定義!E:E,0)), 0, 1)</f>
        <v>0</v>
      </c>
      <c r="I1641" s="23" t="b">
        <f t="shared" si="232"/>
        <v>1</v>
      </c>
      <c r="J1641" s="26">
        <v>0</v>
      </c>
      <c r="K1641" s="26" t="b">
        <f t="shared" si="227"/>
        <v>0</v>
      </c>
      <c r="L1641" s="26" t="b">
        <f t="shared" si="228"/>
        <v>0</v>
      </c>
      <c r="M1641" t="b">
        <f t="shared" si="233"/>
        <v>0</v>
      </c>
      <c r="N1641" t="b">
        <f t="shared" si="234"/>
        <v>0</v>
      </c>
    </row>
    <row r="1642" spans="1:14">
      <c r="A1642" s="29">
        <v>46202</v>
      </c>
      <c r="B1642" s="30">
        <f t="shared" si="226"/>
        <v>6</v>
      </c>
      <c r="C1642" s="30">
        <f t="shared" si="229"/>
        <v>29</v>
      </c>
      <c r="D1642" s="26">
        <f>MATCH(WEEKDAY(A1642),そのた定義!A:A,0)</f>
        <v>3</v>
      </c>
      <c r="E1642" s="26" t="str">
        <f t="shared" ca="1" si="230"/>
        <v>月</v>
      </c>
      <c r="F1642" s="26">
        <f t="shared" si="231"/>
        <v>0</v>
      </c>
      <c r="G1642" s="26">
        <f>IF(ISNA(MATCH(A1642,祝日定義!E:E,0)),0,1)</f>
        <v>0</v>
      </c>
      <c r="H1642" s="26">
        <f>IF(ISNA(MATCH(B1642&amp;"/"&amp;C1642,そのた定義!E:E,0)), 0, 1)</f>
        <v>0</v>
      </c>
      <c r="I1642" s="26" t="b">
        <f t="shared" si="232"/>
        <v>0</v>
      </c>
      <c r="J1642" s="26">
        <v>2</v>
      </c>
      <c r="K1642" s="26" t="b">
        <f t="shared" si="227"/>
        <v>0</v>
      </c>
      <c r="L1642" s="26" t="b">
        <f t="shared" si="228"/>
        <v>0</v>
      </c>
      <c r="M1642" t="b">
        <f t="shared" si="233"/>
        <v>0</v>
      </c>
      <c r="N1642" t="b">
        <f t="shared" si="234"/>
        <v>0</v>
      </c>
    </row>
    <row r="1643" spans="1:14">
      <c r="A1643" s="29">
        <v>46203</v>
      </c>
      <c r="B1643" s="30">
        <f t="shared" si="226"/>
        <v>6</v>
      </c>
      <c r="C1643" s="30">
        <f t="shared" si="229"/>
        <v>30</v>
      </c>
      <c r="D1643" s="26">
        <f>MATCH(WEEKDAY(A1643),そのた定義!A:A,0)</f>
        <v>4</v>
      </c>
      <c r="E1643" s="26" t="str">
        <f t="shared" ca="1" si="230"/>
        <v>火</v>
      </c>
      <c r="F1643" s="26">
        <f t="shared" si="231"/>
        <v>0</v>
      </c>
      <c r="G1643" s="26">
        <f>IF(ISNA(MATCH(A1643,祝日定義!E:E,0)),0,1)</f>
        <v>0</v>
      </c>
      <c r="H1643" s="26">
        <f>IF(ISNA(MATCH(B1643&amp;"/"&amp;C1643,そのた定義!E:E,0)), 0, 1)</f>
        <v>0</v>
      </c>
      <c r="I1643" s="26" t="b">
        <f t="shared" si="232"/>
        <v>0</v>
      </c>
      <c r="J1643" s="26">
        <v>0</v>
      </c>
      <c r="K1643" s="26" t="b">
        <f t="shared" si="227"/>
        <v>0</v>
      </c>
      <c r="L1643" s="26" t="b">
        <f t="shared" si="228"/>
        <v>0</v>
      </c>
      <c r="M1643" t="b">
        <f t="shared" si="233"/>
        <v>0</v>
      </c>
      <c r="N1643" t="b">
        <f t="shared" si="234"/>
        <v>1</v>
      </c>
    </row>
    <row r="1644" spans="1:14">
      <c r="A1644" s="29">
        <v>46204</v>
      </c>
      <c r="B1644" s="30">
        <f t="shared" si="226"/>
        <v>7</v>
      </c>
      <c r="C1644" s="30">
        <f t="shared" si="229"/>
        <v>1</v>
      </c>
      <c r="D1644" s="26">
        <f>MATCH(WEEKDAY(A1644),そのた定義!A:A,0)</f>
        <v>5</v>
      </c>
      <c r="E1644" s="26" t="str">
        <f t="shared" ca="1" si="230"/>
        <v>水</v>
      </c>
      <c r="F1644" s="26">
        <f t="shared" si="231"/>
        <v>0</v>
      </c>
      <c r="G1644" s="26">
        <f>IF(ISNA(MATCH(A1644,祝日定義!E:E,0)),0,1)</f>
        <v>0</v>
      </c>
      <c r="H1644" s="26">
        <f>IF(ISNA(MATCH(B1644&amp;"/"&amp;C1644,そのた定義!E:E,0)), 0, 1)</f>
        <v>0</v>
      </c>
      <c r="I1644" s="26" t="b">
        <f t="shared" si="232"/>
        <v>0</v>
      </c>
      <c r="J1644" s="26">
        <v>0</v>
      </c>
      <c r="K1644" s="26" t="b">
        <f t="shared" si="227"/>
        <v>0</v>
      </c>
      <c r="L1644" s="26" t="b">
        <f t="shared" si="228"/>
        <v>0</v>
      </c>
      <c r="M1644" t="b">
        <f t="shared" si="233"/>
        <v>0</v>
      </c>
      <c r="N1644" t="b">
        <f t="shared" si="234"/>
        <v>0</v>
      </c>
    </row>
    <row r="1645" spans="1:14">
      <c r="A1645" s="29">
        <v>46205</v>
      </c>
      <c r="B1645" s="30">
        <f t="shared" si="226"/>
        <v>7</v>
      </c>
      <c r="C1645" s="30">
        <f t="shared" si="229"/>
        <v>2</v>
      </c>
      <c r="D1645" s="26">
        <f>MATCH(WEEKDAY(A1645),そのた定義!A:A,0)</f>
        <v>6</v>
      </c>
      <c r="E1645" s="26" t="str">
        <f t="shared" ca="1" si="230"/>
        <v>木</v>
      </c>
      <c r="F1645" s="26">
        <f t="shared" si="231"/>
        <v>0</v>
      </c>
      <c r="G1645" s="26">
        <f>IF(ISNA(MATCH(A1645,祝日定義!E:E,0)),0,1)</f>
        <v>0</v>
      </c>
      <c r="H1645" s="26">
        <f>IF(ISNA(MATCH(B1645&amp;"/"&amp;C1645,そのた定義!E:E,0)), 0, 1)</f>
        <v>0</v>
      </c>
      <c r="I1645" s="26" t="b">
        <f t="shared" si="232"/>
        <v>0</v>
      </c>
      <c r="J1645" s="26">
        <v>0</v>
      </c>
      <c r="K1645" s="26" t="b">
        <f t="shared" si="227"/>
        <v>0</v>
      </c>
      <c r="L1645" s="26" t="b">
        <f t="shared" si="228"/>
        <v>0</v>
      </c>
      <c r="M1645" t="b">
        <f t="shared" si="233"/>
        <v>0</v>
      </c>
      <c r="N1645" t="b">
        <f t="shared" si="234"/>
        <v>0</v>
      </c>
    </row>
    <row r="1646" spans="1:14">
      <c r="A1646" s="29">
        <v>46206</v>
      </c>
      <c r="B1646" s="30">
        <f t="shared" si="226"/>
        <v>7</v>
      </c>
      <c r="C1646" s="30">
        <f t="shared" si="229"/>
        <v>3</v>
      </c>
      <c r="D1646" s="26">
        <f>MATCH(WEEKDAY(A1646),そのた定義!A:A,0)</f>
        <v>7</v>
      </c>
      <c r="E1646" s="26" t="str">
        <f t="shared" ca="1" si="230"/>
        <v>金</v>
      </c>
      <c r="F1646" s="26">
        <f t="shared" si="231"/>
        <v>0</v>
      </c>
      <c r="G1646" s="26">
        <f>IF(ISNA(MATCH(A1646,祝日定義!E:E,0)),0,1)</f>
        <v>0</v>
      </c>
      <c r="H1646" s="26">
        <f>IF(ISNA(MATCH(B1646&amp;"/"&amp;C1646,そのた定義!E:E,0)), 0, 1)</f>
        <v>0</v>
      </c>
      <c r="I1646" s="26" t="b">
        <f t="shared" si="232"/>
        <v>0</v>
      </c>
      <c r="J1646" s="26">
        <v>0</v>
      </c>
      <c r="K1646" s="26" t="b">
        <f t="shared" si="227"/>
        <v>0</v>
      </c>
      <c r="L1646" s="26" t="b">
        <f t="shared" si="228"/>
        <v>0</v>
      </c>
      <c r="M1646" t="b">
        <f t="shared" si="233"/>
        <v>0</v>
      </c>
      <c r="N1646" t="b">
        <f t="shared" si="234"/>
        <v>0</v>
      </c>
    </row>
    <row r="1647" spans="1:14">
      <c r="A1647" s="29">
        <v>46207</v>
      </c>
      <c r="B1647" s="30">
        <f t="shared" si="226"/>
        <v>7</v>
      </c>
      <c r="C1647" s="30">
        <f t="shared" si="229"/>
        <v>4</v>
      </c>
      <c r="D1647" s="26">
        <f>MATCH(WEEKDAY(A1647),そのた定義!A:A,0)</f>
        <v>8</v>
      </c>
      <c r="E1647" s="33" t="str">
        <f t="shared" ca="1" si="230"/>
        <v>土</v>
      </c>
      <c r="F1647" s="26">
        <f t="shared" si="231"/>
        <v>1</v>
      </c>
      <c r="G1647" s="26">
        <f>IF(ISNA(MATCH(A1647,祝日定義!E:E,0)),0,1)</f>
        <v>0</v>
      </c>
      <c r="H1647" s="26">
        <f>IF(ISNA(MATCH(B1647&amp;"/"&amp;C1647,そのた定義!E:E,0)), 0, 1)</f>
        <v>0</v>
      </c>
      <c r="I1647" s="23" t="b">
        <f t="shared" si="232"/>
        <v>1</v>
      </c>
      <c r="J1647" s="26">
        <v>0</v>
      </c>
      <c r="K1647" s="26" t="b">
        <f t="shared" si="227"/>
        <v>0</v>
      </c>
      <c r="L1647" s="26" t="b">
        <f t="shared" si="228"/>
        <v>0</v>
      </c>
      <c r="M1647" t="b">
        <f t="shared" si="233"/>
        <v>0</v>
      </c>
      <c r="N1647" t="b">
        <f t="shared" si="234"/>
        <v>0</v>
      </c>
    </row>
    <row r="1648" spans="1:14">
      <c r="A1648" s="29">
        <v>46208</v>
      </c>
      <c r="B1648" s="30">
        <f t="shared" si="226"/>
        <v>7</v>
      </c>
      <c r="C1648" s="30">
        <f t="shared" si="229"/>
        <v>5</v>
      </c>
      <c r="D1648" s="26">
        <f>MATCH(WEEKDAY(A1648),そのた定義!A:A,0)</f>
        <v>2</v>
      </c>
      <c r="E1648" s="32" t="str">
        <f t="shared" ca="1" si="230"/>
        <v>日</v>
      </c>
      <c r="F1648" s="26">
        <f t="shared" si="231"/>
        <v>1</v>
      </c>
      <c r="G1648" s="26">
        <f>IF(ISNA(MATCH(A1648,祝日定義!E:E,0)),0,1)</f>
        <v>0</v>
      </c>
      <c r="H1648" s="26">
        <f>IF(ISNA(MATCH(B1648&amp;"/"&amp;C1648,そのた定義!E:E,0)), 0, 1)</f>
        <v>0</v>
      </c>
      <c r="I1648" s="23" t="b">
        <f t="shared" si="232"/>
        <v>1</v>
      </c>
      <c r="J1648" s="26">
        <v>0</v>
      </c>
      <c r="K1648" s="26" t="b">
        <f t="shared" si="227"/>
        <v>0</v>
      </c>
      <c r="L1648" s="26" t="b">
        <f t="shared" si="228"/>
        <v>0</v>
      </c>
      <c r="M1648" t="b">
        <f t="shared" si="233"/>
        <v>0</v>
      </c>
      <c r="N1648" t="b">
        <f t="shared" si="234"/>
        <v>0</v>
      </c>
    </row>
    <row r="1649" spans="1:14">
      <c r="A1649" s="29">
        <v>46209</v>
      </c>
      <c r="B1649" s="30">
        <f t="shared" si="226"/>
        <v>7</v>
      </c>
      <c r="C1649" s="30">
        <f t="shared" si="229"/>
        <v>6</v>
      </c>
      <c r="D1649" s="26">
        <f>MATCH(WEEKDAY(A1649),そのた定義!A:A,0)</f>
        <v>3</v>
      </c>
      <c r="E1649" s="26" t="str">
        <f t="shared" ca="1" si="230"/>
        <v>月</v>
      </c>
      <c r="F1649" s="26">
        <f t="shared" si="231"/>
        <v>0</v>
      </c>
      <c r="G1649" s="26">
        <f>IF(ISNA(MATCH(A1649,祝日定義!E:E,0)),0,1)</f>
        <v>0</v>
      </c>
      <c r="H1649" s="26">
        <f>IF(ISNA(MATCH(B1649&amp;"/"&amp;C1649,そのた定義!E:E,0)), 0, 1)</f>
        <v>0</v>
      </c>
      <c r="I1649" s="26" t="b">
        <f t="shared" si="232"/>
        <v>0</v>
      </c>
      <c r="J1649" s="26">
        <v>2</v>
      </c>
      <c r="K1649" s="26" t="b">
        <f t="shared" si="227"/>
        <v>0</v>
      </c>
      <c r="L1649" s="26" t="b">
        <f t="shared" si="228"/>
        <v>0</v>
      </c>
      <c r="M1649" t="b">
        <f t="shared" si="233"/>
        <v>0</v>
      </c>
      <c r="N1649" t="b">
        <f t="shared" si="234"/>
        <v>0</v>
      </c>
    </row>
    <row r="1650" spans="1:14">
      <c r="A1650" s="29">
        <v>46210</v>
      </c>
      <c r="B1650" s="30">
        <f t="shared" si="226"/>
        <v>7</v>
      </c>
      <c r="C1650" s="30">
        <f t="shared" si="229"/>
        <v>7</v>
      </c>
      <c r="D1650" s="26">
        <f>MATCH(WEEKDAY(A1650),そのた定義!A:A,0)</f>
        <v>4</v>
      </c>
      <c r="E1650" s="26" t="str">
        <f t="shared" ca="1" si="230"/>
        <v>火</v>
      </c>
      <c r="F1650" s="26">
        <f t="shared" si="231"/>
        <v>0</v>
      </c>
      <c r="G1650" s="26">
        <f>IF(ISNA(MATCH(A1650,祝日定義!E:E,0)),0,1)</f>
        <v>0</v>
      </c>
      <c r="H1650" s="26">
        <f>IF(ISNA(MATCH(B1650&amp;"/"&amp;C1650,そのた定義!E:E,0)), 0, 1)</f>
        <v>0</v>
      </c>
      <c r="I1650" s="26" t="b">
        <f t="shared" si="232"/>
        <v>0</v>
      </c>
      <c r="J1650" s="26">
        <v>0</v>
      </c>
      <c r="K1650" s="26" t="b">
        <f t="shared" si="227"/>
        <v>0</v>
      </c>
      <c r="L1650" s="26" t="b">
        <f t="shared" si="228"/>
        <v>0</v>
      </c>
      <c r="M1650" t="b">
        <f t="shared" si="233"/>
        <v>0</v>
      </c>
      <c r="N1650" t="b">
        <f t="shared" si="234"/>
        <v>0</v>
      </c>
    </row>
    <row r="1651" spans="1:14">
      <c r="A1651" s="29">
        <v>46211</v>
      </c>
      <c r="B1651" s="30">
        <f t="shared" si="226"/>
        <v>7</v>
      </c>
      <c r="C1651" s="30">
        <f t="shared" si="229"/>
        <v>8</v>
      </c>
      <c r="D1651" s="26">
        <f>MATCH(WEEKDAY(A1651),そのた定義!A:A,0)</f>
        <v>5</v>
      </c>
      <c r="E1651" s="26" t="str">
        <f t="shared" ca="1" si="230"/>
        <v>水</v>
      </c>
      <c r="F1651" s="26">
        <f t="shared" si="231"/>
        <v>0</v>
      </c>
      <c r="G1651" s="26">
        <f>IF(ISNA(MATCH(A1651,祝日定義!E:E,0)),0,1)</f>
        <v>0</v>
      </c>
      <c r="H1651" s="26">
        <f>IF(ISNA(MATCH(B1651&amp;"/"&amp;C1651,そのた定義!E:E,0)), 0, 1)</f>
        <v>0</v>
      </c>
      <c r="I1651" s="26" t="b">
        <f t="shared" si="232"/>
        <v>0</v>
      </c>
      <c r="J1651" s="26">
        <v>0</v>
      </c>
      <c r="K1651" s="26" t="b">
        <f t="shared" si="227"/>
        <v>0</v>
      </c>
      <c r="L1651" s="26" t="b">
        <f t="shared" si="228"/>
        <v>0</v>
      </c>
      <c r="M1651" t="b">
        <f t="shared" si="233"/>
        <v>0</v>
      </c>
      <c r="N1651" t="b">
        <f t="shared" si="234"/>
        <v>0</v>
      </c>
    </row>
    <row r="1652" spans="1:14">
      <c r="A1652" s="29">
        <v>46212</v>
      </c>
      <c r="B1652" s="30">
        <f t="shared" si="226"/>
        <v>7</v>
      </c>
      <c r="C1652" s="30">
        <f t="shared" si="229"/>
        <v>9</v>
      </c>
      <c r="D1652" s="26">
        <f>MATCH(WEEKDAY(A1652),そのた定義!A:A,0)</f>
        <v>6</v>
      </c>
      <c r="E1652" s="26" t="str">
        <f t="shared" ca="1" si="230"/>
        <v>木</v>
      </c>
      <c r="F1652" s="26">
        <f t="shared" si="231"/>
        <v>0</v>
      </c>
      <c r="G1652" s="26">
        <f>IF(ISNA(MATCH(A1652,祝日定義!E:E,0)),0,1)</f>
        <v>0</v>
      </c>
      <c r="H1652" s="26">
        <f>IF(ISNA(MATCH(B1652&amp;"/"&amp;C1652,そのた定義!E:E,0)), 0, 1)</f>
        <v>0</v>
      </c>
      <c r="I1652" s="26" t="b">
        <f t="shared" si="232"/>
        <v>0</v>
      </c>
      <c r="J1652" s="26">
        <v>0</v>
      </c>
      <c r="K1652" s="26" t="b">
        <f t="shared" si="227"/>
        <v>0</v>
      </c>
      <c r="L1652" s="26" t="b">
        <f t="shared" si="228"/>
        <v>0</v>
      </c>
      <c r="M1652" t="b">
        <f t="shared" si="233"/>
        <v>0</v>
      </c>
      <c r="N1652" t="b">
        <f t="shared" si="234"/>
        <v>0</v>
      </c>
    </row>
    <row r="1653" spans="1:14">
      <c r="A1653" s="29">
        <v>46213</v>
      </c>
      <c r="B1653" s="30">
        <f t="shared" si="226"/>
        <v>7</v>
      </c>
      <c r="C1653" s="30">
        <f t="shared" si="229"/>
        <v>10</v>
      </c>
      <c r="D1653" s="26">
        <f>MATCH(WEEKDAY(A1653),そのた定義!A:A,0)</f>
        <v>7</v>
      </c>
      <c r="E1653" s="26" t="str">
        <f t="shared" ca="1" si="230"/>
        <v>金</v>
      </c>
      <c r="F1653" s="26">
        <f t="shared" si="231"/>
        <v>0</v>
      </c>
      <c r="G1653" s="26">
        <f>IF(ISNA(MATCH(A1653,祝日定義!E:E,0)),0,1)</f>
        <v>0</v>
      </c>
      <c r="H1653" s="26">
        <f>IF(ISNA(MATCH(B1653&amp;"/"&amp;C1653,そのた定義!E:E,0)), 0, 1)</f>
        <v>0</v>
      </c>
      <c r="I1653" s="26" t="b">
        <f t="shared" si="232"/>
        <v>0</v>
      </c>
      <c r="J1653" s="26">
        <v>0</v>
      </c>
      <c r="K1653" s="26" t="b">
        <f t="shared" si="227"/>
        <v>0</v>
      </c>
      <c r="L1653" s="26" t="b">
        <f t="shared" si="228"/>
        <v>0</v>
      </c>
      <c r="M1653" t="b">
        <f t="shared" si="233"/>
        <v>0</v>
      </c>
      <c r="N1653" t="b">
        <f t="shared" si="234"/>
        <v>0</v>
      </c>
    </row>
    <row r="1654" spans="1:14">
      <c r="A1654" s="29">
        <v>46214</v>
      </c>
      <c r="B1654" s="30">
        <f t="shared" si="226"/>
        <v>7</v>
      </c>
      <c r="C1654" s="30">
        <f t="shared" si="229"/>
        <v>11</v>
      </c>
      <c r="D1654" s="26">
        <f>MATCH(WEEKDAY(A1654),そのた定義!A:A,0)</f>
        <v>8</v>
      </c>
      <c r="E1654" s="33" t="str">
        <f t="shared" ca="1" si="230"/>
        <v>土</v>
      </c>
      <c r="F1654" s="26">
        <f t="shared" si="231"/>
        <v>1</v>
      </c>
      <c r="G1654" s="26">
        <f>IF(ISNA(MATCH(A1654,祝日定義!E:E,0)),0,1)</f>
        <v>0</v>
      </c>
      <c r="H1654" s="26">
        <f>IF(ISNA(MATCH(B1654&amp;"/"&amp;C1654,そのた定義!E:E,0)), 0, 1)</f>
        <v>0</v>
      </c>
      <c r="I1654" s="23" t="b">
        <f t="shared" si="232"/>
        <v>1</v>
      </c>
      <c r="J1654" s="26">
        <v>0</v>
      </c>
      <c r="K1654" s="26" t="b">
        <f t="shared" si="227"/>
        <v>0</v>
      </c>
      <c r="L1654" s="26" t="b">
        <f t="shared" si="228"/>
        <v>0</v>
      </c>
      <c r="M1654" t="b">
        <f t="shared" si="233"/>
        <v>0</v>
      </c>
      <c r="N1654" t="b">
        <f t="shared" si="234"/>
        <v>0</v>
      </c>
    </row>
    <row r="1655" spans="1:14">
      <c r="A1655" s="29">
        <v>46215</v>
      </c>
      <c r="B1655" s="30">
        <f t="shared" si="226"/>
        <v>7</v>
      </c>
      <c r="C1655" s="30">
        <f t="shared" si="229"/>
        <v>12</v>
      </c>
      <c r="D1655" s="26">
        <f>MATCH(WEEKDAY(A1655),そのた定義!A:A,0)</f>
        <v>2</v>
      </c>
      <c r="E1655" s="32" t="str">
        <f t="shared" ca="1" si="230"/>
        <v>日</v>
      </c>
      <c r="F1655" s="26">
        <f t="shared" si="231"/>
        <v>1</v>
      </c>
      <c r="G1655" s="26">
        <f>IF(ISNA(MATCH(A1655,祝日定義!E:E,0)),0,1)</f>
        <v>0</v>
      </c>
      <c r="H1655" s="26">
        <f>IF(ISNA(MATCH(B1655&amp;"/"&amp;C1655,そのた定義!E:E,0)), 0, 1)</f>
        <v>0</v>
      </c>
      <c r="I1655" s="23" t="b">
        <f t="shared" si="232"/>
        <v>1</v>
      </c>
      <c r="J1655" s="26">
        <v>0</v>
      </c>
      <c r="K1655" s="26" t="b">
        <f t="shared" si="227"/>
        <v>0</v>
      </c>
      <c r="L1655" s="26" t="b">
        <f t="shared" si="228"/>
        <v>0</v>
      </c>
      <c r="M1655" t="b">
        <f t="shared" si="233"/>
        <v>0</v>
      </c>
      <c r="N1655" t="b">
        <f t="shared" si="234"/>
        <v>0</v>
      </c>
    </row>
    <row r="1656" spans="1:14">
      <c r="A1656" s="29">
        <v>46216</v>
      </c>
      <c r="B1656" s="30">
        <f t="shared" si="226"/>
        <v>7</v>
      </c>
      <c r="C1656" s="30">
        <f t="shared" si="229"/>
        <v>13</v>
      </c>
      <c r="D1656" s="26">
        <f>MATCH(WEEKDAY(A1656),そのた定義!A:A,0)</f>
        <v>3</v>
      </c>
      <c r="E1656" s="26" t="str">
        <f t="shared" ca="1" si="230"/>
        <v>月</v>
      </c>
      <c r="F1656" s="26">
        <f t="shared" si="231"/>
        <v>0</v>
      </c>
      <c r="G1656" s="26">
        <f>IF(ISNA(MATCH(A1656,祝日定義!E:E,0)),0,1)</f>
        <v>0</v>
      </c>
      <c r="H1656" s="26">
        <f>IF(ISNA(MATCH(B1656&amp;"/"&amp;C1656,そのた定義!E:E,0)), 0, 1)</f>
        <v>0</v>
      </c>
      <c r="I1656" s="26" t="b">
        <f t="shared" si="232"/>
        <v>0</v>
      </c>
      <c r="J1656" s="26">
        <v>2</v>
      </c>
      <c r="K1656" s="26" t="b">
        <f t="shared" si="227"/>
        <v>0</v>
      </c>
      <c r="L1656" s="26" t="b">
        <f t="shared" si="228"/>
        <v>0</v>
      </c>
      <c r="M1656" t="b">
        <f t="shared" si="233"/>
        <v>0</v>
      </c>
      <c r="N1656" t="b">
        <f t="shared" si="234"/>
        <v>0</v>
      </c>
    </row>
    <row r="1657" spans="1:14">
      <c r="A1657" s="29">
        <v>46217</v>
      </c>
      <c r="B1657" s="30">
        <f t="shared" si="226"/>
        <v>7</v>
      </c>
      <c r="C1657" s="30">
        <f t="shared" si="229"/>
        <v>14</v>
      </c>
      <c r="D1657" s="26">
        <f>MATCH(WEEKDAY(A1657),そのた定義!A:A,0)</f>
        <v>4</v>
      </c>
      <c r="E1657" s="26" t="str">
        <f t="shared" ca="1" si="230"/>
        <v>火</v>
      </c>
      <c r="F1657" s="26">
        <f t="shared" si="231"/>
        <v>0</v>
      </c>
      <c r="G1657" s="26">
        <f>IF(ISNA(MATCH(A1657,祝日定義!E:E,0)),0,1)</f>
        <v>0</v>
      </c>
      <c r="H1657" s="26">
        <f>IF(ISNA(MATCH(B1657&amp;"/"&amp;C1657,そのた定義!E:E,0)), 0, 1)</f>
        <v>0</v>
      </c>
      <c r="I1657" s="26" t="b">
        <f t="shared" si="232"/>
        <v>0</v>
      </c>
      <c r="J1657" s="26">
        <v>0</v>
      </c>
      <c r="K1657" s="26" t="b">
        <f t="shared" si="227"/>
        <v>0</v>
      </c>
      <c r="L1657" s="26" t="b">
        <f t="shared" si="228"/>
        <v>0</v>
      </c>
      <c r="M1657" t="b">
        <f t="shared" si="233"/>
        <v>0</v>
      </c>
      <c r="N1657" t="b">
        <f t="shared" si="234"/>
        <v>0</v>
      </c>
    </row>
    <row r="1658" spans="1:14">
      <c r="A1658" s="29">
        <v>46218</v>
      </c>
      <c r="B1658" s="30">
        <f t="shared" si="226"/>
        <v>7</v>
      </c>
      <c r="C1658" s="30">
        <f t="shared" si="229"/>
        <v>15</v>
      </c>
      <c r="D1658" s="26">
        <f>MATCH(WEEKDAY(A1658),そのた定義!A:A,0)</f>
        <v>5</v>
      </c>
      <c r="E1658" s="26" t="str">
        <f t="shared" ca="1" si="230"/>
        <v>水</v>
      </c>
      <c r="F1658" s="26">
        <f t="shared" si="231"/>
        <v>0</v>
      </c>
      <c r="G1658" s="26">
        <f>IF(ISNA(MATCH(A1658,祝日定義!E:E,0)),0,1)</f>
        <v>0</v>
      </c>
      <c r="H1658" s="26">
        <f>IF(ISNA(MATCH(B1658&amp;"/"&amp;C1658,そのた定義!E:E,0)), 0, 1)</f>
        <v>0</v>
      </c>
      <c r="I1658" s="26" t="b">
        <f t="shared" si="232"/>
        <v>0</v>
      </c>
      <c r="J1658" s="26">
        <v>0</v>
      </c>
      <c r="K1658" s="26" t="b">
        <f t="shared" si="227"/>
        <v>0</v>
      </c>
      <c r="L1658" s="26" t="b">
        <f t="shared" si="228"/>
        <v>0</v>
      </c>
      <c r="M1658" t="b">
        <f t="shared" si="233"/>
        <v>0</v>
      </c>
      <c r="N1658" t="b">
        <f t="shared" si="234"/>
        <v>0</v>
      </c>
    </row>
    <row r="1659" spans="1:14">
      <c r="A1659" s="29">
        <v>46219</v>
      </c>
      <c r="B1659" s="30">
        <f t="shared" si="226"/>
        <v>7</v>
      </c>
      <c r="C1659" s="30">
        <f t="shared" si="229"/>
        <v>16</v>
      </c>
      <c r="D1659" s="26">
        <f>MATCH(WEEKDAY(A1659),そのた定義!A:A,0)</f>
        <v>6</v>
      </c>
      <c r="E1659" s="26" t="str">
        <f t="shared" ca="1" si="230"/>
        <v>木</v>
      </c>
      <c r="F1659" s="26">
        <f t="shared" si="231"/>
        <v>0</v>
      </c>
      <c r="G1659" s="26">
        <f>IF(ISNA(MATCH(A1659,祝日定義!E:E,0)),0,1)</f>
        <v>0</v>
      </c>
      <c r="H1659" s="26">
        <f>IF(ISNA(MATCH(B1659&amp;"/"&amp;C1659,そのた定義!E:E,0)), 0, 1)</f>
        <v>0</v>
      </c>
      <c r="I1659" s="26" t="b">
        <f t="shared" si="232"/>
        <v>0</v>
      </c>
      <c r="J1659" s="26">
        <v>0</v>
      </c>
      <c r="K1659" s="26" t="b">
        <f t="shared" si="227"/>
        <v>0</v>
      </c>
      <c r="L1659" s="26" t="b">
        <f t="shared" si="228"/>
        <v>0</v>
      </c>
      <c r="M1659" t="b">
        <f t="shared" si="233"/>
        <v>0</v>
      </c>
      <c r="N1659" t="b">
        <f t="shared" si="234"/>
        <v>0</v>
      </c>
    </row>
    <row r="1660" spans="1:14">
      <c r="A1660" s="29">
        <v>46220</v>
      </c>
      <c r="B1660" s="30">
        <f t="shared" si="226"/>
        <v>7</v>
      </c>
      <c r="C1660" s="30">
        <f t="shared" si="229"/>
        <v>17</v>
      </c>
      <c r="D1660" s="26">
        <f>MATCH(WEEKDAY(A1660),そのた定義!A:A,0)</f>
        <v>7</v>
      </c>
      <c r="E1660" s="26" t="str">
        <f t="shared" ca="1" si="230"/>
        <v>金</v>
      </c>
      <c r="F1660" s="26">
        <f t="shared" si="231"/>
        <v>0</v>
      </c>
      <c r="G1660" s="26">
        <f>IF(ISNA(MATCH(A1660,祝日定義!E:E,0)),0,1)</f>
        <v>0</v>
      </c>
      <c r="H1660" s="26">
        <f>IF(ISNA(MATCH(B1660&amp;"/"&amp;C1660,そのた定義!E:E,0)), 0, 1)</f>
        <v>0</v>
      </c>
      <c r="I1660" s="26" t="b">
        <f t="shared" si="232"/>
        <v>0</v>
      </c>
      <c r="J1660" s="26">
        <v>0</v>
      </c>
      <c r="K1660" s="26" t="b">
        <f t="shared" si="227"/>
        <v>0</v>
      </c>
      <c r="L1660" s="26" t="b">
        <f t="shared" si="228"/>
        <v>0</v>
      </c>
      <c r="M1660" t="b">
        <f t="shared" si="233"/>
        <v>0</v>
      </c>
      <c r="N1660" t="b">
        <f t="shared" si="234"/>
        <v>0</v>
      </c>
    </row>
    <row r="1661" spans="1:14">
      <c r="A1661" s="29">
        <v>46221</v>
      </c>
      <c r="B1661" s="30">
        <f t="shared" si="226"/>
        <v>7</v>
      </c>
      <c r="C1661" s="30">
        <f t="shared" si="229"/>
        <v>18</v>
      </c>
      <c r="D1661" s="26">
        <f>MATCH(WEEKDAY(A1661),そのた定義!A:A,0)</f>
        <v>8</v>
      </c>
      <c r="E1661" s="33" t="str">
        <f t="shared" ca="1" si="230"/>
        <v>土</v>
      </c>
      <c r="F1661" s="26">
        <f t="shared" si="231"/>
        <v>1</v>
      </c>
      <c r="G1661" s="26">
        <f>IF(ISNA(MATCH(A1661,祝日定義!E:E,0)),0,1)</f>
        <v>0</v>
      </c>
      <c r="H1661" s="26">
        <f>IF(ISNA(MATCH(B1661&amp;"/"&amp;C1661,そのた定義!E:E,0)), 0, 1)</f>
        <v>0</v>
      </c>
      <c r="I1661" s="23" t="b">
        <f t="shared" si="232"/>
        <v>1</v>
      </c>
      <c r="J1661" s="26">
        <v>0</v>
      </c>
      <c r="K1661" s="26" t="b">
        <f t="shared" si="227"/>
        <v>0</v>
      </c>
      <c r="L1661" s="26" t="b">
        <f t="shared" si="228"/>
        <v>0</v>
      </c>
      <c r="M1661" t="b">
        <f t="shared" si="233"/>
        <v>0</v>
      </c>
      <c r="N1661" t="b">
        <f t="shared" si="234"/>
        <v>0</v>
      </c>
    </row>
    <row r="1662" spans="1:14">
      <c r="A1662" s="29">
        <v>46222</v>
      </c>
      <c r="B1662" s="30">
        <f t="shared" si="226"/>
        <v>7</v>
      </c>
      <c r="C1662" s="30">
        <f t="shared" si="229"/>
        <v>19</v>
      </c>
      <c r="D1662" s="26">
        <f>MATCH(WEEKDAY(A1662),そのた定義!A:A,0)</f>
        <v>2</v>
      </c>
      <c r="E1662" s="32" t="str">
        <f t="shared" ca="1" si="230"/>
        <v>日</v>
      </c>
      <c r="F1662" s="26">
        <f t="shared" si="231"/>
        <v>1</v>
      </c>
      <c r="G1662" s="26">
        <f>IF(ISNA(MATCH(A1662,祝日定義!E:E,0)),0,1)</f>
        <v>0</v>
      </c>
      <c r="H1662" s="26">
        <f>IF(ISNA(MATCH(B1662&amp;"/"&amp;C1662,そのた定義!E:E,0)), 0, 1)</f>
        <v>0</v>
      </c>
      <c r="I1662" s="23" t="b">
        <f t="shared" si="232"/>
        <v>1</v>
      </c>
      <c r="J1662" s="26">
        <v>0</v>
      </c>
      <c r="K1662" s="26" t="b">
        <f t="shared" si="227"/>
        <v>0</v>
      </c>
      <c r="L1662" s="26" t="b">
        <f t="shared" si="228"/>
        <v>0</v>
      </c>
      <c r="M1662" t="b">
        <f t="shared" si="233"/>
        <v>0</v>
      </c>
      <c r="N1662" t="b">
        <f t="shared" si="234"/>
        <v>0</v>
      </c>
    </row>
    <row r="1663" spans="1:14">
      <c r="A1663" s="29">
        <v>46223</v>
      </c>
      <c r="B1663" s="30">
        <f t="shared" si="226"/>
        <v>7</v>
      </c>
      <c r="C1663" s="30">
        <f t="shared" si="229"/>
        <v>20</v>
      </c>
      <c r="D1663" s="26">
        <f>MATCH(WEEKDAY(A1663),そのた定義!A:A,0)</f>
        <v>3</v>
      </c>
      <c r="E1663" s="31" t="str">
        <f t="shared" ca="1" si="230"/>
        <v>月</v>
      </c>
      <c r="F1663" s="26">
        <f t="shared" si="231"/>
        <v>0</v>
      </c>
      <c r="G1663" s="26">
        <f>IF(ISNA(MATCH(A1663,祝日定義!E:E,0)),0,1)</f>
        <v>1</v>
      </c>
      <c r="H1663" s="26">
        <f>IF(ISNA(MATCH(B1663&amp;"/"&amp;C1663,そのた定義!E:E,0)), 0, 1)</f>
        <v>0</v>
      </c>
      <c r="I1663" s="23" t="b">
        <f t="shared" si="232"/>
        <v>1</v>
      </c>
      <c r="J1663" s="26">
        <v>0</v>
      </c>
      <c r="K1663" s="26" t="b">
        <f t="shared" si="227"/>
        <v>0</v>
      </c>
      <c r="L1663" s="26" t="b">
        <f t="shared" si="228"/>
        <v>0</v>
      </c>
      <c r="M1663" t="b">
        <f t="shared" si="233"/>
        <v>0</v>
      </c>
      <c r="N1663" t="b">
        <f t="shared" si="234"/>
        <v>0</v>
      </c>
    </row>
    <row r="1664" spans="1:14">
      <c r="A1664" s="29">
        <v>46224</v>
      </c>
      <c r="B1664" s="30">
        <f t="shared" si="226"/>
        <v>7</v>
      </c>
      <c r="C1664" s="30">
        <f t="shared" si="229"/>
        <v>21</v>
      </c>
      <c r="D1664" s="26">
        <f>MATCH(WEEKDAY(A1664),そのた定義!A:A,0)</f>
        <v>4</v>
      </c>
      <c r="E1664" s="26" t="str">
        <f t="shared" ca="1" si="230"/>
        <v>火</v>
      </c>
      <c r="F1664" s="26">
        <f t="shared" si="231"/>
        <v>0</v>
      </c>
      <c r="G1664" s="26">
        <f>IF(ISNA(MATCH(A1664,祝日定義!E:E,0)),0,1)</f>
        <v>0</v>
      </c>
      <c r="H1664" s="26">
        <f>IF(ISNA(MATCH(B1664&amp;"/"&amp;C1664,そのた定義!E:E,0)), 0, 1)</f>
        <v>0</v>
      </c>
      <c r="I1664" s="26" t="b">
        <f t="shared" si="232"/>
        <v>0</v>
      </c>
      <c r="J1664" s="26">
        <v>3</v>
      </c>
      <c r="K1664" s="26" t="b">
        <f t="shared" si="227"/>
        <v>0</v>
      </c>
      <c r="L1664" s="26" t="b">
        <f t="shared" si="228"/>
        <v>0</v>
      </c>
      <c r="M1664" t="b">
        <f t="shared" si="233"/>
        <v>0</v>
      </c>
      <c r="N1664" t="b">
        <f t="shared" si="234"/>
        <v>0</v>
      </c>
    </row>
    <row r="1665" spans="1:14">
      <c r="A1665" s="29">
        <v>46225</v>
      </c>
      <c r="B1665" s="30">
        <f t="shared" si="226"/>
        <v>7</v>
      </c>
      <c r="C1665" s="30">
        <f t="shared" si="229"/>
        <v>22</v>
      </c>
      <c r="D1665" s="26">
        <f>MATCH(WEEKDAY(A1665),そのた定義!A:A,0)</f>
        <v>5</v>
      </c>
      <c r="E1665" s="26" t="str">
        <f t="shared" ca="1" si="230"/>
        <v>水</v>
      </c>
      <c r="F1665" s="26">
        <f t="shared" si="231"/>
        <v>0</v>
      </c>
      <c r="G1665" s="26">
        <f>IF(ISNA(MATCH(A1665,祝日定義!E:E,0)),0,1)</f>
        <v>0</v>
      </c>
      <c r="H1665" s="26">
        <f>IF(ISNA(MATCH(B1665&amp;"/"&amp;C1665,そのた定義!E:E,0)), 0, 1)</f>
        <v>0</v>
      </c>
      <c r="I1665" s="26" t="b">
        <f t="shared" si="232"/>
        <v>0</v>
      </c>
      <c r="J1665" s="26">
        <v>0</v>
      </c>
      <c r="K1665" s="26" t="b">
        <f t="shared" si="227"/>
        <v>0</v>
      </c>
      <c r="L1665" s="26" t="b">
        <f t="shared" si="228"/>
        <v>0</v>
      </c>
      <c r="M1665" t="b">
        <f t="shared" si="233"/>
        <v>0</v>
      </c>
      <c r="N1665" t="b">
        <f t="shared" si="234"/>
        <v>0</v>
      </c>
    </row>
    <row r="1666" spans="1:14">
      <c r="A1666" s="29">
        <v>46226</v>
      </c>
      <c r="B1666" s="30">
        <f t="shared" ref="B1666:B1729" si="235">MONTH(A1666)</f>
        <v>7</v>
      </c>
      <c r="C1666" s="30">
        <f t="shared" si="229"/>
        <v>23</v>
      </c>
      <c r="D1666" s="26">
        <f>MATCH(WEEKDAY(A1666),そのた定義!A:A,0)</f>
        <v>6</v>
      </c>
      <c r="E1666" s="26" t="str">
        <f t="shared" ca="1" si="230"/>
        <v>木</v>
      </c>
      <c r="F1666" s="26">
        <f t="shared" si="231"/>
        <v>0</v>
      </c>
      <c r="G1666" s="26">
        <f>IF(ISNA(MATCH(A1666,祝日定義!E:E,0)),0,1)</f>
        <v>0</v>
      </c>
      <c r="H1666" s="26">
        <f>IF(ISNA(MATCH(B1666&amp;"/"&amp;C1666,そのた定義!E:E,0)), 0, 1)</f>
        <v>0</v>
      </c>
      <c r="I1666" s="26" t="b">
        <f t="shared" si="232"/>
        <v>0</v>
      </c>
      <c r="J1666" s="26">
        <v>0</v>
      </c>
      <c r="K1666" s="26" t="b">
        <f t="shared" ref="K1666:K1729" si="236">AND(C1666&gt;25,DAY(A1666-J1666)&lt;=25)</f>
        <v>0</v>
      </c>
      <c r="L1666" s="26" t="b">
        <f t="shared" ref="L1666:L1729" si="237">C1666=25</f>
        <v>0</v>
      </c>
      <c r="M1666" t="b">
        <f t="shared" si="233"/>
        <v>0</v>
      </c>
      <c r="N1666" t="b">
        <f t="shared" si="234"/>
        <v>0</v>
      </c>
    </row>
    <row r="1667" spans="1:14">
      <c r="A1667" s="29">
        <v>46227</v>
      </c>
      <c r="B1667" s="30">
        <f t="shared" si="235"/>
        <v>7</v>
      </c>
      <c r="C1667" s="30">
        <f t="shared" ref="C1667:C1730" si="238">DAY(A1667)</f>
        <v>24</v>
      </c>
      <c r="D1667" s="26">
        <f>MATCH(WEEKDAY(A1667),そのた定義!A:A,0)</f>
        <v>7</v>
      </c>
      <c r="E1667" s="26" t="str">
        <f t="shared" ref="E1667:E1730" ca="1" si="239">INDIRECT("そのた定義!"&amp;"B"&amp;D1667)</f>
        <v>金</v>
      </c>
      <c r="F1667" s="26">
        <f t="shared" ref="F1667:F1730" si="240">IF(OR(D1667=8,D1667=2),1,0)</f>
        <v>0</v>
      </c>
      <c r="G1667" s="26">
        <f>IF(ISNA(MATCH(A1667,祝日定義!E:E,0)),0,1)</f>
        <v>0</v>
      </c>
      <c r="H1667" s="26">
        <f>IF(ISNA(MATCH(B1667&amp;"/"&amp;C1667,そのた定義!E:E,0)), 0, 1)</f>
        <v>0</v>
      </c>
      <c r="I1667" s="26" t="b">
        <f t="shared" ref="I1667:I1730" si="241">SUM(F1667:H1667)&gt;0</f>
        <v>0</v>
      </c>
      <c r="J1667" s="26">
        <v>0</v>
      </c>
      <c r="K1667" s="26" t="b">
        <f t="shared" si="236"/>
        <v>0</v>
      </c>
      <c r="L1667" s="26" t="b">
        <f t="shared" si="237"/>
        <v>0</v>
      </c>
      <c r="M1667" t="b">
        <f t="shared" ref="M1667:M1730" si="242">B1667&lt;&gt;MONTH(A1667-J1667)</f>
        <v>0</v>
      </c>
      <c r="N1667" t="b">
        <f t="shared" ref="N1667:N1730" si="243">B1667&lt;&gt;MONTH(A1667+1)</f>
        <v>0</v>
      </c>
    </row>
    <row r="1668" spans="1:14">
      <c r="A1668" s="29">
        <v>46228</v>
      </c>
      <c r="B1668" s="30">
        <f t="shared" si="235"/>
        <v>7</v>
      </c>
      <c r="C1668" s="30">
        <f t="shared" si="238"/>
        <v>25</v>
      </c>
      <c r="D1668" s="26">
        <f>MATCH(WEEKDAY(A1668),そのた定義!A:A,0)</f>
        <v>8</v>
      </c>
      <c r="E1668" s="33" t="str">
        <f t="shared" ca="1" si="239"/>
        <v>土</v>
      </c>
      <c r="F1668" s="26">
        <f t="shared" si="240"/>
        <v>1</v>
      </c>
      <c r="G1668" s="26">
        <f>IF(ISNA(MATCH(A1668,祝日定義!E:E,0)),0,1)</f>
        <v>0</v>
      </c>
      <c r="H1668" s="26">
        <f>IF(ISNA(MATCH(B1668&amp;"/"&amp;C1668,そのた定義!E:E,0)), 0, 1)</f>
        <v>0</v>
      </c>
      <c r="I1668" s="23" t="b">
        <f t="shared" si="241"/>
        <v>1</v>
      </c>
      <c r="J1668" s="26">
        <v>0</v>
      </c>
      <c r="K1668" s="26" t="b">
        <f t="shared" si="236"/>
        <v>0</v>
      </c>
      <c r="L1668" s="23" t="b">
        <f t="shared" si="237"/>
        <v>1</v>
      </c>
      <c r="M1668" t="b">
        <f t="shared" si="242"/>
        <v>0</v>
      </c>
      <c r="N1668" t="b">
        <f t="shared" si="243"/>
        <v>0</v>
      </c>
    </row>
    <row r="1669" spans="1:14">
      <c r="A1669" s="29">
        <v>46229</v>
      </c>
      <c r="B1669" s="30">
        <f t="shared" si="235"/>
        <v>7</v>
      </c>
      <c r="C1669" s="30">
        <f t="shared" si="238"/>
        <v>26</v>
      </c>
      <c r="D1669" s="26">
        <f>MATCH(WEEKDAY(A1669),そのた定義!A:A,0)</f>
        <v>2</v>
      </c>
      <c r="E1669" s="32" t="str">
        <f t="shared" ca="1" si="239"/>
        <v>日</v>
      </c>
      <c r="F1669" s="26">
        <f t="shared" si="240"/>
        <v>1</v>
      </c>
      <c r="G1669" s="26">
        <f>IF(ISNA(MATCH(A1669,祝日定義!E:E,0)),0,1)</f>
        <v>0</v>
      </c>
      <c r="H1669" s="26">
        <f>IF(ISNA(MATCH(B1669&amp;"/"&amp;C1669,そのた定義!E:E,0)), 0, 1)</f>
        <v>0</v>
      </c>
      <c r="I1669" s="23" t="b">
        <f t="shared" si="241"/>
        <v>1</v>
      </c>
      <c r="J1669" s="26">
        <v>0</v>
      </c>
      <c r="K1669" s="26" t="b">
        <f t="shared" si="236"/>
        <v>0</v>
      </c>
      <c r="L1669" s="26" t="b">
        <f t="shared" si="237"/>
        <v>0</v>
      </c>
      <c r="M1669" t="b">
        <f t="shared" si="242"/>
        <v>0</v>
      </c>
      <c r="N1669" t="b">
        <f t="shared" si="243"/>
        <v>0</v>
      </c>
    </row>
    <row r="1670" spans="1:14">
      <c r="A1670" s="29">
        <v>46230</v>
      </c>
      <c r="B1670" s="30">
        <f t="shared" si="235"/>
        <v>7</v>
      </c>
      <c r="C1670" s="30">
        <f t="shared" si="238"/>
        <v>27</v>
      </c>
      <c r="D1670" s="26">
        <f>MATCH(WEEKDAY(A1670),そのた定義!A:A,0)</f>
        <v>3</v>
      </c>
      <c r="E1670" s="26" t="str">
        <f t="shared" ca="1" si="239"/>
        <v>月</v>
      </c>
      <c r="F1670" s="26">
        <f t="shared" si="240"/>
        <v>0</v>
      </c>
      <c r="G1670" s="26">
        <f>IF(ISNA(MATCH(A1670,祝日定義!E:E,0)),0,1)</f>
        <v>0</v>
      </c>
      <c r="H1670" s="26">
        <f>IF(ISNA(MATCH(B1670&amp;"/"&amp;C1670,そのた定義!E:E,0)), 0, 1)</f>
        <v>0</v>
      </c>
      <c r="I1670" s="26" t="b">
        <f t="shared" si="241"/>
        <v>0</v>
      </c>
      <c r="J1670" s="26">
        <v>2</v>
      </c>
      <c r="K1670" s="23" t="b">
        <f t="shared" si="236"/>
        <v>1</v>
      </c>
      <c r="L1670" s="26" t="b">
        <f t="shared" si="237"/>
        <v>0</v>
      </c>
      <c r="M1670" t="b">
        <f t="shared" si="242"/>
        <v>0</v>
      </c>
      <c r="N1670" t="b">
        <f t="shared" si="243"/>
        <v>0</v>
      </c>
    </row>
    <row r="1671" spans="1:14">
      <c r="A1671" s="29">
        <v>46231</v>
      </c>
      <c r="B1671" s="30">
        <f t="shared" si="235"/>
        <v>7</v>
      </c>
      <c r="C1671" s="30">
        <f t="shared" si="238"/>
        <v>28</v>
      </c>
      <c r="D1671" s="26">
        <f>MATCH(WEEKDAY(A1671),そのた定義!A:A,0)</f>
        <v>4</v>
      </c>
      <c r="E1671" s="26" t="str">
        <f t="shared" ca="1" si="239"/>
        <v>火</v>
      </c>
      <c r="F1671" s="26">
        <f t="shared" si="240"/>
        <v>0</v>
      </c>
      <c r="G1671" s="26">
        <f>IF(ISNA(MATCH(A1671,祝日定義!E:E,0)),0,1)</f>
        <v>0</v>
      </c>
      <c r="H1671" s="26">
        <f>IF(ISNA(MATCH(B1671&amp;"/"&amp;C1671,そのた定義!E:E,0)), 0, 1)</f>
        <v>0</v>
      </c>
      <c r="I1671" s="26" t="b">
        <f t="shared" si="241"/>
        <v>0</v>
      </c>
      <c r="J1671" s="26">
        <v>0</v>
      </c>
      <c r="K1671" s="26" t="b">
        <f t="shared" si="236"/>
        <v>0</v>
      </c>
      <c r="L1671" s="26" t="b">
        <f t="shared" si="237"/>
        <v>0</v>
      </c>
      <c r="M1671" t="b">
        <f t="shared" si="242"/>
        <v>0</v>
      </c>
      <c r="N1671" t="b">
        <f t="shared" si="243"/>
        <v>0</v>
      </c>
    </row>
    <row r="1672" spans="1:14">
      <c r="A1672" s="29">
        <v>46232</v>
      </c>
      <c r="B1672" s="30">
        <f t="shared" si="235"/>
        <v>7</v>
      </c>
      <c r="C1672" s="30">
        <f t="shared" si="238"/>
        <v>29</v>
      </c>
      <c r="D1672" s="26">
        <f>MATCH(WEEKDAY(A1672),そのた定義!A:A,0)</f>
        <v>5</v>
      </c>
      <c r="E1672" s="26" t="str">
        <f t="shared" ca="1" si="239"/>
        <v>水</v>
      </c>
      <c r="F1672" s="26">
        <f t="shared" si="240"/>
        <v>0</v>
      </c>
      <c r="G1672" s="26">
        <f>IF(ISNA(MATCH(A1672,祝日定義!E:E,0)),0,1)</f>
        <v>0</v>
      </c>
      <c r="H1672" s="26">
        <f>IF(ISNA(MATCH(B1672&amp;"/"&amp;C1672,そのた定義!E:E,0)), 0, 1)</f>
        <v>0</v>
      </c>
      <c r="I1672" s="26" t="b">
        <f t="shared" si="241"/>
        <v>0</v>
      </c>
      <c r="J1672" s="26">
        <v>0</v>
      </c>
      <c r="K1672" s="26" t="b">
        <f t="shared" si="236"/>
        <v>0</v>
      </c>
      <c r="L1672" s="26" t="b">
        <f t="shared" si="237"/>
        <v>0</v>
      </c>
      <c r="M1672" t="b">
        <f t="shared" si="242"/>
        <v>0</v>
      </c>
      <c r="N1672" t="b">
        <f t="shared" si="243"/>
        <v>0</v>
      </c>
    </row>
    <row r="1673" spans="1:14">
      <c r="A1673" s="29">
        <v>46233</v>
      </c>
      <c r="B1673" s="30">
        <f t="shared" si="235"/>
        <v>7</v>
      </c>
      <c r="C1673" s="30">
        <f t="shared" si="238"/>
        <v>30</v>
      </c>
      <c r="D1673" s="26">
        <f>MATCH(WEEKDAY(A1673),そのた定義!A:A,0)</f>
        <v>6</v>
      </c>
      <c r="E1673" s="26" t="str">
        <f t="shared" ca="1" si="239"/>
        <v>木</v>
      </c>
      <c r="F1673" s="26">
        <f t="shared" si="240"/>
        <v>0</v>
      </c>
      <c r="G1673" s="26">
        <f>IF(ISNA(MATCH(A1673,祝日定義!E:E,0)),0,1)</f>
        <v>0</v>
      </c>
      <c r="H1673" s="26">
        <f>IF(ISNA(MATCH(B1673&amp;"/"&amp;C1673,そのた定義!E:E,0)), 0, 1)</f>
        <v>0</v>
      </c>
      <c r="I1673" s="26" t="b">
        <f t="shared" si="241"/>
        <v>0</v>
      </c>
      <c r="J1673" s="26">
        <v>0</v>
      </c>
      <c r="K1673" s="26" t="b">
        <f t="shared" si="236"/>
        <v>0</v>
      </c>
      <c r="L1673" s="26" t="b">
        <f t="shared" si="237"/>
        <v>0</v>
      </c>
      <c r="M1673" t="b">
        <f t="shared" si="242"/>
        <v>0</v>
      </c>
      <c r="N1673" t="b">
        <f t="shared" si="243"/>
        <v>0</v>
      </c>
    </row>
    <row r="1674" spans="1:14">
      <c r="A1674" s="29">
        <v>46234</v>
      </c>
      <c r="B1674" s="30">
        <f t="shared" si="235"/>
        <v>7</v>
      </c>
      <c r="C1674" s="30">
        <f t="shared" si="238"/>
        <v>31</v>
      </c>
      <c r="D1674" s="26">
        <f>MATCH(WEEKDAY(A1674),そのた定義!A:A,0)</f>
        <v>7</v>
      </c>
      <c r="E1674" s="26" t="str">
        <f t="shared" ca="1" si="239"/>
        <v>金</v>
      </c>
      <c r="F1674" s="26">
        <f t="shared" si="240"/>
        <v>0</v>
      </c>
      <c r="G1674" s="26">
        <f>IF(ISNA(MATCH(A1674,祝日定義!E:E,0)),0,1)</f>
        <v>0</v>
      </c>
      <c r="H1674" s="26">
        <f>IF(ISNA(MATCH(B1674&amp;"/"&amp;C1674,そのた定義!E:E,0)), 0, 1)</f>
        <v>0</v>
      </c>
      <c r="I1674" s="26" t="b">
        <f t="shared" si="241"/>
        <v>0</v>
      </c>
      <c r="J1674" s="26">
        <v>0</v>
      </c>
      <c r="K1674" s="26" t="b">
        <f t="shared" si="236"/>
        <v>0</v>
      </c>
      <c r="L1674" s="26" t="b">
        <f t="shared" si="237"/>
        <v>0</v>
      </c>
      <c r="M1674" t="b">
        <f t="shared" si="242"/>
        <v>0</v>
      </c>
      <c r="N1674" t="b">
        <f t="shared" si="243"/>
        <v>1</v>
      </c>
    </row>
    <row r="1675" spans="1:14">
      <c r="A1675" s="29">
        <v>46235</v>
      </c>
      <c r="B1675" s="30">
        <f t="shared" si="235"/>
        <v>8</v>
      </c>
      <c r="C1675" s="30">
        <f t="shared" si="238"/>
        <v>1</v>
      </c>
      <c r="D1675" s="26">
        <f>MATCH(WEEKDAY(A1675),そのた定義!A:A,0)</f>
        <v>8</v>
      </c>
      <c r="E1675" s="33" t="str">
        <f t="shared" ca="1" si="239"/>
        <v>土</v>
      </c>
      <c r="F1675" s="26">
        <f t="shared" si="240"/>
        <v>1</v>
      </c>
      <c r="G1675" s="26">
        <f>IF(ISNA(MATCH(A1675,祝日定義!E:E,0)),0,1)</f>
        <v>0</v>
      </c>
      <c r="H1675" s="26">
        <f>IF(ISNA(MATCH(B1675&amp;"/"&amp;C1675,そのた定義!E:E,0)), 0, 1)</f>
        <v>0</v>
      </c>
      <c r="I1675" s="23" t="b">
        <f t="shared" si="241"/>
        <v>1</v>
      </c>
      <c r="J1675" s="26">
        <v>0</v>
      </c>
      <c r="K1675" s="26" t="b">
        <f t="shared" si="236"/>
        <v>0</v>
      </c>
      <c r="L1675" s="26" t="b">
        <f t="shared" si="237"/>
        <v>0</v>
      </c>
      <c r="M1675" t="b">
        <f t="shared" si="242"/>
        <v>0</v>
      </c>
      <c r="N1675" t="b">
        <f t="shared" si="243"/>
        <v>0</v>
      </c>
    </row>
    <row r="1676" spans="1:14">
      <c r="A1676" s="29">
        <v>46236</v>
      </c>
      <c r="B1676" s="30">
        <f t="shared" si="235"/>
        <v>8</v>
      </c>
      <c r="C1676" s="30">
        <f t="shared" si="238"/>
        <v>2</v>
      </c>
      <c r="D1676" s="26">
        <f>MATCH(WEEKDAY(A1676),そのた定義!A:A,0)</f>
        <v>2</v>
      </c>
      <c r="E1676" s="32" t="str">
        <f t="shared" ca="1" si="239"/>
        <v>日</v>
      </c>
      <c r="F1676" s="26">
        <f t="shared" si="240"/>
        <v>1</v>
      </c>
      <c r="G1676" s="26">
        <f>IF(ISNA(MATCH(A1676,祝日定義!E:E,0)),0,1)</f>
        <v>0</v>
      </c>
      <c r="H1676" s="26">
        <f>IF(ISNA(MATCH(B1676&amp;"/"&amp;C1676,そのた定義!E:E,0)), 0, 1)</f>
        <v>0</v>
      </c>
      <c r="I1676" s="23" t="b">
        <f t="shared" si="241"/>
        <v>1</v>
      </c>
      <c r="J1676" s="26">
        <v>0</v>
      </c>
      <c r="K1676" s="26" t="b">
        <f t="shared" si="236"/>
        <v>0</v>
      </c>
      <c r="L1676" s="26" t="b">
        <f t="shared" si="237"/>
        <v>0</v>
      </c>
      <c r="M1676" t="b">
        <f t="shared" si="242"/>
        <v>0</v>
      </c>
      <c r="N1676" t="b">
        <f t="shared" si="243"/>
        <v>0</v>
      </c>
    </row>
    <row r="1677" spans="1:14">
      <c r="A1677" s="29">
        <v>46237</v>
      </c>
      <c r="B1677" s="30">
        <f t="shared" si="235"/>
        <v>8</v>
      </c>
      <c r="C1677" s="30">
        <f t="shared" si="238"/>
        <v>3</v>
      </c>
      <c r="D1677" s="26">
        <f>MATCH(WEEKDAY(A1677),そのた定義!A:A,0)</f>
        <v>3</v>
      </c>
      <c r="E1677" s="26" t="str">
        <f t="shared" ca="1" si="239"/>
        <v>月</v>
      </c>
      <c r="F1677" s="26">
        <f t="shared" si="240"/>
        <v>0</v>
      </c>
      <c r="G1677" s="26">
        <f>IF(ISNA(MATCH(A1677,祝日定義!E:E,0)),0,1)</f>
        <v>0</v>
      </c>
      <c r="H1677" s="26">
        <f>IF(ISNA(MATCH(B1677&amp;"/"&amp;C1677,そのた定義!E:E,0)), 0, 1)</f>
        <v>0</v>
      </c>
      <c r="I1677" s="26" t="b">
        <f t="shared" si="241"/>
        <v>0</v>
      </c>
      <c r="J1677" s="26">
        <v>2</v>
      </c>
      <c r="K1677" s="26" t="b">
        <f t="shared" si="236"/>
        <v>0</v>
      </c>
      <c r="L1677" s="26" t="b">
        <f t="shared" si="237"/>
        <v>0</v>
      </c>
      <c r="M1677" t="b">
        <f t="shared" si="242"/>
        <v>0</v>
      </c>
      <c r="N1677" t="b">
        <f t="shared" si="243"/>
        <v>0</v>
      </c>
    </row>
    <row r="1678" spans="1:14">
      <c r="A1678" s="29">
        <v>46238</v>
      </c>
      <c r="B1678" s="30">
        <f t="shared" si="235"/>
        <v>8</v>
      </c>
      <c r="C1678" s="30">
        <f t="shared" si="238"/>
        <v>4</v>
      </c>
      <c r="D1678" s="26">
        <f>MATCH(WEEKDAY(A1678),そのた定義!A:A,0)</f>
        <v>4</v>
      </c>
      <c r="E1678" s="26" t="str">
        <f t="shared" ca="1" si="239"/>
        <v>火</v>
      </c>
      <c r="F1678" s="26">
        <f t="shared" si="240"/>
        <v>0</v>
      </c>
      <c r="G1678" s="26">
        <f>IF(ISNA(MATCH(A1678,祝日定義!E:E,0)),0,1)</f>
        <v>0</v>
      </c>
      <c r="H1678" s="26">
        <f>IF(ISNA(MATCH(B1678&amp;"/"&amp;C1678,そのた定義!E:E,0)), 0, 1)</f>
        <v>0</v>
      </c>
      <c r="I1678" s="26" t="b">
        <f t="shared" si="241"/>
        <v>0</v>
      </c>
      <c r="J1678" s="26">
        <v>0</v>
      </c>
      <c r="K1678" s="26" t="b">
        <f t="shared" si="236"/>
        <v>0</v>
      </c>
      <c r="L1678" s="26" t="b">
        <f t="shared" si="237"/>
        <v>0</v>
      </c>
      <c r="M1678" t="b">
        <f t="shared" si="242"/>
        <v>0</v>
      </c>
      <c r="N1678" t="b">
        <f t="shared" si="243"/>
        <v>0</v>
      </c>
    </row>
    <row r="1679" spans="1:14">
      <c r="A1679" s="29">
        <v>46239</v>
      </c>
      <c r="B1679" s="30">
        <f t="shared" si="235"/>
        <v>8</v>
      </c>
      <c r="C1679" s="30">
        <f t="shared" si="238"/>
        <v>5</v>
      </c>
      <c r="D1679" s="26">
        <f>MATCH(WEEKDAY(A1679),そのた定義!A:A,0)</f>
        <v>5</v>
      </c>
      <c r="E1679" s="26" t="str">
        <f t="shared" ca="1" si="239"/>
        <v>水</v>
      </c>
      <c r="F1679" s="26">
        <f t="shared" si="240"/>
        <v>0</v>
      </c>
      <c r="G1679" s="26">
        <f>IF(ISNA(MATCH(A1679,祝日定義!E:E,0)),0,1)</f>
        <v>0</v>
      </c>
      <c r="H1679" s="26">
        <f>IF(ISNA(MATCH(B1679&amp;"/"&amp;C1679,そのた定義!E:E,0)), 0, 1)</f>
        <v>0</v>
      </c>
      <c r="I1679" s="26" t="b">
        <f t="shared" si="241"/>
        <v>0</v>
      </c>
      <c r="J1679" s="26">
        <v>0</v>
      </c>
      <c r="K1679" s="26" t="b">
        <f t="shared" si="236"/>
        <v>0</v>
      </c>
      <c r="L1679" s="26" t="b">
        <f t="shared" si="237"/>
        <v>0</v>
      </c>
      <c r="M1679" t="b">
        <f t="shared" si="242"/>
        <v>0</v>
      </c>
      <c r="N1679" t="b">
        <f t="shared" si="243"/>
        <v>0</v>
      </c>
    </row>
    <row r="1680" spans="1:14">
      <c r="A1680" s="29">
        <v>46240</v>
      </c>
      <c r="B1680" s="30">
        <f t="shared" si="235"/>
        <v>8</v>
      </c>
      <c r="C1680" s="30">
        <f t="shared" si="238"/>
        <v>6</v>
      </c>
      <c r="D1680" s="26">
        <f>MATCH(WEEKDAY(A1680),そのた定義!A:A,0)</f>
        <v>6</v>
      </c>
      <c r="E1680" s="26" t="str">
        <f t="shared" ca="1" si="239"/>
        <v>木</v>
      </c>
      <c r="F1680" s="26">
        <f t="shared" si="240"/>
        <v>0</v>
      </c>
      <c r="G1680" s="26">
        <f>IF(ISNA(MATCH(A1680,祝日定義!E:E,0)),0,1)</f>
        <v>0</v>
      </c>
      <c r="H1680" s="26">
        <f>IF(ISNA(MATCH(B1680&amp;"/"&amp;C1680,そのた定義!E:E,0)), 0, 1)</f>
        <v>0</v>
      </c>
      <c r="I1680" s="26" t="b">
        <f t="shared" si="241"/>
        <v>0</v>
      </c>
      <c r="J1680" s="26">
        <v>0</v>
      </c>
      <c r="K1680" s="26" t="b">
        <f t="shared" si="236"/>
        <v>0</v>
      </c>
      <c r="L1680" s="26" t="b">
        <f t="shared" si="237"/>
        <v>0</v>
      </c>
      <c r="M1680" t="b">
        <f t="shared" si="242"/>
        <v>0</v>
      </c>
      <c r="N1680" t="b">
        <f t="shared" si="243"/>
        <v>0</v>
      </c>
    </row>
    <row r="1681" spans="1:14">
      <c r="A1681" s="29">
        <v>46241</v>
      </c>
      <c r="B1681" s="30">
        <f t="shared" si="235"/>
        <v>8</v>
      </c>
      <c r="C1681" s="30">
        <f t="shared" si="238"/>
        <v>7</v>
      </c>
      <c r="D1681" s="26">
        <f>MATCH(WEEKDAY(A1681),そのた定義!A:A,0)</f>
        <v>7</v>
      </c>
      <c r="E1681" s="26" t="str">
        <f t="shared" ca="1" si="239"/>
        <v>金</v>
      </c>
      <c r="F1681" s="26">
        <f t="shared" si="240"/>
        <v>0</v>
      </c>
      <c r="G1681" s="26">
        <f>IF(ISNA(MATCH(A1681,祝日定義!E:E,0)),0,1)</f>
        <v>0</v>
      </c>
      <c r="H1681" s="26">
        <f>IF(ISNA(MATCH(B1681&amp;"/"&amp;C1681,そのた定義!E:E,0)), 0, 1)</f>
        <v>0</v>
      </c>
      <c r="I1681" s="26" t="b">
        <f t="shared" si="241"/>
        <v>0</v>
      </c>
      <c r="J1681" s="26">
        <v>0</v>
      </c>
      <c r="K1681" s="26" t="b">
        <f t="shared" si="236"/>
        <v>0</v>
      </c>
      <c r="L1681" s="26" t="b">
        <f t="shared" si="237"/>
        <v>0</v>
      </c>
      <c r="M1681" t="b">
        <f t="shared" si="242"/>
        <v>0</v>
      </c>
      <c r="N1681" t="b">
        <f t="shared" si="243"/>
        <v>0</v>
      </c>
    </row>
    <row r="1682" spans="1:14">
      <c r="A1682" s="29">
        <v>46242</v>
      </c>
      <c r="B1682" s="30">
        <f t="shared" si="235"/>
        <v>8</v>
      </c>
      <c r="C1682" s="30">
        <f t="shared" si="238"/>
        <v>8</v>
      </c>
      <c r="D1682" s="26">
        <f>MATCH(WEEKDAY(A1682),そのた定義!A:A,0)</f>
        <v>8</v>
      </c>
      <c r="E1682" s="33" t="str">
        <f t="shared" ca="1" si="239"/>
        <v>土</v>
      </c>
      <c r="F1682" s="26">
        <f t="shared" si="240"/>
        <v>1</v>
      </c>
      <c r="G1682" s="26">
        <f>IF(ISNA(MATCH(A1682,祝日定義!E:E,0)),0,1)</f>
        <v>0</v>
      </c>
      <c r="H1682" s="26">
        <f>IF(ISNA(MATCH(B1682&amp;"/"&amp;C1682,そのた定義!E:E,0)), 0, 1)</f>
        <v>0</v>
      </c>
      <c r="I1682" s="23" t="b">
        <f t="shared" si="241"/>
        <v>1</v>
      </c>
      <c r="J1682" s="26">
        <v>0</v>
      </c>
      <c r="K1682" s="26" t="b">
        <f t="shared" si="236"/>
        <v>0</v>
      </c>
      <c r="L1682" s="26" t="b">
        <f t="shared" si="237"/>
        <v>0</v>
      </c>
      <c r="M1682" t="b">
        <f t="shared" si="242"/>
        <v>0</v>
      </c>
      <c r="N1682" t="b">
        <f t="shared" si="243"/>
        <v>0</v>
      </c>
    </row>
    <row r="1683" spans="1:14">
      <c r="A1683" s="29">
        <v>46243</v>
      </c>
      <c r="B1683" s="30">
        <f t="shared" si="235"/>
        <v>8</v>
      </c>
      <c r="C1683" s="30">
        <f t="shared" si="238"/>
        <v>9</v>
      </c>
      <c r="D1683" s="26">
        <f>MATCH(WEEKDAY(A1683),そのた定義!A:A,0)</f>
        <v>2</v>
      </c>
      <c r="E1683" s="32" t="str">
        <f t="shared" ca="1" si="239"/>
        <v>日</v>
      </c>
      <c r="F1683" s="26">
        <f t="shared" si="240"/>
        <v>1</v>
      </c>
      <c r="G1683" s="26">
        <f>IF(ISNA(MATCH(A1683,祝日定義!E:E,0)),0,1)</f>
        <v>0</v>
      </c>
      <c r="H1683" s="26">
        <f>IF(ISNA(MATCH(B1683&amp;"/"&amp;C1683,そのた定義!E:E,0)), 0, 1)</f>
        <v>0</v>
      </c>
      <c r="I1683" s="23" t="b">
        <f t="shared" si="241"/>
        <v>1</v>
      </c>
      <c r="J1683" s="26">
        <v>0</v>
      </c>
      <c r="K1683" s="26" t="b">
        <f t="shared" si="236"/>
        <v>0</v>
      </c>
      <c r="L1683" s="26" t="b">
        <f t="shared" si="237"/>
        <v>0</v>
      </c>
      <c r="M1683" t="b">
        <f t="shared" si="242"/>
        <v>0</v>
      </c>
      <c r="N1683" t="b">
        <f t="shared" si="243"/>
        <v>0</v>
      </c>
    </row>
    <row r="1684" spans="1:14">
      <c r="A1684" s="29">
        <v>46244</v>
      </c>
      <c r="B1684" s="30">
        <f t="shared" si="235"/>
        <v>8</v>
      </c>
      <c r="C1684" s="30">
        <f t="shared" si="238"/>
        <v>10</v>
      </c>
      <c r="D1684" s="26">
        <f>MATCH(WEEKDAY(A1684),そのた定義!A:A,0)</f>
        <v>3</v>
      </c>
      <c r="E1684" s="26" t="str">
        <f t="shared" ca="1" si="239"/>
        <v>月</v>
      </c>
      <c r="F1684" s="26">
        <f t="shared" si="240"/>
        <v>0</v>
      </c>
      <c r="G1684" s="26">
        <f>IF(ISNA(MATCH(A1684,祝日定義!E:E,0)),0,1)</f>
        <v>0</v>
      </c>
      <c r="H1684" s="26">
        <f>IF(ISNA(MATCH(B1684&amp;"/"&amp;C1684,そのた定義!E:E,0)), 0, 1)</f>
        <v>0</v>
      </c>
      <c r="I1684" s="26" t="b">
        <f t="shared" si="241"/>
        <v>0</v>
      </c>
      <c r="J1684" s="26">
        <v>2</v>
      </c>
      <c r="K1684" s="26" t="b">
        <f t="shared" si="236"/>
        <v>0</v>
      </c>
      <c r="L1684" s="26" t="b">
        <f t="shared" si="237"/>
        <v>0</v>
      </c>
      <c r="M1684" t="b">
        <f t="shared" si="242"/>
        <v>0</v>
      </c>
      <c r="N1684" t="b">
        <f t="shared" si="243"/>
        <v>0</v>
      </c>
    </row>
    <row r="1685" spans="1:14">
      <c r="A1685" s="29">
        <v>46245</v>
      </c>
      <c r="B1685" s="30">
        <f t="shared" si="235"/>
        <v>8</v>
      </c>
      <c r="C1685" s="30">
        <f t="shared" si="238"/>
        <v>11</v>
      </c>
      <c r="D1685" s="26">
        <f>MATCH(WEEKDAY(A1685),そのた定義!A:A,0)</f>
        <v>4</v>
      </c>
      <c r="E1685" s="31" t="str">
        <f t="shared" ca="1" si="239"/>
        <v>火</v>
      </c>
      <c r="F1685" s="26">
        <f t="shared" si="240"/>
        <v>0</v>
      </c>
      <c r="G1685" s="26">
        <f>IF(ISNA(MATCH(A1685,祝日定義!E:E,0)),0,1)</f>
        <v>1</v>
      </c>
      <c r="H1685" s="26">
        <f>IF(ISNA(MATCH(B1685&amp;"/"&amp;C1685,そのた定義!E:E,0)), 0, 1)</f>
        <v>0</v>
      </c>
      <c r="I1685" s="23" t="b">
        <f t="shared" si="241"/>
        <v>1</v>
      </c>
      <c r="J1685" s="26">
        <v>0</v>
      </c>
      <c r="K1685" s="26" t="b">
        <f t="shared" si="236"/>
        <v>0</v>
      </c>
      <c r="L1685" s="26" t="b">
        <f t="shared" si="237"/>
        <v>0</v>
      </c>
      <c r="M1685" t="b">
        <f t="shared" si="242"/>
        <v>0</v>
      </c>
      <c r="N1685" t="b">
        <f t="shared" si="243"/>
        <v>0</v>
      </c>
    </row>
    <row r="1686" spans="1:14">
      <c r="A1686" s="29">
        <v>46246</v>
      </c>
      <c r="B1686" s="30">
        <f t="shared" si="235"/>
        <v>8</v>
      </c>
      <c r="C1686" s="30">
        <f t="shared" si="238"/>
        <v>12</v>
      </c>
      <c r="D1686" s="26">
        <f>MATCH(WEEKDAY(A1686),そのた定義!A:A,0)</f>
        <v>5</v>
      </c>
      <c r="E1686" s="26" t="str">
        <f t="shared" ca="1" si="239"/>
        <v>水</v>
      </c>
      <c r="F1686" s="26">
        <f t="shared" si="240"/>
        <v>0</v>
      </c>
      <c r="G1686" s="26">
        <f>IF(ISNA(MATCH(A1686,祝日定義!E:E,0)),0,1)</f>
        <v>0</v>
      </c>
      <c r="H1686" s="26">
        <f>IF(ISNA(MATCH(B1686&amp;"/"&amp;C1686,そのた定義!E:E,0)), 0, 1)</f>
        <v>0</v>
      </c>
      <c r="I1686" s="26" t="b">
        <f t="shared" si="241"/>
        <v>0</v>
      </c>
      <c r="J1686" s="26">
        <v>1</v>
      </c>
      <c r="K1686" s="26" t="b">
        <f t="shared" si="236"/>
        <v>0</v>
      </c>
      <c r="L1686" s="26" t="b">
        <f t="shared" si="237"/>
        <v>0</v>
      </c>
      <c r="M1686" t="b">
        <f t="shared" si="242"/>
        <v>0</v>
      </c>
      <c r="N1686" t="b">
        <f t="shared" si="243"/>
        <v>0</v>
      </c>
    </row>
    <row r="1687" spans="1:14">
      <c r="A1687" s="29">
        <v>46247</v>
      </c>
      <c r="B1687" s="30">
        <f t="shared" si="235"/>
        <v>8</v>
      </c>
      <c r="C1687" s="30">
        <f t="shared" si="238"/>
        <v>13</v>
      </c>
      <c r="D1687" s="26">
        <f>MATCH(WEEKDAY(A1687),そのた定義!A:A,0)</f>
        <v>6</v>
      </c>
      <c r="E1687" s="26" t="str">
        <f t="shared" ca="1" si="239"/>
        <v>木</v>
      </c>
      <c r="F1687" s="26">
        <f t="shared" si="240"/>
        <v>0</v>
      </c>
      <c r="G1687" s="26">
        <f>IF(ISNA(MATCH(A1687,祝日定義!E:E,0)),0,1)</f>
        <v>0</v>
      </c>
      <c r="H1687" s="26">
        <f>IF(ISNA(MATCH(B1687&amp;"/"&amp;C1687,そのた定義!E:E,0)), 0, 1)</f>
        <v>0</v>
      </c>
      <c r="I1687" s="26" t="b">
        <f t="shared" si="241"/>
        <v>0</v>
      </c>
      <c r="J1687" s="26">
        <v>0</v>
      </c>
      <c r="K1687" s="26" t="b">
        <f t="shared" si="236"/>
        <v>0</v>
      </c>
      <c r="L1687" s="26" t="b">
        <f t="shared" si="237"/>
        <v>0</v>
      </c>
      <c r="M1687" t="b">
        <f t="shared" si="242"/>
        <v>0</v>
      </c>
      <c r="N1687" t="b">
        <f t="shared" si="243"/>
        <v>0</v>
      </c>
    </row>
    <row r="1688" spans="1:14">
      <c r="A1688" s="29">
        <v>46248</v>
      </c>
      <c r="B1688" s="30">
        <f t="shared" si="235"/>
        <v>8</v>
      </c>
      <c r="C1688" s="30">
        <f t="shared" si="238"/>
        <v>14</v>
      </c>
      <c r="D1688" s="26">
        <f>MATCH(WEEKDAY(A1688),そのた定義!A:A,0)</f>
        <v>7</v>
      </c>
      <c r="E1688" s="26" t="str">
        <f t="shared" ca="1" si="239"/>
        <v>金</v>
      </c>
      <c r="F1688" s="26">
        <f t="shared" si="240"/>
        <v>0</v>
      </c>
      <c r="G1688" s="26">
        <f>IF(ISNA(MATCH(A1688,祝日定義!E:E,0)),0,1)</f>
        <v>0</v>
      </c>
      <c r="H1688" s="26">
        <f>IF(ISNA(MATCH(B1688&amp;"/"&amp;C1688,そのた定義!E:E,0)), 0, 1)</f>
        <v>0</v>
      </c>
      <c r="I1688" s="26" t="b">
        <f t="shared" si="241"/>
        <v>0</v>
      </c>
      <c r="J1688" s="26">
        <v>0</v>
      </c>
      <c r="K1688" s="26" t="b">
        <f t="shared" si="236"/>
        <v>0</v>
      </c>
      <c r="L1688" s="26" t="b">
        <f t="shared" si="237"/>
        <v>0</v>
      </c>
      <c r="M1688" t="b">
        <f t="shared" si="242"/>
        <v>0</v>
      </c>
      <c r="N1688" t="b">
        <f t="shared" si="243"/>
        <v>0</v>
      </c>
    </row>
    <row r="1689" spans="1:14">
      <c r="A1689" s="29">
        <v>46249</v>
      </c>
      <c r="B1689" s="30">
        <f t="shared" si="235"/>
        <v>8</v>
      </c>
      <c r="C1689" s="30">
        <f t="shared" si="238"/>
        <v>15</v>
      </c>
      <c r="D1689" s="26">
        <f>MATCH(WEEKDAY(A1689),そのた定義!A:A,0)</f>
        <v>8</v>
      </c>
      <c r="E1689" s="33" t="str">
        <f t="shared" ca="1" si="239"/>
        <v>土</v>
      </c>
      <c r="F1689" s="26">
        <f t="shared" si="240"/>
        <v>1</v>
      </c>
      <c r="G1689" s="26">
        <f>IF(ISNA(MATCH(A1689,祝日定義!E:E,0)),0,1)</f>
        <v>0</v>
      </c>
      <c r="H1689" s="26">
        <f>IF(ISNA(MATCH(B1689&amp;"/"&amp;C1689,そのた定義!E:E,0)), 0, 1)</f>
        <v>0</v>
      </c>
      <c r="I1689" s="23" t="b">
        <f t="shared" si="241"/>
        <v>1</v>
      </c>
      <c r="J1689" s="26">
        <v>0</v>
      </c>
      <c r="K1689" s="26" t="b">
        <f t="shared" si="236"/>
        <v>0</v>
      </c>
      <c r="L1689" s="26" t="b">
        <f t="shared" si="237"/>
        <v>0</v>
      </c>
      <c r="M1689" t="b">
        <f t="shared" si="242"/>
        <v>0</v>
      </c>
      <c r="N1689" t="b">
        <f t="shared" si="243"/>
        <v>0</v>
      </c>
    </row>
    <row r="1690" spans="1:14">
      <c r="A1690" s="29">
        <v>46250</v>
      </c>
      <c r="B1690" s="30">
        <f t="shared" si="235"/>
        <v>8</v>
      </c>
      <c r="C1690" s="30">
        <f t="shared" si="238"/>
        <v>16</v>
      </c>
      <c r="D1690" s="26">
        <f>MATCH(WEEKDAY(A1690),そのた定義!A:A,0)</f>
        <v>2</v>
      </c>
      <c r="E1690" s="32" t="str">
        <f t="shared" ca="1" si="239"/>
        <v>日</v>
      </c>
      <c r="F1690" s="26">
        <f t="shared" si="240"/>
        <v>1</v>
      </c>
      <c r="G1690" s="26">
        <f>IF(ISNA(MATCH(A1690,祝日定義!E:E,0)),0,1)</f>
        <v>0</v>
      </c>
      <c r="H1690" s="26">
        <f>IF(ISNA(MATCH(B1690&amp;"/"&amp;C1690,そのた定義!E:E,0)), 0, 1)</f>
        <v>0</v>
      </c>
      <c r="I1690" s="23" t="b">
        <f t="shared" si="241"/>
        <v>1</v>
      </c>
      <c r="J1690" s="26">
        <v>0</v>
      </c>
      <c r="K1690" s="26" t="b">
        <f t="shared" si="236"/>
        <v>0</v>
      </c>
      <c r="L1690" s="26" t="b">
        <f t="shared" si="237"/>
        <v>0</v>
      </c>
      <c r="M1690" t="b">
        <f t="shared" si="242"/>
        <v>0</v>
      </c>
      <c r="N1690" t="b">
        <f t="shared" si="243"/>
        <v>0</v>
      </c>
    </row>
    <row r="1691" spans="1:14">
      <c r="A1691" s="29">
        <v>46251</v>
      </c>
      <c r="B1691" s="30">
        <f t="shared" si="235"/>
        <v>8</v>
      </c>
      <c r="C1691" s="30">
        <f t="shared" si="238"/>
        <v>17</v>
      </c>
      <c r="D1691" s="26">
        <f>MATCH(WEEKDAY(A1691),そのた定義!A:A,0)</f>
        <v>3</v>
      </c>
      <c r="E1691" s="26" t="str">
        <f t="shared" ca="1" si="239"/>
        <v>月</v>
      </c>
      <c r="F1691" s="26">
        <f t="shared" si="240"/>
        <v>0</v>
      </c>
      <c r="G1691" s="26">
        <f>IF(ISNA(MATCH(A1691,祝日定義!E:E,0)),0,1)</f>
        <v>0</v>
      </c>
      <c r="H1691" s="26">
        <f>IF(ISNA(MATCH(B1691&amp;"/"&amp;C1691,そのた定義!E:E,0)), 0, 1)</f>
        <v>0</v>
      </c>
      <c r="I1691" s="26" t="b">
        <f t="shared" si="241"/>
        <v>0</v>
      </c>
      <c r="J1691" s="26">
        <v>2</v>
      </c>
      <c r="K1691" s="26" t="b">
        <f t="shared" si="236"/>
        <v>0</v>
      </c>
      <c r="L1691" s="26" t="b">
        <f t="shared" si="237"/>
        <v>0</v>
      </c>
      <c r="M1691" t="b">
        <f t="shared" si="242"/>
        <v>0</v>
      </c>
      <c r="N1691" t="b">
        <f t="shared" si="243"/>
        <v>0</v>
      </c>
    </row>
    <row r="1692" spans="1:14">
      <c r="A1692" s="29">
        <v>46252</v>
      </c>
      <c r="B1692" s="30">
        <f t="shared" si="235"/>
        <v>8</v>
      </c>
      <c r="C1692" s="30">
        <f t="shared" si="238"/>
        <v>18</v>
      </c>
      <c r="D1692" s="26">
        <f>MATCH(WEEKDAY(A1692),そのた定義!A:A,0)</f>
        <v>4</v>
      </c>
      <c r="E1692" s="26" t="str">
        <f t="shared" ca="1" si="239"/>
        <v>火</v>
      </c>
      <c r="F1692" s="26">
        <f t="shared" si="240"/>
        <v>0</v>
      </c>
      <c r="G1692" s="26">
        <f>IF(ISNA(MATCH(A1692,祝日定義!E:E,0)),0,1)</f>
        <v>0</v>
      </c>
      <c r="H1692" s="26">
        <f>IF(ISNA(MATCH(B1692&amp;"/"&amp;C1692,そのた定義!E:E,0)), 0, 1)</f>
        <v>0</v>
      </c>
      <c r="I1692" s="26" t="b">
        <f t="shared" si="241"/>
        <v>0</v>
      </c>
      <c r="J1692" s="26">
        <v>0</v>
      </c>
      <c r="K1692" s="26" t="b">
        <f t="shared" si="236"/>
        <v>0</v>
      </c>
      <c r="L1692" s="26" t="b">
        <f t="shared" si="237"/>
        <v>0</v>
      </c>
      <c r="M1692" t="b">
        <f t="shared" si="242"/>
        <v>0</v>
      </c>
      <c r="N1692" t="b">
        <f t="shared" si="243"/>
        <v>0</v>
      </c>
    </row>
    <row r="1693" spans="1:14">
      <c r="A1693" s="29">
        <v>46253</v>
      </c>
      <c r="B1693" s="30">
        <f t="shared" si="235"/>
        <v>8</v>
      </c>
      <c r="C1693" s="30">
        <f t="shared" si="238"/>
        <v>19</v>
      </c>
      <c r="D1693" s="26">
        <f>MATCH(WEEKDAY(A1693),そのた定義!A:A,0)</f>
        <v>5</v>
      </c>
      <c r="E1693" s="26" t="str">
        <f t="shared" ca="1" si="239"/>
        <v>水</v>
      </c>
      <c r="F1693" s="26">
        <f t="shared" si="240"/>
        <v>0</v>
      </c>
      <c r="G1693" s="26">
        <f>IF(ISNA(MATCH(A1693,祝日定義!E:E,0)),0,1)</f>
        <v>0</v>
      </c>
      <c r="H1693" s="26">
        <f>IF(ISNA(MATCH(B1693&amp;"/"&amp;C1693,そのた定義!E:E,0)), 0, 1)</f>
        <v>0</v>
      </c>
      <c r="I1693" s="26" t="b">
        <f t="shared" si="241"/>
        <v>0</v>
      </c>
      <c r="J1693" s="26">
        <v>0</v>
      </c>
      <c r="K1693" s="26" t="b">
        <f t="shared" si="236"/>
        <v>0</v>
      </c>
      <c r="L1693" s="26" t="b">
        <f t="shared" si="237"/>
        <v>0</v>
      </c>
      <c r="M1693" t="b">
        <f t="shared" si="242"/>
        <v>0</v>
      </c>
      <c r="N1693" t="b">
        <f t="shared" si="243"/>
        <v>0</v>
      </c>
    </row>
    <row r="1694" spans="1:14">
      <c r="A1694" s="29">
        <v>46254</v>
      </c>
      <c r="B1694" s="30">
        <f t="shared" si="235"/>
        <v>8</v>
      </c>
      <c r="C1694" s="30">
        <f t="shared" si="238"/>
        <v>20</v>
      </c>
      <c r="D1694" s="26">
        <f>MATCH(WEEKDAY(A1694),そのた定義!A:A,0)</f>
        <v>6</v>
      </c>
      <c r="E1694" s="26" t="str">
        <f t="shared" ca="1" si="239"/>
        <v>木</v>
      </c>
      <c r="F1694" s="26">
        <f t="shared" si="240"/>
        <v>0</v>
      </c>
      <c r="G1694" s="26">
        <f>IF(ISNA(MATCH(A1694,祝日定義!E:E,0)),0,1)</f>
        <v>0</v>
      </c>
      <c r="H1694" s="26">
        <f>IF(ISNA(MATCH(B1694&amp;"/"&amp;C1694,そのた定義!E:E,0)), 0, 1)</f>
        <v>0</v>
      </c>
      <c r="I1694" s="26" t="b">
        <f t="shared" si="241"/>
        <v>0</v>
      </c>
      <c r="J1694" s="26">
        <v>0</v>
      </c>
      <c r="K1694" s="26" t="b">
        <f t="shared" si="236"/>
        <v>0</v>
      </c>
      <c r="L1694" s="26" t="b">
        <f t="shared" si="237"/>
        <v>0</v>
      </c>
      <c r="M1694" t="b">
        <f t="shared" si="242"/>
        <v>0</v>
      </c>
      <c r="N1694" t="b">
        <f t="shared" si="243"/>
        <v>0</v>
      </c>
    </row>
    <row r="1695" spans="1:14">
      <c r="A1695" s="29">
        <v>46255</v>
      </c>
      <c r="B1695" s="30">
        <f t="shared" si="235"/>
        <v>8</v>
      </c>
      <c r="C1695" s="30">
        <f t="shared" si="238"/>
        <v>21</v>
      </c>
      <c r="D1695" s="26">
        <f>MATCH(WEEKDAY(A1695),そのた定義!A:A,0)</f>
        <v>7</v>
      </c>
      <c r="E1695" s="26" t="str">
        <f t="shared" ca="1" si="239"/>
        <v>金</v>
      </c>
      <c r="F1695" s="26">
        <f t="shared" si="240"/>
        <v>0</v>
      </c>
      <c r="G1695" s="26">
        <f>IF(ISNA(MATCH(A1695,祝日定義!E:E,0)),0,1)</f>
        <v>0</v>
      </c>
      <c r="H1695" s="26">
        <f>IF(ISNA(MATCH(B1695&amp;"/"&amp;C1695,そのた定義!E:E,0)), 0, 1)</f>
        <v>0</v>
      </c>
      <c r="I1695" s="26" t="b">
        <f t="shared" si="241"/>
        <v>0</v>
      </c>
      <c r="J1695" s="26">
        <v>0</v>
      </c>
      <c r="K1695" s="26" t="b">
        <f t="shared" si="236"/>
        <v>0</v>
      </c>
      <c r="L1695" s="26" t="b">
        <f t="shared" si="237"/>
        <v>0</v>
      </c>
      <c r="M1695" t="b">
        <f t="shared" si="242"/>
        <v>0</v>
      </c>
      <c r="N1695" t="b">
        <f t="shared" si="243"/>
        <v>0</v>
      </c>
    </row>
    <row r="1696" spans="1:14">
      <c r="A1696" s="29">
        <v>46256</v>
      </c>
      <c r="B1696" s="30">
        <f t="shared" si="235"/>
        <v>8</v>
      </c>
      <c r="C1696" s="30">
        <f t="shared" si="238"/>
        <v>22</v>
      </c>
      <c r="D1696" s="26">
        <f>MATCH(WEEKDAY(A1696),そのた定義!A:A,0)</f>
        <v>8</v>
      </c>
      <c r="E1696" s="33" t="str">
        <f t="shared" ca="1" si="239"/>
        <v>土</v>
      </c>
      <c r="F1696" s="26">
        <f t="shared" si="240"/>
        <v>1</v>
      </c>
      <c r="G1696" s="26">
        <f>IF(ISNA(MATCH(A1696,祝日定義!E:E,0)),0,1)</f>
        <v>0</v>
      </c>
      <c r="H1696" s="26">
        <f>IF(ISNA(MATCH(B1696&amp;"/"&amp;C1696,そのた定義!E:E,0)), 0, 1)</f>
        <v>0</v>
      </c>
      <c r="I1696" s="23" t="b">
        <f t="shared" si="241"/>
        <v>1</v>
      </c>
      <c r="J1696" s="26">
        <v>0</v>
      </c>
      <c r="K1696" s="26" t="b">
        <f t="shared" si="236"/>
        <v>0</v>
      </c>
      <c r="L1696" s="26" t="b">
        <f t="shared" si="237"/>
        <v>0</v>
      </c>
      <c r="M1696" t="b">
        <f t="shared" si="242"/>
        <v>0</v>
      </c>
      <c r="N1696" t="b">
        <f t="shared" si="243"/>
        <v>0</v>
      </c>
    </row>
    <row r="1697" spans="1:14">
      <c r="A1697" s="29">
        <v>46257</v>
      </c>
      <c r="B1697" s="30">
        <f t="shared" si="235"/>
        <v>8</v>
      </c>
      <c r="C1697" s="30">
        <f t="shared" si="238"/>
        <v>23</v>
      </c>
      <c r="D1697" s="26">
        <f>MATCH(WEEKDAY(A1697),そのた定義!A:A,0)</f>
        <v>2</v>
      </c>
      <c r="E1697" s="32" t="str">
        <f t="shared" ca="1" si="239"/>
        <v>日</v>
      </c>
      <c r="F1697" s="26">
        <f t="shared" si="240"/>
        <v>1</v>
      </c>
      <c r="G1697" s="26">
        <f>IF(ISNA(MATCH(A1697,祝日定義!E:E,0)),0,1)</f>
        <v>0</v>
      </c>
      <c r="H1697" s="26">
        <f>IF(ISNA(MATCH(B1697&amp;"/"&amp;C1697,そのた定義!E:E,0)), 0, 1)</f>
        <v>0</v>
      </c>
      <c r="I1697" s="23" t="b">
        <f t="shared" si="241"/>
        <v>1</v>
      </c>
      <c r="J1697" s="26">
        <v>0</v>
      </c>
      <c r="K1697" s="26" t="b">
        <f t="shared" si="236"/>
        <v>0</v>
      </c>
      <c r="L1697" s="26" t="b">
        <f t="shared" si="237"/>
        <v>0</v>
      </c>
      <c r="M1697" t="b">
        <f t="shared" si="242"/>
        <v>0</v>
      </c>
      <c r="N1697" t="b">
        <f t="shared" si="243"/>
        <v>0</v>
      </c>
    </row>
    <row r="1698" spans="1:14">
      <c r="A1698" s="29">
        <v>46258</v>
      </c>
      <c r="B1698" s="30">
        <f t="shared" si="235"/>
        <v>8</v>
      </c>
      <c r="C1698" s="30">
        <f t="shared" si="238"/>
        <v>24</v>
      </c>
      <c r="D1698" s="26">
        <f>MATCH(WEEKDAY(A1698),そのた定義!A:A,0)</f>
        <v>3</v>
      </c>
      <c r="E1698" s="26" t="str">
        <f t="shared" ca="1" si="239"/>
        <v>月</v>
      </c>
      <c r="F1698" s="26">
        <f t="shared" si="240"/>
        <v>0</v>
      </c>
      <c r="G1698" s="26">
        <f>IF(ISNA(MATCH(A1698,祝日定義!E:E,0)),0,1)</f>
        <v>0</v>
      </c>
      <c r="H1698" s="26">
        <f>IF(ISNA(MATCH(B1698&amp;"/"&amp;C1698,そのた定義!E:E,0)), 0, 1)</f>
        <v>0</v>
      </c>
      <c r="I1698" s="26" t="b">
        <f t="shared" si="241"/>
        <v>0</v>
      </c>
      <c r="J1698" s="26">
        <v>2</v>
      </c>
      <c r="K1698" s="26" t="b">
        <f t="shared" si="236"/>
        <v>0</v>
      </c>
      <c r="L1698" s="26" t="b">
        <f t="shared" si="237"/>
        <v>0</v>
      </c>
      <c r="M1698" t="b">
        <f t="shared" si="242"/>
        <v>0</v>
      </c>
      <c r="N1698" t="b">
        <f t="shared" si="243"/>
        <v>0</v>
      </c>
    </row>
    <row r="1699" spans="1:14">
      <c r="A1699" s="29">
        <v>46259</v>
      </c>
      <c r="B1699" s="30">
        <f t="shared" si="235"/>
        <v>8</v>
      </c>
      <c r="C1699" s="30">
        <f t="shared" si="238"/>
        <v>25</v>
      </c>
      <c r="D1699" s="26">
        <f>MATCH(WEEKDAY(A1699),そのた定義!A:A,0)</f>
        <v>4</v>
      </c>
      <c r="E1699" s="26" t="str">
        <f t="shared" ca="1" si="239"/>
        <v>火</v>
      </c>
      <c r="F1699" s="26">
        <f t="shared" si="240"/>
        <v>0</v>
      </c>
      <c r="G1699" s="26">
        <f>IF(ISNA(MATCH(A1699,祝日定義!E:E,0)),0,1)</f>
        <v>0</v>
      </c>
      <c r="H1699" s="26">
        <f>IF(ISNA(MATCH(B1699&amp;"/"&amp;C1699,そのた定義!E:E,0)), 0, 1)</f>
        <v>0</v>
      </c>
      <c r="I1699" s="26" t="b">
        <f t="shared" si="241"/>
        <v>0</v>
      </c>
      <c r="J1699" s="26">
        <v>0</v>
      </c>
      <c r="K1699" s="26" t="b">
        <f t="shared" si="236"/>
        <v>0</v>
      </c>
      <c r="L1699" s="23" t="b">
        <f t="shared" si="237"/>
        <v>1</v>
      </c>
      <c r="M1699" t="b">
        <f t="shared" si="242"/>
        <v>0</v>
      </c>
      <c r="N1699" t="b">
        <f t="shared" si="243"/>
        <v>0</v>
      </c>
    </row>
    <row r="1700" spans="1:14">
      <c r="A1700" s="29">
        <v>46260</v>
      </c>
      <c r="B1700" s="30">
        <f t="shared" si="235"/>
        <v>8</v>
      </c>
      <c r="C1700" s="30">
        <f t="shared" si="238"/>
        <v>26</v>
      </c>
      <c r="D1700" s="26">
        <f>MATCH(WEEKDAY(A1700),そのた定義!A:A,0)</f>
        <v>5</v>
      </c>
      <c r="E1700" s="26" t="str">
        <f t="shared" ca="1" si="239"/>
        <v>水</v>
      </c>
      <c r="F1700" s="26">
        <f t="shared" si="240"/>
        <v>0</v>
      </c>
      <c r="G1700" s="26">
        <f>IF(ISNA(MATCH(A1700,祝日定義!E:E,0)),0,1)</f>
        <v>0</v>
      </c>
      <c r="H1700" s="26">
        <f>IF(ISNA(MATCH(B1700&amp;"/"&amp;C1700,そのた定義!E:E,0)), 0, 1)</f>
        <v>0</v>
      </c>
      <c r="I1700" s="26" t="b">
        <f t="shared" si="241"/>
        <v>0</v>
      </c>
      <c r="J1700" s="26">
        <v>0</v>
      </c>
      <c r="K1700" s="26" t="b">
        <f t="shared" si="236"/>
        <v>0</v>
      </c>
      <c r="L1700" s="26" t="b">
        <f t="shared" si="237"/>
        <v>0</v>
      </c>
      <c r="M1700" t="b">
        <f t="shared" si="242"/>
        <v>0</v>
      </c>
      <c r="N1700" t="b">
        <f t="shared" si="243"/>
        <v>0</v>
      </c>
    </row>
    <row r="1701" spans="1:14">
      <c r="A1701" s="29">
        <v>46261</v>
      </c>
      <c r="B1701" s="30">
        <f t="shared" si="235"/>
        <v>8</v>
      </c>
      <c r="C1701" s="30">
        <f t="shared" si="238"/>
        <v>27</v>
      </c>
      <c r="D1701" s="26">
        <f>MATCH(WEEKDAY(A1701),そのた定義!A:A,0)</f>
        <v>6</v>
      </c>
      <c r="E1701" s="26" t="str">
        <f t="shared" ca="1" si="239"/>
        <v>木</v>
      </c>
      <c r="F1701" s="26">
        <f t="shared" si="240"/>
        <v>0</v>
      </c>
      <c r="G1701" s="26">
        <f>IF(ISNA(MATCH(A1701,祝日定義!E:E,0)),0,1)</f>
        <v>0</v>
      </c>
      <c r="H1701" s="26">
        <f>IF(ISNA(MATCH(B1701&amp;"/"&amp;C1701,そのた定義!E:E,0)), 0, 1)</f>
        <v>0</v>
      </c>
      <c r="I1701" s="26" t="b">
        <f t="shared" si="241"/>
        <v>0</v>
      </c>
      <c r="J1701" s="26">
        <v>0</v>
      </c>
      <c r="K1701" s="26" t="b">
        <f t="shared" si="236"/>
        <v>0</v>
      </c>
      <c r="L1701" s="26" t="b">
        <f t="shared" si="237"/>
        <v>0</v>
      </c>
      <c r="M1701" t="b">
        <f t="shared" si="242"/>
        <v>0</v>
      </c>
      <c r="N1701" t="b">
        <f t="shared" si="243"/>
        <v>0</v>
      </c>
    </row>
    <row r="1702" spans="1:14">
      <c r="A1702" s="29">
        <v>46262</v>
      </c>
      <c r="B1702" s="30">
        <f t="shared" si="235"/>
        <v>8</v>
      </c>
      <c r="C1702" s="30">
        <f t="shared" si="238"/>
        <v>28</v>
      </c>
      <c r="D1702" s="26">
        <f>MATCH(WEEKDAY(A1702),そのた定義!A:A,0)</f>
        <v>7</v>
      </c>
      <c r="E1702" s="26" t="str">
        <f t="shared" ca="1" si="239"/>
        <v>金</v>
      </c>
      <c r="F1702" s="26">
        <f t="shared" si="240"/>
        <v>0</v>
      </c>
      <c r="G1702" s="26">
        <f>IF(ISNA(MATCH(A1702,祝日定義!E:E,0)),0,1)</f>
        <v>0</v>
      </c>
      <c r="H1702" s="26">
        <f>IF(ISNA(MATCH(B1702&amp;"/"&amp;C1702,そのた定義!E:E,0)), 0, 1)</f>
        <v>0</v>
      </c>
      <c r="I1702" s="26" t="b">
        <f t="shared" si="241"/>
        <v>0</v>
      </c>
      <c r="J1702" s="26">
        <v>0</v>
      </c>
      <c r="K1702" s="26" t="b">
        <f t="shared" si="236"/>
        <v>0</v>
      </c>
      <c r="L1702" s="26" t="b">
        <f t="shared" si="237"/>
        <v>0</v>
      </c>
      <c r="M1702" t="b">
        <f t="shared" si="242"/>
        <v>0</v>
      </c>
      <c r="N1702" t="b">
        <f t="shared" si="243"/>
        <v>0</v>
      </c>
    </row>
    <row r="1703" spans="1:14">
      <c r="A1703" s="29">
        <v>46263</v>
      </c>
      <c r="B1703" s="30">
        <f t="shared" si="235"/>
        <v>8</v>
      </c>
      <c r="C1703" s="30">
        <f t="shared" si="238"/>
        <v>29</v>
      </c>
      <c r="D1703" s="26">
        <f>MATCH(WEEKDAY(A1703),そのた定義!A:A,0)</f>
        <v>8</v>
      </c>
      <c r="E1703" s="33" t="str">
        <f t="shared" ca="1" si="239"/>
        <v>土</v>
      </c>
      <c r="F1703" s="26">
        <f t="shared" si="240"/>
        <v>1</v>
      </c>
      <c r="G1703" s="26">
        <f>IF(ISNA(MATCH(A1703,祝日定義!E:E,0)),0,1)</f>
        <v>0</v>
      </c>
      <c r="H1703" s="26">
        <f>IF(ISNA(MATCH(B1703&amp;"/"&amp;C1703,そのた定義!E:E,0)), 0, 1)</f>
        <v>0</v>
      </c>
      <c r="I1703" s="23" t="b">
        <f t="shared" si="241"/>
        <v>1</v>
      </c>
      <c r="J1703" s="26">
        <v>0</v>
      </c>
      <c r="K1703" s="26" t="b">
        <f t="shared" si="236"/>
        <v>0</v>
      </c>
      <c r="L1703" s="26" t="b">
        <f t="shared" si="237"/>
        <v>0</v>
      </c>
      <c r="M1703" t="b">
        <f t="shared" si="242"/>
        <v>0</v>
      </c>
      <c r="N1703" t="b">
        <f t="shared" si="243"/>
        <v>0</v>
      </c>
    </row>
    <row r="1704" spans="1:14">
      <c r="A1704" s="29">
        <v>46264</v>
      </c>
      <c r="B1704" s="30">
        <f t="shared" si="235"/>
        <v>8</v>
      </c>
      <c r="C1704" s="30">
        <f t="shared" si="238"/>
        <v>30</v>
      </c>
      <c r="D1704" s="26">
        <f>MATCH(WEEKDAY(A1704),そのた定義!A:A,0)</f>
        <v>2</v>
      </c>
      <c r="E1704" s="32" t="str">
        <f t="shared" ca="1" si="239"/>
        <v>日</v>
      </c>
      <c r="F1704" s="26">
        <f t="shared" si="240"/>
        <v>1</v>
      </c>
      <c r="G1704" s="26">
        <f>IF(ISNA(MATCH(A1704,祝日定義!E:E,0)),0,1)</f>
        <v>0</v>
      </c>
      <c r="H1704" s="26">
        <f>IF(ISNA(MATCH(B1704&amp;"/"&amp;C1704,そのた定義!E:E,0)), 0, 1)</f>
        <v>0</v>
      </c>
      <c r="I1704" s="23" t="b">
        <f t="shared" si="241"/>
        <v>1</v>
      </c>
      <c r="J1704" s="26">
        <v>0</v>
      </c>
      <c r="K1704" s="26" t="b">
        <f t="shared" si="236"/>
        <v>0</v>
      </c>
      <c r="L1704" s="26" t="b">
        <f t="shared" si="237"/>
        <v>0</v>
      </c>
      <c r="M1704" t="b">
        <f t="shared" si="242"/>
        <v>0</v>
      </c>
      <c r="N1704" t="b">
        <f t="shared" si="243"/>
        <v>0</v>
      </c>
    </row>
    <row r="1705" spans="1:14">
      <c r="A1705" s="29">
        <v>46265</v>
      </c>
      <c r="B1705" s="30">
        <f t="shared" si="235"/>
        <v>8</v>
      </c>
      <c r="C1705" s="30">
        <f t="shared" si="238"/>
        <v>31</v>
      </c>
      <c r="D1705" s="26">
        <f>MATCH(WEEKDAY(A1705),そのた定義!A:A,0)</f>
        <v>3</v>
      </c>
      <c r="E1705" s="26" t="str">
        <f t="shared" ca="1" si="239"/>
        <v>月</v>
      </c>
      <c r="F1705" s="26">
        <f t="shared" si="240"/>
        <v>0</v>
      </c>
      <c r="G1705" s="26">
        <f>IF(ISNA(MATCH(A1705,祝日定義!E:E,0)),0,1)</f>
        <v>0</v>
      </c>
      <c r="H1705" s="26">
        <f>IF(ISNA(MATCH(B1705&amp;"/"&amp;C1705,そのた定義!E:E,0)), 0, 1)</f>
        <v>0</v>
      </c>
      <c r="I1705" s="26" t="b">
        <f t="shared" si="241"/>
        <v>0</v>
      </c>
      <c r="J1705" s="26">
        <v>2</v>
      </c>
      <c r="K1705" s="26" t="b">
        <f t="shared" si="236"/>
        <v>0</v>
      </c>
      <c r="L1705" s="26" t="b">
        <f t="shared" si="237"/>
        <v>0</v>
      </c>
      <c r="M1705" t="b">
        <f t="shared" si="242"/>
        <v>0</v>
      </c>
      <c r="N1705" t="b">
        <f t="shared" si="243"/>
        <v>1</v>
      </c>
    </row>
    <row r="1706" spans="1:14">
      <c r="A1706" s="29">
        <v>46266</v>
      </c>
      <c r="B1706" s="30">
        <f t="shared" si="235"/>
        <v>9</v>
      </c>
      <c r="C1706" s="30">
        <f t="shared" si="238"/>
        <v>1</v>
      </c>
      <c r="D1706" s="26">
        <f>MATCH(WEEKDAY(A1706),そのた定義!A:A,0)</f>
        <v>4</v>
      </c>
      <c r="E1706" s="26" t="str">
        <f t="shared" ca="1" si="239"/>
        <v>火</v>
      </c>
      <c r="F1706" s="26">
        <f t="shared" si="240"/>
        <v>0</v>
      </c>
      <c r="G1706" s="26">
        <f>IF(ISNA(MATCH(A1706,祝日定義!E:E,0)),0,1)</f>
        <v>0</v>
      </c>
      <c r="H1706" s="26">
        <f>IF(ISNA(MATCH(B1706&amp;"/"&amp;C1706,そのた定義!E:E,0)), 0, 1)</f>
        <v>0</v>
      </c>
      <c r="I1706" s="26" t="b">
        <f t="shared" si="241"/>
        <v>0</v>
      </c>
      <c r="J1706" s="26">
        <v>0</v>
      </c>
      <c r="K1706" s="26" t="b">
        <f t="shared" si="236"/>
        <v>0</v>
      </c>
      <c r="L1706" s="26" t="b">
        <f t="shared" si="237"/>
        <v>0</v>
      </c>
      <c r="M1706" t="b">
        <f t="shared" si="242"/>
        <v>0</v>
      </c>
      <c r="N1706" t="b">
        <f t="shared" si="243"/>
        <v>0</v>
      </c>
    </row>
    <row r="1707" spans="1:14">
      <c r="A1707" s="29">
        <v>46267</v>
      </c>
      <c r="B1707" s="30">
        <f t="shared" si="235"/>
        <v>9</v>
      </c>
      <c r="C1707" s="30">
        <f t="shared" si="238"/>
        <v>2</v>
      </c>
      <c r="D1707" s="26">
        <f>MATCH(WEEKDAY(A1707),そのた定義!A:A,0)</f>
        <v>5</v>
      </c>
      <c r="E1707" s="26" t="str">
        <f t="shared" ca="1" si="239"/>
        <v>水</v>
      </c>
      <c r="F1707" s="26">
        <f t="shared" si="240"/>
        <v>0</v>
      </c>
      <c r="G1707" s="26">
        <f>IF(ISNA(MATCH(A1707,祝日定義!E:E,0)),0,1)</f>
        <v>0</v>
      </c>
      <c r="H1707" s="26">
        <f>IF(ISNA(MATCH(B1707&amp;"/"&amp;C1707,そのた定義!E:E,0)), 0, 1)</f>
        <v>0</v>
      </c>
      <c r="I1707" s="26" t="b">
        <f t="shared" si="241"/>
        <v>0</v>
      </c>
      <c r="J1707" s="26">
        <v>0</v>
      </c>
      <c r="K1707" s="26" t="b">
        <f t="shared" si="236"/>
        <v>0</v>
      </c>
      <c r="L1707" s="26" t="b">
        <f t="shared" si="237"/>
        <v>0</v>
      </c>
      <c r="M1707" t="b">
        <f t="shared" si="242"/>
        <v>0</v>
      </c>
      <c r="N1707" t="b">
        <f t="shared" si="243"/>
        <v>0</v>
      </c>
    </row>
    <row r="1708" spans="1:14">
      <c r="A1708" s="29">
        <v>46268</v>
      </c>
      <c r="B1708" s="30">
        <f t="shared" si="235"/>
        <v>9</v>
      </c>
      <c r="C1708" s="30">
        <f t="shared" si="238"/>
        <v>3</v>
      </c>
      <c r="D1708" s="26">
        <f>MATCH(WEEKDAY(A1708),そのた定義!A:A,0)</f>
        <v>6</v>
      </c>
      <c r="E1708" s="26" t="str">
        <f t="shared" ca="1" si="239"/>
        <v>木</v>
      </c>
      <c r="F1708" s="26">
        <f t="shared" si="240"/>
        <v>0</v>
      </c>
      <c r="G1708" s="26">
        <f>IF(ISNA(MATCH(A1708,祝日定義!E:E,0)),0,1)</f>
        <v>0</v>
      </c>
      <c r="H1708" s="26">
        <f>IF(ISNA(MATCH(B1708&amp;"/"&amp;C1708,そのた定義!E:E,0)), 0, 1)</f>
        <v>0</v>
      </c>
      <c r="I1708" s="26" t="b">
        <f t="shared" si="241"/>
        <v>0</v>
      </c>
      <c r="J1708" s="26">
        <v>0</v>
      </c>
      <c r="K1708" s="26" t="b">
        <f t="shared" si="236"/>
        <v>0</v>
      </c>
      <c r="L1708" s="26" t="b">
        <f t="shared" si="237"/>
        <v>0</v>
      </c>
      <c r="M1708" t="b">
        <f t="shared" si="242"/>
        <v>0</v>
      </c>
      <c r="N1708" t="b">
        <f t="shared" si="243"/>
        <v>0</v>
      </c>
    </row>
    <row r="1709" spans="1:14">
      <c r="A1709" s="29">
        <v>46269</v>
      </c>
      <c r="B1709" s="30">
        <f t="shared" si="235"/>
        <v>9</v>
      </c>
      <c r="C1709" s="30">
        <f t="shared" si="238"/>
        <v>4</v>
      </c>
      <c r="D1709" s="26">
        <f>MATCH(WEEKDAY(A1709),そのた定義!A:A,0)</f>
        <v>7</v>
      </c>
      <c r="E1709" s="26" t="str">
        <f t="shared" ca="1" si="239"/>
        <v>金</v>
      </c>
      <c r="F1709" s="26">
        <f t="shared" si="240"/>
        <v>0</v>
      </c>
      <c r="G1709" s="26">
        <f>IF(ISNA(MATCH(A1709,祝日定義!E:E,0)),0,1)</f>
        <v>0</v>
      </c>
      <c r="H1709" s="26">
        <f>IF(ISNA(MATCH(B1709&amp;"/"&amp;C1709,そのた定義!E:E,0)), 0, 1)</f>
        <v>0</v>
      </c>
      <c r="I1709" s="26" t="b">
        <f t="shared" si="241"/>
        <v>0</v>
      </c>
      <c r="J1709" s="26">
        <v>0</v>
      </c>
      <c r="K1709" s="26" t="b">
        <f t="shared" si="236"/>
        <v>0</v>
      </c>
      <c r="L1709" s="26" t="b">
        <f t="shared" si="237"/>
        <v>0</v>
      </c>
      <c r="M1709" t="b">
        <f t="shared" si="242"/>
        <v>0</v>
      </c>
      <c r="N1709" t="b">
        <f t="shared" si="243"/>
        <v>0</v>
      </c>
    </row>
    <row r="1710" spans="1:14">
      <c r="A1710" s="29">
        <v>46270</v>
      </c>
      <c r="B1710" s="30">
        <f t="shared" si="235"/>
        <v>9</v>
      </c>
      <c r="C1710" s="30">
        <f t="shared" si="238"/>
        <v>5</v>
      </c>
      <c r="D1710" s="26">
        <f>MATCH(WEEKDAY(A1710),そのた定義!A:A,0)</f>
        <v>8</v>
      </c>
      <c r="E1710" s="33" t="str">
        <f t="shared" ca="1" si="239"/>
        <v>土</v>
      </c>
      <c r="F1710" s="26">
        <f t="shared" si="240"/>
        <v>1</v>
      </c>
      <c r="G1710" s="26">
        <f>IF(ISNA(MATCH(A1710,祝日定義!E:E,0)),0,1)</f>
        <v>0</v>
      </c>
      <c r="H1710" s="26">
        <f>IF(ISNA(MATCH(B1710&amp;"/"&amp;C1710,そのた定義!E:E,0)), 0, 1)</f>
        <v>0</v>
      </c>
      <c r="I1710" s="23" t="b">
        <f t="shared" si="241"/>
        <v>1</v>
      </c>
      <c r="J1710" s="26">
        <v>0</v>
      </c>
      <c r="K1710" s="26" t="b">
        <f t="shared" si="236"/>
        <v>0</v>
      </c>
      <c r="L1710" s="26" t="b">
        <f t="shared" si="237"/>
        <v>0</v>
      </c>
      <c r="M1710" t="b">
        <f t="shared" si="242"/>
        <v>0</v>
      </c>
      <c r="N1710" t="b">
        <f t="shared" si="243"/>
        <v>0</v>
      </c>
    </row>
    <row r="1711" spans="1:14">
      <c r="A1711" s="29">
        <v>46271</v>
      </c>
      <c r="B1711" s="30">
        <f t="shared" si="235"/>
        <v>9</v>
      </c>
      <c r="C1711" s="30">
        <f t="shared" si="238"/>
        <v>6</v>
      </c>
      <c r="D1711" s="26">
        <f>MATCH(WEEKDAY(A1711),そのた定義!A:A,0)</f>
        <v>2</v>
      </c>
      <c r="E1711" s="32" t="str">
        <f t="shared" ca="1" si="239"/>
        <v>日</v>
      </c>
      <c r="F1711" s="26">
        <f t="shared" si="240"/>
        <v>1</v>
      </c>
      <c r="G1711" s="26">
        <f>IF(ISNA(MATCH(A1711,祝日定義!E:E,0)),0,1)</f>
        <v>0</v>
      </c>
      <c r="H1711" s="26">
        <f>IF(ISNA(MATCH(B1711&amp;"/"&amp;C1711,そのた定義!E:E,0)), 0, 1)</f>
        <v>0</v>
      </c>
      <c r="I1711" s="23" t="b">
        <f t="shared" si="241"/>
        <v>1</v>
      </c>
      <c r="J1711" s="26">
        <v>0</v>
      </c>
      <c r="K1711" s="26" t="b">
        <f t="shared" si="236"/>
        <v>0</v>
      </c>
      <c r="L1711" s="26" t="b">
        <f t="shared" si="237"/>
        <v>0</v>
      </c>
      <c r="M1711" t="b">
        <f t="shared" si="242"/>
        <v>0</v>
      </c>
      <c r="N1711" t="b">
        <f t="shared" si="243"/>
        <v>0</v>
      </c>
    </row>
    <row r="1712" spans="1:14">
      <c r="A1712" s="29">
        <v>46272</v>
      </c>
      <c r="B1712" s="30">
        <f t="shared" si="235"/>
        <v>9</v>
      </c>
      <c r="C1712" s="30">
        <f t="shared" si="238"/>
        <v>7</v>
      </c>
      <c r="D1712" s="26">
        <f>MATCH(WEEKDAY(A1712),そのた定義!A:A,0)</f>
        <v>3</v>
      </c>
      <c r="E1712" s="26" t="str">
        <f t="shared" ca="1" si="239"/>
        <v>月</v>
      </c>
      <c r="F1712" s="26">
        <f t="shared" si="240"/>
        <v>0</v>
      </c>
      <c r="G1712" s="26">
        <f>IF(ISNA(MATCH(A1712,祝日定義!E:E,0)),0,1)</f>
        <v>0</v>
      </c>
      <c r="H1712" s="26">
        <f>IF(ISNA(MATCH(B1712&amp;"/"&amp;C1712,そのた定義!E:E,0)), 0, 1)</f>
        <v>0</v>
      </c>
      <c r="I1712" s="26" t="b">
        <f t="shared" si="241"/>
        <v>0</v>
      </c>
      <c r="J1712" s="26">
        <v>2</v>
      </c>
      <c r="K1712" s="26" t="b">
        <f t="shared" si="236"/>
        <v>0</v>
      </c>
      <c r="L1712" s="26" t="b">
        <f t="shared" si="237"/>
        <v>0</v>
      </c>
      <c r="M1712" t="b">
        <f t="shared" si="242"/>
        <v>0</v>
      </c>
      <c r="N1712" t="b">
        <f t="shared" si="243"/>
        <v>0</v>
      </c>
    </row>
    <row r="1713" spans="1:14">
      <c r="A1713" s="29">
        <v>46273</v>
      </c>
      <c r="B1713" s="30">
        <f t="shared" si="235"/>
        <v>9</v>
      </c>
      <c r="C1713" s="30">
        <f t="shared" si="238"/>
        <v>8</v>
      </c>
      <c r="D1713" s="26">
        <f>MATCH(WEEKDAY(A1713),そのた定義!A:A,0)</f>
        <v>4</v>
      </c>
      <c r="E1713" s="26" t="str">
        <f t="shared" ca="1" si="239"/>
        <v>火</v>
      </c>
      <c r="F1713" s="26">
        <f t="shared" si="240"/>
        <v>0</v>
      </c>
      <c r="G1713" s="26">
        <f>IF(ISNA(MATCH(A1713,祝日定義!E:E,0)),0,1)</f>
        <v>0</v>
      </c>
      <c r="H1713" s="26">
        <f>IF(ISNA(MATCH(B1713&amp;"/"&amp;C1713,そのた定義!E:E,0)), 0, 1)</f>
        <v>0</v>
      </c>
      <c r="I1713" s="26" t="b">
        <f t="shared" si="241"/>
        <v>0</v>
      </c>
      <c r="J1713" s="26">
        <v>0</v>
      </c>
      <c r="K1713" s="26" t="b">
        <f t="shared" si="236"/>
        <v>0</v>
      </c>
      <c r="L1713" s="26" t="b">
        <f t="shared" si="237"/>
        <v>0</v>
      </c>
      <c r="M1713" t="b">
        <f t="shared" si="242"/>
        <v>0</v>
      </c>
      <c r="N1713" t="b">
        <f t="shared" si="243"/>
        <v>0</v>
      </c>
    </row>
    <row r="1714" spans="1:14">
      <c r="A1714" s="29">
        <v>46274</v>
      </c>
      <c r="B1714" s="30">
        <f t="shared" si="235"/>
        <v>9</v>
      </c>
      <c r="C1714" s="30">
        <f t="shared" si="238"/>
        <v>9</v>
      </c>
      <c r="D1714" s="26">
        <f>MATCH(WEEKDAY(A1714),そのた定義!A:A,0)</f>
        <v>5</v>
      </c>
      <c r="E1714" s="26" t="str">
        <f t="shared" ca="1" si="239"/>
        <v>水</v>
      </c>
      <c r="F1714" s="26">
        <f t="shared" si="240"/>
        <v>0</v>
      </c>
      <c r="G1714" s="26">
        <f>IF(ISNA(MATCH(A1714,祝日定義!E:E,0)),0,1)</f>
        <v>0</v>
      </c>
      <c r="H1714" s="26">
        <f>IF(ISNA(MATCH(B1714&amp;"/"&amp;C1714,そのた定義!E:E,0)), 0, 1)</f>
        <v>0</v>
      </c>
      <c r="I1714" s="26" t="b">
        <f t="shared" si="241"/>
        <v>0</v>
      </c>
      <c r="J1714" s="26">
        <v>0</v>
      </c>
      <c r="K1714" s="26" t="b">
        <f t="shared" si="236"/>
        <v>0</v>
      </c>
      <c r="L1714" s="26" t="b">
        <f t="shared" si="237"/>
        <v>0</v>
      </c>
      <c r="M1714" t="b">
        <f t="shared" si="242"/>
        <v>0</v>
      </c>
      <c r="N1714" t="b">
        <f t="shared" si="243"/>
        <v>0</v>
      </c>
    </row>
    <row r="1715" spans="1:14">
      <c r="A1715" s="29">
        <v>46275</v>
      </c>
      <c r="B1715" s="30">
        <f t="shared" si="235"/>
        <v>9</v>
      </c>
      <c r="C1715" s="30">
        <f t="shared" si="238"/>
        <v>10</v>
      </c>
      <c r="D1715" s="26">
        <f>MATCH(WEEKDAY(A1715),そのた定義!A:A,0)</f>
        <v>6</v>
      </c>
      <c r="E1715" s="26" t="str">
        <f t="shared" ca="1" si="239"/>
        <v>木</v>
      </c>
      <c r="F1715" s="26">
        <f t="shared" si="240"/>
        <v>0</v>
      </c>
      <c r="G1715" s="26">
        <f>IF(ISNA(MATCH(A1715,祝日定義!E:E,0)),0,1)</f>
        <v>0</v>
      </c>
      <c r="H1715" s="26">
        <f>IF(ISNA(MATCH(B1715&amp;"/"&amp;C1715,そのた定義!E:E,0)), 0, 1)</f>
        <v>0</v>
      </c>
      <c r="I1715" s="26" t="b">
        <f t="shared" si="241"/>
        <v>0</v>
      </c>
      <c r="J1715" s="26">
        <v>0</v>
      </c>
      <c r="K1715" s="26" t="b">
        <f t="shared" si="236"/>
        <v>0</v>
      </c>
      <c r="L1715" s="26" t="b">
        <f t="shared" si="237"/>
        <v>0</v>
      </c>
      <c r="M1715" t="b">
        <f t="shared" si="242"/>
        <v>0</v>
      </c>
      <c r="N1715" t="b">
        <f t="shared" si="243"/>
        <v>0</v>
      </c>
    </row>
    <row r="1716" spans="1:14">
      <c r="A1716" s="29">
        <v>46276</v>
      </c>
      <c r="B1716" s="30">
        <f t="shared" si="235"/>
        <v>9</v>
      </c>
      <c r="C1716" s="30">
        <f t="shared" si="238"/>
        <v>11</v>
      </c>
      <c r="D1716" s="26">
        <f>MATCH(WEEKDAY(A1716),そのた定義!A:A,0)</f>
        <v>7</v>
      </c>
      <c r="E1716" s="26" t="str">
        <f t="shared" ca="1" si="239"/>
        <v>金</v>
      </c>
      <c r="F1716" s="26">
        <f t="shared" si="240"/>
        <v>0</v>
      </c>
      <c r="G1716" s="26">
        <f>IF(ISNA(MATCH(A1716,祝日定義!E:E,0)),0,1)</f>
        <v>0</v>
      </c>
      <c r="H1716" s="26">
        <f>IF(ISNA(MATCH(B1716&amp;"/"&amp;C1716,そのた定義!E:E,0)), 0, 1)</f>
        <v>0</v>
      </c>
      <c r="I1716" s="26" t="b">
        <f t="shared" si="241"/>
        <v>0</v>
      </c>
      <c r="J1716" s="26">
        <v>0</v>
      </c>
      <c r="K1716" s="26" t="b">
        <f t="shared" si="236"/>
        <v>0</v>
      </c>
      <c r="L1716" s="26" t="b">
        <f t="shared" si="237"/>
        <v>0</v>
      </c>
      <c r="M1716" t="b">
        <f t="shared" si="242"/>
        <v>0</v>
      </c>
      <c r="N1716" t="b">
        <f t="shared" si="243"/>
        <v>0</v>
      </c>
    </row>
    <row r="1717" spans="1:14">
      <c r="A1717" s="29">
        <v>46277</v>
      </c>
      <c r="B1717" s="30">
        <f t="shared" si="235"/>
        <v>9</v>
      </c>
      <c r="C1717" s="30">
        <f t="shared" si="238"/>
        <v>12</v>
      </c>
      <c r="D1717" s="26">
        <f>MATCH(WEEKDAY(A1717),そのた定義!A:A,0)</f>
        <v>8</v>
      </c>
      <c r="E1717" s="33" t="str">
        <f t="shared" ca="1" si="239"/>
        <v>土</v>
      </c>
      <c r="F1717" s="26">
        <f t="shared" si="240"/>
        <v>1</v>
      </c>
      <c r="G1717" s="26">
        <f>IF(ISNA(MATCH(A1717,祝日定義!E:E,0)),0,1)</f>
        <v>0</v>
      </c>
      <c r="H1717" s="26">
        <f>IF(ISNA(MATCH(B1717&amp;"/"&amp;C1717,そのた定義!E:E,0)), 0, 1)</f>
        <v>0</v>
      </c>
      <c r="I1717" s="23" t="b">
        <f t="shared" si="241"/>
        <v>1</v>
      </c>
      <c r="J1717" s="26">
        <v>0</v>
      </c>
      <c r="K1717" s="26" t="b">
        <f t="shared" si="236"/>
        <v>0</v>
      </c>
      <c r="L1717" s="26" t="b">
        <f t="shared" si="237"/>
        <v>0</v>
      </c>
      <c r="M1717" t="b">
        <f t="shared" si="242"/>
        <v>0</v>
      </c>
      <c r="N1717" t="b">
        <f t="shared" si="243"/>
        <v>0</v>
      </c>
    </row>
    <row r="1718" spans="1:14">
      <c r="A1718" s="29">
        <v>46278</v>
      </c>
      <c r="B1718" s="30">
        <f t="shared" si="235"/>
        <v>9</v>
      </c>
      <c r="C1718" s="30">
        <f t="shared" si="238"/>
        <v>13</v>
      </c>
      <c r="D1718" s="26">
        <f>MATCH(WEEKDAY(A1718),そのた定義!A:A,0)</f>
        <v>2</v>
      </c>
      <c r="E1718" s="32" t="str">
        <f t="shared" ca="1" si="239"/>
        <v>日</v>
      </c>
      <c r="F1718" s="26">
        <f t="shared" si="240"/>
        <v>1</v>
      </c>
      <c r="G1718" s="26">
        <f>IF(ISNA(MATCH(A1718,祝日定義!E:E,0)),0,1)</f>
        <v>0</v>
      </c>
      <c r="H1718" s="26">
        <f>IF(ISNA(MATCH(B1718&amp;"/"&amp;C1718,そのた定義!E:E,0)), 0, 1)</f>
        <v>0</v>
      </c>
      <c r="I1718" s="23" t="b">
        <f t="shared" si="241"/>
        <v>1</v>
      </c>
      <c r="J1718" s="26">
        <v>0</v>
      </c>
      <c r="K1718" s="26" t="b">
        <f t="shared" si="236"/>
        <v>0</v>
      </c>
      <c r="L1718" s="26" t="b">
        <f t="shared" si="237"/>
        <v>0</v>
      </c>
      <c r="M1718" t="b">
        <f t="shared" si="242"/>
        <v>0</v>
      </c>
      <c r="N1718" t="b">
        <f t="shared" si="243"/>
        <v>0</v>
      </c>
    </row>
    <row r="1719" spans="1:14">
      <c r="A1719" s="29">
        <v>46279</v>
      </c>
      <c r="B1719" s="30">
        <f t="shared" si="235"/>
        <v>9</v>
      </c>
      <c r="C1719" s="30">
        <f t="shared" si="238"/>
        <v>14</v>
      </c>
      <c r="D1719" s="26">
        <f>MATCH(WEEKDAY(A1719),そのた定義!A:A,0)</f>
        <v>3</v>
      </c>
      <c r="E1719" s="26" t="str">
        <f t="shared" ca="1" si="239"/>
        <v>月</v>
      </c>
      <c r="F1719" s="26">
        <f t="shared" si="240"/>
        <v>0</v>
      </c>
      <c r="G1719" s="26">
        <f>IF(ISNA(MATCH(A1719,祝日定義!E:E,0)),0,1)</f>
        <v>0</v>
      </c>
      <c r="H1719" s="26">
        <f>IF(ISNA(MATCH(B1719&amp;"/"&amp;C1719,そのた定義!E:E,0)), 0, 1)</f>
        <v>0</v>
      </c>
      <c r="I1719" s="26" t="b">
        <f t="shared" si="241"/>
        <v>0</v>
      </c>
      <c r="J1719" s="26">
        <v>2</v>
      </c>
      <c r="K1719" s="26" t="b">
        <f t="shared" si="236"/>
        <v>0</v>
      </c>
      <c r="L1719" s="26" t="b">
        <f t="shared" si="237"/>
        <v>0</v>
      </c>
      <c r="M1719" t="b">
        <f t="shared" si="242"/>
        <v>0</v>
      </c>
      <c r="N1719" t="b">
        <f t="shared" si="243"/>
        <v>0</v>
      </c>
    </row>
    <row r="1720" spans="1:14">
      <c r="A1720" s="29">
        <v>46280</v>
      </c>
      <c r="B1720" s="30">
        <f t="shared" si="235"/>
        <v>9</v>
      </c>
      <c r="C1720" s="30">
        <f t="shared" si="238"/>
        <v>15</v>
      </c>
      <c r="D1720" s="26">
        <f>MATCH(WEEKDAY(A1720),そのた定義!A:A,0)</f>
        <v>4</v>
      </c>
      <c r="E1720" s="26" t="str">
        <f t="shared" ca="1" si="239"/>
        <v>火</v>
      </c>
      <c r="F1720" s="26">
        <f t="shared" si="240"/>
        <v>0</v>
      </c>
      <c r="G1720" s="26">
        <f>IF(ISNA(MATCH(A1720,祝日定義!E:E,0)),0,1)</f>
        <v>0</v>
      </c>
      <c r="H1720" s="26">
        <f>IF(ISNA(MATCH(B1720&amp;"/"&amp;C1720,そのた定義!E:E,0)), 0, 1)</f>
        <v>0</v>
      </c>
      <c r="I1720" s="26" t="b">
        <f t="shared" si="241"/>
        <v>0</v>
      </c>
      <c r="J1720" s="26">
        <v>0</v>
      </c>
      <c r="K1720" s="26" t="b">
        <f t="shared" si="236"/>
        <v>0</v>
      </c>
      <c r="L1720" s="26" t="b">
        <f t="shared" si="237"/>
        <v>0</v>
      </c>
      <c r="M1720" t="b">
        <f t="shared" si="242"/>
        <v>0</v>
      </c>
      <c r="N1720" t="b">
        <f t="shared" si="243"/>
        <v>0</v>
      </c>
    </row>
    <row r="1721" spans="1:14">
      <c r="A1721" s="29">
        <v>46281</v>
      </c>
      <c r="B1721" s="30">
        <f t="shared" si="235"/>
        <v>9</v>
      </c>
      <c r="C1721" s="30">
        <f t="shared" si="238"/>
        <v>16</v>
      </c>
      <c r="D1721" s="26">
        <f>MATCH(WEEKDAY(A1721),そのた定義!A:A,0)</f>
        <v>5</v>
      </c>
      <c r="E1721" s="26" t="str">
        <f t="shared" ca="1" si="239"/>
        <v>水</v>
      </c>
      <c r="F1721" s="26">
        <f t="shared" si="240"/>
        <v>0</v>
      </c>
      <c r="G1721" s="26">
        <f>IF(ISNA(MATCH(A1721,祝日定義!E:E,0)),0,1)</f>
        <v>0</v>
      </c>
      <c r="H1721" s="26">
        <f>IF(ISNA(MATCH(B1721&amp;"/"&amp;C1721,そのた定義!E:E,0)), 0, 1)</f>
        <v>0</v>
      </c>
      <c r="I1721" s="26" t="b">
        <f t="shared" si="241"/>
        <v>0</v>
      </c>
      <c r="J1721" s="26">
        <v>0</v>
      </c>
      <c r="K1721" s="26" t="b">
        <f t="shared" si="236"/>
        <v>0</v>
      </c>
      <c r="L1721" s="26" t="b">
        <f t="shared" si="237"/>
        <v>0</v>
      </c>
      <c r="M1721" t="b">
        <f t="shared" si="242"/>
        <v>0</v>
      </c>
      <c r="N1721" t="b">
        <f t="shared" si="243"/>
        <v>0</v>
      </c>
    </row>
    <row r="1722" spans="1:14">
      <c r="A1722" s="29">
        <v>46282</v>
      </c>
      <c r="B1722" s="30">
        <f t="shared" si="235"/>
        <v>9</v>
      </c>
      <c r="C1722" s="30">
        <f t="shared" si="238"/>
        <v>17</v>
      </c>
      <c r="D1722" s="26">
        <f>MATCH(WEEKDAY(A1722),そのた定義!A:A,0)</f>
        <v>6</v>
      </c>
      <c r="E1722" s="26" t="str">
        <f t="shared" ca="1" si="239"/>
        <v>木</v>
      </c>
      <c r="F1722" s="26">
        <f t="shared" si="240"/>
        <v>0</v>
      </c>
      <c r="G1722" s="26">
        <f>IF(ISNA(MATCH(A1722,祝日定義!E:E,0)),0,1)</f>
        <v>0</v>
      </c>
      <c r="H1722" s="26">
        <f>IF(ISNA(MATCH(B1722&amp;"/"&amp;C1722,そのた定義!E:E,0)), 0, 1)</f>
        <v>0</v>
      </c>
      <c r="I1722" s="26" t="b">
        <f t="shared" si="241"/>
        <v>0</v>
      </c>
      <c r="J1722" s="26">
        <v>0</v>
      </c>
      <c r="K1722" s="26" t="b">
        <f t="shared" si="236"/>
        <v>0</v>
      </c>
      <c r="L1722" s="26" t="b">
        <f t="shared" si="237"/>
        <v>0</v>
      </c>
      <c r="M1722" t="b">
        <f t="shared" si="242"/>
        <v>0</v>
      </c>
      <c r="N1722" t="b">
        <f t="shared" si="243"/>
        <v>0</v>
      </c>
    </row>
    <row r="1723" spans="1:14">
      <c r="A1723" s="29">
        <v>46283</v>
      </c>
      <c r="B1723" s="30">
        <f t="shared" si="235"/>
        <v>9</v>
      </c>
      <c r="C1723" s="30">
        <f t="shared" si="238"/>
        <v>18</v>
      </c>
      <c r="D1723" s="26">
        <f>MATCH(WEEKDAY(A1723),そのた定義!A:A,0)</f>
        <v>7</v>
      </c>
      <c r="E1723" s="26" t="str">
        <f t="shared" ca="1" si="239"/>
        <v>金</v>
      </c>
      <c r="F1723" s="26">
        <f t="shared" si="240"/>
        <v>0</v>
      </c>
      <c r="G1723" s="26">
        <f>IF(ISNA(MATCH(A1723,祝日定義!E:E,0)),0,1)</f>
        <v>0</v>
      </c>
      <c r="H1723" s="26">
        <f>IF(ISNA(MATCH(B1723&amp;"/"&amp;C1723,そのた定義!E:E,0)), 0, 1)</f>
        <v>0</v>
      </c>
      <c r="I1723" s="26" t="b">
        <f t="shared" si="241"/>
        <v>0</v>
      </c>
      <c r="J1723" s="26">
        <v>0</v>
      </c>
      <c r="K1723" s="26" t="b">
        <f t="shared" si="236"/>
        <v>0</v>
      </c>
      <c r="L1723" s="26" t="b">
        <f t="shared" si="237"/>
        <v>0</v>
      </c>
      <c r="M1723" t="b">
        <f t="shared" si="242"/>
        <v>0</v>
      </c>
      <c r="N1723" t="b">
        <f t="shared" si="243"/>
        <v>0</v>
      </c>
    </row>
    <row r="1724" spans="1:14">
      <c r="A1724" s="29">
        <v>46284</v>
      </c>
      <c r="B1724" s="30">
        <f t="shared" si="235"/>
        <v>9</v>
      </c>
      <c r="C1724" s="30">
        <f t="shared" si="238"/>
        <v>19</v>
      </c>
      <c r="D1724" s="26">
        <f>MATCH(WEEKDAY(A1724),そのた定義!A:A,0)</f>
        <v>8</v>
      </c>
      <c r="E1724" s="33" t="str">
        <f t="shared" ca="1" si="239"/>
        <v>土</v>
      </c>
      <c r="F1724" s="26">
        <f t="shared" si="240"/>
        <v>1</v>
      </c>
      <c r="G1724" s="26">
        <f>IF(ISNA(MATCH(A1724,祝日定義!E:E,0)),0,1)</f>
        <v>0</v>
      </c>
      <c r="H1724" s="26">
        <f>IF(ISNA(MATCH(B1724&amp;"/"&amp;C1724,そのた定義!E:E,0)), 0, 1)</f>
        <v>0</v>
      </c>
      <c r="I1724" s="23" t="b">
        <f t="shared" si="241"/>
        <v>1</v>
      </c>
      <c r="J1724" s="26">
        <v>0</v>
      </c>
      <c r="K1724" s="26" t="b">
        <f t="shared" si="236"/>
        <v>0</v>
      </c>
      <c r="L1724" s="26" t="b">
        <f t="shared" si="237"/>
        <v>0</v>
      </c>
      <c r="M1724" t="b">
        <f t="shared" si="242"/>
        <v>0</v>
      </c>
      <c r="N1724" t="b">
        <f t="shared" si="243"/>
        <v>0</v>
      </c>
    </row>
    <row r="1725" spans="1:14">
      <c r="A1725" s="29">
        <v>46285</v>
      </c>
      <c r="B1725" s="30">
        <f t="shared" si="235"/>
        <v>9</v>
      </c>
      <c r="C1725" s="30">
        <f t="shared" si="238"/>
        <v>20</v>
      </c>
      <c r="D1725" s="26">
        <f>MATCH(WEEKDAY(A1725),そのた定義!A:A,0)</f>
        <v>2</v>
      </c>
      <c r="E1725" s="32" t="str">
        <f t="shared" ca="1" si="239"/>
        <v>日</v>
      </c>
      <c r="F1725" s="26">
        <f t="shared" si="240"/>
        <v>1</v>
      </c>
      <c r="G1725" s="26">
        <f>IF(ISNA(MATCH(A1725,祝日定義!E:E,0)),0,1)</f>
        <v>0</v>
      </c>
      <c r="H1725" s="26">
        <f>IF(ISNA(MATCH(B1725&amp;"/"&amp;C1725,そのた定義!E:E,0)), 0, 1)</f>
        <v>0</v>
      </c>
      <c r="I1725" s="23" t="b">
        <f t="shared" si="241"/>
        <v>1</v>
      </c>
      <c r="J1725" s="26">
        <v>0</v>
      </c>
      <c r="K1725" s="26" t="b">
        <f t="shared" si="236"/>
        <v>0</v>
      </c>
      <c r="L1725" s="26" t="b">
        <f t="shared" si="237"/>
        <v>0</v>
      </c>
      <c r="M1725" t="b">
        <f t="shared" si="242"/>
        <v>0</v>
      </c>
      <c r="N1725" t="b">
        <f t="shared" si="243"/>
        <v>0</v>
      </c>
    </row>
    <row r="1726" spans="1:14">
      <c r="A1726" s="29">
        <v>46286</v>
      </c>
      <c r="B1726" s="30">
        <f t="shared" si="235"/>
        <v>9</v>
      </c>
      <c r="C1726" s="30">
        <f t="shared" si="238"/>
        <v>21</v>
      </c>
      <c r="D1726" s="26">
        <f>MATCH(WEEKDAY(A1726),そのた定義!A:A,0)</f>
        <v>3</v>
      </c>
      <c r="E1726" s="31" t="str">
        <f t="shared" ca="1" si="239"/>
        <v>月</v>
      </c>
      <c r="F1726" s="26">
        <f t="shared" si="240"/>
        <v>0</v>
      </c>
      <c r="G1726" s="26">
        <f>IF(ISNA(MATCH(A1726,祝日定義!E:E,0)),0,1)</f>
        <v>1</v>
      </c>
      <c r="H1726" s="26">
        <f>IF(ISNA(MATCH(B1726&amp;"/"&amp;C1726,そのた定義!E:E,0)), 0, 1)</f>
        <v>0</v>
      </c>
      <c r="I1726" s="23" t="b">
        <f t="shared" si="241"/>
        <v>1</v>
      </c>
      <c r="J1726" s="26">
        <v>0</v>
      </c>
      <c r="K1726" s="26" t="b">
        <f t="shared" si="236"/>
        <v>0</v>
      </c>
      <c r="L1726" s="26" t="b">
        <f t="shared" si="237"/>
        <v>0</v>
      </c>
      <c r="M1726" t="b">
        <f t="shared" si="242"/>
        <v>0</v>
      </c>
      <c r="N1726" t="b">
        <f t="shared" si="243"/>
        <v>0</v>
      </c>
    </row>
    <row r="1727" spans="1:14">
      <c r="A1727" s="29">
        <v>46287</v>
      </c>
      <c r="B1727" s="30">
        <f t="shared" si="235"/>
        <v>9</v>
      </c>
      <c r="C1727" s="30">
        <f t="shared" si="238"/>
        <v>22</v>
      </c>
      <c r="D1727" s="26">
        <f>MATCH(WEEKDAY(A1727),そのた定義!A:A,0)</f>
        <v>4</v>
      </c>
      <c r="E1727" s="31" t="str">
        <f t="shared" ca="1" si="239"/>
        <v>火</v>
      </c>
      <c r="F1727" s="26">
        <f t="shared" si="240"/>
        <v>0</v>
      </c>
      <c r="G1727" s="26">
        <f>IF(ISNA(MATCH(A1727,祝日定義!E:E,0)),0,1)</f>
        <v>1</v>
      </c>
      <c r="H1727" s="26">
        <f>IF(ISNA(MATCH(B1727&amp;"/"&amp;C1727,そのた定義!E:E,0)), 0, 1)</f>
        <v>0</v>
      </c>
      <c r="I1727" s="23" t="b">
        <f t="shared" si="241"/>
        <v>1</v>
      </c>
      <c r="J1727" s="26">
        <v>0</v>
      </c>
      <c r="K1727" s="26" t="b">
        <f t="shared" si="236"/>
        <v>0</v>
      </c>
      <c r="L1727" s="26" t="b">
        <f t="shared" si="237"/>
        <v>0</v>
      </c>
      <c r="M1727" t="b">
        <f t="shared" si="242"/>
        <v>0</v>
      </c>
      <c r="N1727" t="b">
        <f t="shared" si="243"/>
        <v>0</v>
      </c>
    </row>
    <row r="1728" spans="1:14">
      <c r="A1728" s="29">
        <v>46288</v>
      </c>
      <c r="B1728" s="30">
        <f t="shared" si="235"/>
        <v>9</v>
      </c>
      <c r="C1728" s="30">
        <f t="shared" si="238"/>
        <v>23</v>
      </c>
      <c r="D1728" s="26">
        <f>MATCH(WEEKDAY(A1728),そのた定義!A:A,0)</f>
        <v>5</v>
      </c>
      <c r="E1728" s="31" t="str">
        <f t="shared" ca="1" si="239"/>
        <v>水</v>
      </c>
      <c r="F1728" s="26">
        <f t="shared" si="240"/>
        <v>0</v>
      </c>
      <c r="G1728" s="26">
        <f>IF(ISNA(MATCH(A1728,祝日定義!E:E,0)),0,1)</f>
        <v>1</v>
      </c>
      <c r="H1728" s="26">
        <f>IF(ISNA(MATCH(B1728&amp;"/"&amp;C1728,そのた定義!E:E,0)), 0, 1)</f>
        <v>0</v>
      </c>
      <c r="I1728" s="23" t="b">
        <f t="shared" si="241"/>
        <v>1</v>
      </c>
      <c r="J1728" s="26">
        <v>0</v>
      </c>
      <c r="K1728" s="26" t="b">
        <f t="shared" si="236"/>
        <v>0</v>
      </c>
      <c r="L1728" s="26" t="b">
        <f t="shared" si="237"/>
        <v>0</v>
      </c>
      <c r="M1728" t="b">
        <f t="shared" si="242"/>
        <v>0</v>
      </c>
      <c r="N1728" t="b">
        <f t="shared" si="243"/>
        <v>0</v>
      </c>
    </row>
    <row r="1729" spans="1:14">
      <c r="A1729" s="29">
        <v>46289</v>
      </c>
      <c r="B1729" s="30">
        <f t="shared" si="235"/>
        <v>9</v>
      </c>
      <c r="C1729" s="30">
        <f t="shared" si="238"/>
        <v>24</v>
      </c>
      <c r="D1729" s="26">
        <f>MATCH(WEEKDAY(A1729),そのた定義!A:A,0)</f>
        <v>6</v>
      </c>
      <c r="E1729" s="26" t="str">
        <f t="shared" ca="1" si="239"/>
        <v>木</v>
      </c>
      <c r="F1729" s="26">
        <f t="shared" si="240"/>
        <v>0</v>
      </c>
      <c r="G1729" s="26">
        <f>IF(ISNA(MATCH(A1729,祝日定義!E:E,0)),0,1)</f>
        <v>0</v>
      </c>
      <c r="H1729" s="26">
        <f>IF(ISNA(MATCH(B1729&amp;"/"&amp;C1729,そのた定義!E:E,0)), 0, 1)</f>
        <v>0</v>
      </c>
      <c r="I1729" s="26" t="b">
        <f t="shared" si="241"/>
        <v>0</v>
      </c>
      <c r="J1729" s="26">
        <v>5</v>
      </c>
      <c r="K1729" s="26" t="b">
        <f t="shared" si="236"/>
        <v>0</v>
      </c>
      <c r="L1729" s="26" t="b">
        <f t="shared" si="237"/>
        <v>0</v>
      </c>
      <c r="M1729" t="b">
        <f t="shared" si="242"/>
        <v>0</v>
      </c>
      <c r="N1729" t="b">
        <f t="shared" si="243"/>
        <v>0</v>
      </c>
    </row>
    <row r="1730" spans="1:14">
      <c r="A1730" s="29">
        <v>46290</v>
      </c>
      <c r="B1730" s="30">
        <f t="shared" ref="B1730:B1793" si="244">MONTH(A1730)</f>
        <v>9</v>
      </c>
      <c r="C1730" s="30">
        <f t="shared" si="238"/>
        <v>25</v>
      </c>
      <c r="D1730" s="26">
        <f>MATCH(WEEKDAY(A1730),そのた定義!A:A,0)</f>
        <v>7</v>
      </c>
      <c r="E1730" s="26" t="str">
        <f t="shared" ca="1" si="239"/>
        <v>金</v>
      </c>
      <c r="F1730" s="26">
        <f t="shared" si="240"/>
        <v>0</v>
      </c>
      <c r="G1730" s="26">
        <f>IF(ISNA(MATCH(A1730,祝日定義!E:E,0)),0,1)</f>
        <v>0</v>
      </c>
      <c r="H1730" s="26">
        <f>IF(ISNA(MATCH(B1730&amp;"/"&amp;C1730,そのた定義!E:E,0)), 0, 1)</f>
        <v>0</v>
      </c>
      <c r="I1730" s="26" t="b">
        <f t="shared" si="241"/>
        <v>0</v>
      </c>
      <c r="J1730" s="26">
        <v>0</v>
      </c>
      <c r="K1730" s="26" t="b">
        <f t="shared" ref="K1730:K1793" si="245">AND(C1730&gt;25,DAY(A1730-J1730)&lt;=25)</f>
        <v>0</v>
      </c>
      <c r="L1730" s="23" t="b">
        <f t="shared" ref="L1730:L1793" si="246">C1730=25</f>
        <v>1</v>
      </c>
      <c r="M1730" t="b">
        <f t="shared" si="242"/>
        <v>0</v>
      </c>
      <c r="N1730" t="b">
        <f t="shared" si="243"/>
        <v>0</v>
      </c>
    </row>
    <row r="1731" spans="1:14">
      <c r="A1731" s="29">
        <v>46291</v>
      </c>
      <c r="B1731" s="30">
        <f t="shared" si="244"/>
        <v>9</v>
      </c>
      <c r="C1731" s="30">
        <f t="shared" ref="C1731:C1794" si="247">DAY(A1731)</f>
        <v>26</v>
      </c>
      <c r="D1731" s="26">
        <f>MATCH(WEEKDAY(A1731),そのた定義!A:A,0)</f>
        <v>8</v>
      </c>
      <c r="E1731" s="33" t="str">
        <f t="shared" ref="E1731:E1794" ca="1" si="248">INDIRECT("そのた定義!"&amp;"B"&amp;D1731)</f>
        <v>土</v>
      </c>
      <c r="F1731" s="26">
        <f t="shared" ref="F1731:F1794" si="249">IF(OR(D1731=8,D1731=2),1,0)</f>
        <v>1</v>
      </c>
      <c r="G1731" s="26">
        <f>IF(ISNA(MATCH(A1731,祝日定義!E:E,0)),0,1)</f>
        <v>0</v>
      </c>
      <c r="H1731" s="26">
        <f>IF(ISNA(MATCH(B1731&amp;"/"&amp;C1731,そのた定義!E:E,0)), 0, 1)</f>
        <v>0</v>
      </c>
      <c r="I1731" s="23" t="b">
        <f t="shared" ref="I1731:I1794" si="250">SUM(F1731:H1731)&gt;0</f>
        <v>1</v>
      </c>
      <c r="J1731" s="26">
        <v>0</v>
      </c>
      <c r="K1731" s="26" t="b">
        <f t="shared" si="245"/>
        <v>0</v>
      </c>
      <c r="L1731" s="26" t="b">
        <f t="shared" si="246"/>
        <v>0</v>
      </c>
      <c r="M1731" t="b">
        <f t="shared" ref="M1731:M1794" si="251">B1731&lt;&gt;MONTH(A1731-J1731)</f>
        <v>0</v>
      </c>
      <c r="N1731" t="b">
        <f t="shared" ref="N1731:N1794" si="252">B1731&lt;&gt;MONTH(A1731+1)</f>
        <v>0</v>
      </c>
    </row>
    <row r="1732" spans="1:14">
      <c r="A1732" s="29">
        <v>46292</v>
      </c>
      <c r="B1732" s="30">
        <f t="shared" si="244"/>
        <v>9</v>
      </c>
      <c r="C1732" s="30">
        <f t="shared" si="247"/>
        <v>27</v>
      </c>
      <c r="D1732" s="26">
        <f>MATCH(WEEKDAY(A1732),そのた定義!A:A,0)</f>
        <v>2</v>
      </c>
      <c r="E1732" s="32" t="str">
        <f t="shared" ca="1" si="248"/>
        <v>日</v>
      </c>
      <c r="F1732" s="26">
        <f t="shared" si="249"/>
        <v>1</v>
      </c>
      <c r="G1732" s="26">
        <f>IF(ISNA(MATCH(A1732,祝日定義!E:E,0)),0,1)</f>
        <v>0</v>
      </c>
      <c r="H1732" s="26">
        <f>IF(ISNA(MATCH(B1732&amp;"/"&amp;C1732,そのた定義!E:E,0)), 0, 1)</f>
        <v>0</v>
      </c>
      <c r="I1732" s="23" t="b">
        <f t="shared" si="250"/>
        <v>1</v>
      </c>
      <c r="J1732" s="26">
        <v>0</v>
      </c>
      <c r="K1732" s="26" t="b">
        <f t="shared" si="245"/>
        <v>0</v>
      </c>
      <c r="L1732" s="26" t="b">
        <f t="shared" si="246"/>
        <v>0</v>
      </c>
      <c r="M1732" t="b">
        <f t="shared" si="251"/>
        <v>0</v>
      </c>
      <c r="N1732" t="b">
        <f t="shared" si="252"/>
        <v>0</v>
      </c>
    </row>
    <row r="1733" spans="1:14">
      <c r="A1733" s="29">
        <v>46293</v>
      </c>
      <c r="B1733" s="30">
        <f t="shared" si="244"/>
        <v>9</v>
      </c>
      <c r="C1733" s="30">
        <f t="shared" si="247"/>
        <v>28</v>
      </c>
      <c r="D1733" s="26">
        <f>MATCH(WEEKDAY(A1733),そのた定義!A:A,0)</f>
        <v>3</v>
      </c>
      <c r="E1733" s="26" t="str">
        <f t="shared" ca="1" si="248"/>
        <v>月</v>
      </c>
      <c r="F1733" s="26">
        <f t="shared" si="249"/>
        <v>0</v>
      </c>
      <c r="G1733" s="26">
        <f>IF(ISNA(MATCH(A1733,祝日定義!E:E,0)),0,1)</f>
        <v>0</v>
      </c>
      <c r="H1733" s="26">
        <f>IF(ISNA(MATCH(B1733&amp;"/"&amp;C1733,そのた定義!E:E,0)), 0, 1)</f>
        <v>0</v>
      </c>
      <c r="I1733" s="26" t="b">
        <f t="shared" si="250"/>
        <v>0</v>
      </c>
      <c r="J1733" s="26">
        <v>2</v>
      </c>
      <c r="K1733" s="26" t="b">
        <f t="shared" si="245"/>
        <v>0</v>
      </c>
      <c r="L1733" s="26" t="b">
        <f t="shared" si="246"/>
        <v>0</v>
      </c>
      <c r="M1733" t="b">
        <f t="shared" si="251"/>
        <v>0</v>
      </c>
      <c r="N1733" t="b">
        <f t="shared" si="252"/>
        <v>0</v>
      </c>
    </row>
    <row r="1734" spans="1:14">
      <c r="A1734" s="29">
        <v>46294</v>
      </c>
      <c r="B1734" s="30">
        <f t="shared" si="244"/>
        <v>9</v>
      </c>
      <c r="C1734" s="30">
        <f t="shared" si="247"/>
        <v>29</v>
      </c>
      <c r="D1734" s="26">
        <f>MATCH(WEEKDAY(A1734),そのた定義!A:A,0)</f>
        <v>4</v>
      </c>
      <c r="E1734" s="26" t="str">
        <f t="shared" ca="1" si="248"/>
        <v>火</v>
      </c>
      <c r="F1734" s="26">
        <f t="shared" si="249"/>
        <v>0</v>
      </c>
      <c r="G1734" s="26">
        <f>IF(ISNA(MATCH(A1734,祝日定義!E:E,0)),0,1)</f>
        <v>0</v>
      </c>
      <c r="H1734" s="26">
        <f>IF(ISNA(MATCH(B1734&amp;"/"&amp;C1734,そのた定義!E:E,0)), 0, 1)</f>
        <v>0</v>
      </c>
      <c r="I1734" s="26" t="b">
        <f t="shared" si="250"/>
        <v>0</v>
      </c>
      <c r="J1734" s="26">
        <v>0</v>
      </c>
      <c r="K1734" s="26" t="b">
        <f t="shared" si="245"/>
        <v>0</v>
      </c>
      <c r="L1734" s="26" t="b">
        <f t="shared" si="246"/>
        <v>0</v>
      </c>
      <c r="M1734" t="b">
        <f t="shared" si="251"/>
        <v>0</v>
      </c>
      <c r="N1734" t="b">
        <f t="shared" si="252"/>
        <v>0</v>
      </c>
    </row>
    <row r="1735" spans="1:14">
      <c r="A1735" s="29">
        <v>46295</v>
      </c>
      <c r="B1735" s="30">
        <f t="shared" si="244"/>
        <v>9</v>
      </c>
      <c r="C1735" s="30">
        <f t="shared" si="247"/>
        <v>30</v>
      </c>
      <c r="D1735" s="26">
        <f>MATCH(WEEKDAY(A1735),そのた定義!A:A,0)</f>
        <v>5</v>
      </c>
      <c r="E1735" s="26" t="str">
        <f t="shared" ca="1" si="248"/>
        <v>水</v>
      </c>
      <c r="F1735" s="26">
        <f t="shared" si="249"/>
        <v>0</v>
      </c>
      <c r="G1735" s="26">
        <f>IF(ISNA(MATCH(A1735,祝日定義!E:E,0)),0,1)</f>
        <v>0</v>
      </c>
      <c r="H1735" s="26">
        <f>IF(ISNA(MATCH(B1735&amp;"/"&amp;C1735,そのた定義!E:E,0)), 0, 1)</f>
        <v>0</v>
      </c>
      <c r="I1735" s="26" t="b">
        <f t="shared" si="250"/>
        <v>0</v>
      </c>
      <c r="J1735" s="26">
        <v>0</v>
      </c>
      <c r="K1735" s="26" t="b">
        <f t="shared" si="245"/>
        <v>0</v>
      </c>
      <c r="L1735" s="26" t="b">
        <f t="shared" si="246"/>
        <v>0</v>
      </c>
      <c r="M1735" t="b">
        <f t="shared" si="251"/>
        <v>0</v>
      </c>
      <c r="N1735" t="b">
        <f t="shared" si="252"/>
        <v>1</v>
      </c>
    </row>
    <row r="1736" spans="1:14">
      <c r="A1736" s="29">
        <v>46296</v>
      </c>
      <c r="B1736" s="30">
        <f t="shared" si="244"/>
        <v>10</v>
      </c>
      <c r="C1736" s="30">
        <f t="shared" si="247"/>
        <v>1</v>
      </c>
      <c r="D1736" s="26">
        <f>MATCH(WEEKDAY(A1736),そのた定義!A:A,0)</f>
        <v>6</v>
      </c>
      <c r="E1736" s="26" t="str">
        <f t="shared" ca="1" si="248"/>
        <v>木</v>
      </c>
      <c r="F1736" s="26">
        <f t="shared" si="249"/>
        <v>0</v>
      </c>
      <c r="G1736" s="26">
        <f>IF(ISNA(MATCH(A1736,祝日定義!E:E,0)),0,1)</f>
        <v>0</v>
      </c>
      <c r="H1736" s="26">
        <f>IF(ISNA(MATCH(B1736&amp;"/"&amp;C1736,そのた定義!E:E,0)), 0, 1)</f>
        <v>0</v>
      </c>
      <c r="I1736" s="26" t="b">
        <f t="shared" si="250"/>
        <v>0</v>
      </c>
      <c r="J1736" s="26">
        <v>0</v>
      </c>
      <c r="K1736" s="26" t="b">
        <f t="shared" si="245"/>
        <v>0</v>
      </c>
      <c r="L1736" s="26" t="b">
        <f t="shared" si="246"/>
        <v>0</v>
      </c>
      <c r="M1736" t="b">
        <f t="shared" si="251"/>
        <v>0</v>
      </c>
      <c r="N1736" t="b">
        <f t="shared" si="252"/>
        <v>0</v>
      </c>
    </row>
    <row r="1737" spans="1:14">
      <c r="A1737" s="29">
        <v>46297</v>
      </c>
      <c r="B1737" s="30">
        <f t="shared" si="244"/>
        <v>10</v>
      </c>
      <c r="C1737" s="30">
        <f t="shared" si="247"/>
        <v>2</v>
      </c>
      <c r="D1737" s="26">
        <f>MATCH(WEEKDAY(A1737),そのた定義!A:A,0)</f>
        <v>7</v>
      </c>
      <c r="E1737" s="26" t="str">
        <f t="shared" ca="1" si="248"/>
        <v>金</v>
      </c>
      <c r="F1737" s="26">
        <f t="shared" si="249"/>
        <v>0</v>
      </c>
      <c r="G1737" s="26">
        <f>IF(ISNA(MATCH(A1737,祝日定義!E:E,0)),0,1)</f>
        <v>0</v>
      </c>
      <c r="H1737" s="26">
        <f>IF(ISNA(MATCH(B1737&amp;"/"&amp;C1737,そのた定義!E:E,0)), 0, 1)</f>
        <v>0</v>
      </c>
      <c r="I1737" s="26" t="b">
        <f t="shared" si="250"/>
        <v>0</v>
      </c>
      <c r="J1737" s="26">
        <v>0</v>
      </c>
      <c r="K1737" s="26" t="b">
        <f t="shared" si="245"/>
        <v>0</v>
      </c>
      <c r="L1737" s="26" t="b">
        <f t="shared" si="246"/>
        <v>0</v>
      </c>
      <c r="M1737" t="b">
        <f t="shared" si="251"/>
        <v>0</v>
      </c>
      <c r="N1737" t="b">
        <f t="shared" si="252"/>
        <v>0</v>
      </c>
    </row>
    <row r="1738" spans="1:14">
      <c r="A1738" s="29">
        <v>46298</v>
      </c>
      <c r="B1738" s="30">
        <f t="shared" si="244"/>
        <v>10</v>
      </c>
      <c r="C1738" s="30">
        <f t="shared" si="247"/>
        <v>3</v>
      </c>
      <c r="D1738" s="26">
        <f>MATCH(WEEKDAY(A1738),そのた定義!A:A,0)</f>
        <v>8</v>
      </c>
      <c r="E1738" s="33" t="str">
        <f t="shared" ca="1" si="248"/>
        <v>土</v>
      </c>
      <c r="F1738" s="26">
        <f t="shared" si="249"/>
        <v>1</v>
      </c>
      <c r="G1738" s="26">
        <f>IF(ISNA(MATCH(A1738,祝日定義!E:E,0)),0,1)</f>
        <v>0</v>
      </c>
      <c r="H1738" s="26">
        <f>IF(ISNA(MATCH(B1738&amp;"/"&amp;C1738,そのた定義!E:E,0)), 0, 1)</f>
        <v>0</v>
      </c>
      <c r="I1738" s="23" t="b">
        <f t="shared" si="250"/>
        <v>1</v>
      </c>
      <c r="J1738" s="26">
        <v>0</v>
      </c>
      <c r="K1738" s="26" t="b">
        <f t="shared" si="245"/>
        <v>0</v>
      </c>
      <c r="L1738" s="26" t="b">
        <f t="shared" si="246"/>
        <v>0</v>
      </c>
      <c r="M1738" t="b">
        <f t="shared" si="251"/>
        <v>0</v>
      </c>
      <c r="N1738" t="b">
        <f t="shared" si="252"/>
        <v>0</v>
      </c>
    </row>
    <row r="1739" spans="1:14">
      <c r="A1739" s="29">
        <v>46299</v>
      </c>
      <c r="B1739" s="30">
        <f t="shared" si="244"/>
        <v>10</v>
      </c>
      <c r="C1739" s="30">
        <f t="shared" si="247"/>
        <v>4</v>
      </c>
      <c r="D1739" s="26">
        <f>MATCH(WEEKDAY(A1739),そのた定義!A:A,0)</f>
        <v>2</v>
      </c>
      <c r="E1739" s="32" t="str">
        <f t="shared" ca="1" si="248"/>
        <v>日</v>
      </c>
      <c r="F1739" s="26">
        <f t="shared" si="249"/>
        <v>1</v>
      </c>
      <c r="G1739" s="26">
        <f>IF(ISNA(MATCH(A1739,祝日定義!E:E,0)),0,1)</f>
        <v>0</v>
      </c>
      <c r="H1739" s="26">
        <f>IF(ISNA(MATCH(B1739&amp;"/"&amp;C1739,そのた定義!E:E,0)), 0, 1)</f>
        <v>0</v>
      </c>
      <c r="I1739" s="23" t="b">
        <f t="shared" si="250"/>
        <v>1</v>
      </c>
      <c r="J1739" s="26">
        <v>0</v>
      </c>
      <c r="K1739" s="26" t="b">
        <f t="shared" si="245"/>
        <v>0</v>
      </c>
      <c r="L1739" s="26" t="b">
        <f t="shared" si="246"/>
        <v>0</v>
      </c>
      <c r="M1739" t="b">
        <f t="shared" si="251"/>
        <v>0</v>
      </c>
      <c r="N1739" t="b">
        <f t="shared" si="252"/>
        <v>0</v>
      </c>
    </row>
    <row r="1740" spans="1:14">
      <c r="A1740" s="29">
        <v>46300</v>
      </c>
      <c r="B1740" s="30">
        <f t="shared" si="244"/>
        <v>10</v>
      </c>
      <c r="C1740" s="30">
        <f t="shared" si="247"/>
        <v>5</v>
      </c>
      <c r="D1740" s="26">
        <f>MATCH(WEEKDAY(A1740),そのた定義!A:A,0)</f>
        <v>3</v>
      </c>
      <c r="E1740" s="26" t="str">
        <f t="shared" ca="1" si="248"/>
        <v>月</v>
      </c>
      <c r="F1740" s="26">
        <f t="shared" si="249"/>
        <v>0</v>
      </c>
      <c r="G1740" s="26">
        <f>IF(ISNA(MATCH(A1740,祝日定義!E:E,0)),0,1)</f>
        <v>0</v>
      </c>
      <c r="H1740" s="26">
        <f>IF(ISNA(MATCH(B1740&amp;"/"&amp;C1740,そのた定義!E:E,0)), 0, 1)</f>
        <v>0</v>
      </c>
      <c r="I1740" s="26" t="b">
        <f t="shared" si="250"/>
        <v>0</v>
      </c>
      <c r="J1740" s="26">
        <v>2</v>
      </c>
      <c r="K1740" s="26" t="b">
        <f t="shared" si="245"/>
        <v>0</v>
      </c>
      <c r="L1740" s="26" t="b">
        <f t="shared" si="246"/>
        <v>0</v>
      </c>
      <c r="M1740" t="b">
        <f t="shared" si="251"/>
        <v>0</v>
      </c>
      <c r="N1740" t="b">
        <f t="shared" si="252"/>
        <v>0</v>
      </c>
    </row>
    <row r="1741" spans="1:14">
      <c r="A1741" s="29">
        <v>46301</v>
      </c>
      <c r="B1741" s="30">
        <f t="shared" si="244"/>
        <v>10</v>
      </c>
      <c r="C1741" s="30">
        <f t="shared" si="247"/>
        <v>6</v>
      </c>
      <c r="D1741" s="26">
        <f>MATCH(WEEKDAY(A1741),そのた定義!A:A,0)</f>
        <v>4</v>
      </c>
      <c r="E1741" s="26" t="str">
        <f t="shared" ca="1" si="248"/>
        <v>火</v>
      </c>
      <c r="F1741" s="26">
        <f t="shared" si="249"/>
        <v>0</v>
      </c>
      <c r="G1741" s="26">
        <f>IF(ISNA(MATCH(A1741,祝日定義!E:E,0)),0,1)</f>
        <v>0</v>
      </c>
      <c r="H1741" s="26">
        <f>IF(ISNA(MATCH(B1741&amp;"/"&amp;C1741,そのた定義!E:E,0)), 0, 1)</f>
        <v>0</v>
      </c>
      <c r="I1741" s="26" t="b">
        <f t="shared" si="250"/>
        <v>0</v>
      </c>
      <c r="J1741" s="26">
        <v>0</v>
      </c>
      <c r="K1741" s="26" t="b">
        <f t="shared" si="245"/>
        <v>0</v>
      </c>
      <c r="L1741" s="26" t="b">
        <f t="shared" si="246"/>
        <v>0</v>
      </c>
      <c r="M1741" t="b">
        <f t="shared" si="251"/>
        <v>0</v>
      </c>
      <c r="N1741" t="b">
        <f t="shared" si="252"/>
        <v>0</v>
      </c>
    </row>
    <row r="1742" spans="1:14">
      <c r="A1742" s="29">
        <v>46302</v>
      </c>
      <c r="B1742" s="30">
        <f t="shared" si="244"/>
        <v>10</v>
      </c>
      <c r="C1742" s="30">
        <f t="shared" si="247"/>
        <v>7</v>
      </c>
      <c r="D1742" s="26">
        <f>MATCH(WEEKDAY(A1742),そのた定義!A:A,0)</f>
        <v>5</v>
      </c>
      <c r="E1742" s="26" t="str">
        <f t="shared" ca="1" si="248"/>
        <v>水</v>
      </c>
      <c r="F1742" s="26">
        <f t="shared" si="249"/>
        <v>0</v>
      </c>
      <c r="G1742" s="26">
        <f>IF(ISNA(MATCH(A1742,祝日定義!E:E,0)),0,1)</f>
        <v>0</v>
      </c>
      <c r="H1742" s="26">
        <f>IF(ISNA(MATCH(B1742&amp;"/"&amp;C1742,そのた定義!E:E,0)), 0, 1)</f>
        <v>0</v>
      </c>
      <c r="I1742" s="26" t="b">
        <f t="shared" si="250"/>
        <v>0</v>
      </c>
      <c r="J1742" s="26">
        <v>0</v>
      </c>
      <c r="K1742" s="26" t="b">
        <f t="shared" si="245"/>
        <v>0</v>
      </c>
      <c r="L1742" s="26" t="b">
        <f t="shared" si="246"/>
        <v>0</v>
      </c>
      <c r="M1742" t="b">
        <f t="shared" si="251"/>
        <v>0</v>
      </c>
      <c r="N1742" t="b">
        <f t="shared" si="252"/>
        <v>0</v>
      </c>
    </row>
    <row r="1743" spans="1:14">
      <c r="A1743" s="29">
        <v>46303</v>
      </c>
      <c r="B1743" s="30">
        <f t="shared" si="244"/>
        <v>10</v>
      </c>
      <c r="C1743" s="30">
        <f t="shared" si="247"/>
        <v>8</v>
      </c>
      <c r="D1743" s="26">
        <f>MATCH(WEEKDAY(A1743),そのた定義!A:A,0)</f>
        <v>6</v>
      </c>
      <c r="E1743" s="26" t="str">
        <f t="shared" ca="1" si="248"/>
        <v>木</v>
      </c>
      <c r="F1743" s="26">
        <f t="shared" si="249"/>
        <v>0</v>
      </c>
      <c r="G1743" s="26">
        <f>IF(ISNA(MATCH(A1743,祝日定義!E:E,0)),0,1)</f>
        <v>0</v>
      </c>
      <c r="H1743" s="26">
        <f>IF(ISNA(MATCH(B1743&amp;"/"&amp;C1743,そのた定義!E:E,0)), 0, 1)</f>
        <v>0</v>
      </c>
      <c r="I1743" s="26" t="b">
        <f t="shared" si="250"/>
        <v>0</v>
      </c>
      <c r="J1743" s="26">
        <v>0</v>
      </c>
      <c r="K1743" s="26" t="b">
        <f t="shared" si="245"/>
        <v>0</v>
      </c>
      <c r="L1743" s="26" t="b">
        <f t="shared" si="246"/>
        <v>0</v>
      </c>
      <c r="M1743" t="b">
        <f t="shared" si="251"/>
        <v>0</v>
      </c>
      <c r="N1743" t="b">
        <f t="shared" si="252"/>
        <v>0</v>
      </c>
    </row>
    <row r="1744" spans="1:14">
      <c r="A1744" s="29">
        <v>46304</v>
      </c>
      <c r="B1744" s="30">
        <f t="shared" si="244"/>
        <v>10</v>
      </c>
      <c r="C1744" s="30">
        <f t="shared" si="247"/>
        <v>9</v>
      </c>
      <c r="D1744" s="26">
        <f>MATCH(WEEKDAY(A1744),そのた定義!A:A,0)</f>
        <v>7</v>
      </c>
      <c r="E1744" s="26" t="str">
        <f t="shared" ca="1" si="248"/>
        <v>金</v>
      </c>
      <c r="F1744" s="26">
        <f t="shared" si="249"/>
        <v>0</v>
      </c>
      <c r="G1744" s="26">
        <f>IF(ISNA(MATCH(A1744,祝日定義!E:E,0)),0,1)</f>
        <v>0</v>
      </c>
      <c r="H1744" s="26">
        <f>IF(ISNA(MATCH(B1744&amp;"/"&amp;C1744,そのた定義!E:E,0)), 0, 1)</f>
        <v>0</v>
      </c>
      <c r="I1744" s="26" t="b">
        <f t="shared" si="250"/>
        <v>0</v>
      </c>
      <c r="J1744" s="26">
        <v>0</v>
      </c>
      <c r="K1744" s="26" t="b">
        <f t="shared" si="245"/>
        <v>0</v>
      </c>
      <c r="L1744" s="26" t="b">
        <f t="shared" si="246"/>
        <v>0</v>
      </c>
      <c r="M1744" t="b">
        <f t="shared" si="251"/>
        <v>0</v>
      </c>
      <c r="N1744" t="b">
        <f t="shared" si="252"/>
        <v>0</v>
      </c>
    </row>
    <row r="1745" spans="1:14">
      <c r="A1745" s="29">
        <v>46305</v>
      </c>
      <c r="B1745" s="30">
        <f t="shared" si="244"/>
        <v>10</v>
      </c>
      <c r="C1745" s="30">
        <f t="shared" si="247"/>
        <v>10</v>
      </c>
      <c r="D1745" s="26">
        <f>MATCH(WEEKDAY(A1745),そのた定義!A:A,0)</f>
        <v>8</v>
      </c>
      <c r="E1745" s="33" t="str">
        <f t="shared" ca="1" si="248"/>
        <v>土</v>
      </c>
      <c r="F1745" s="26">
        <f t="shared" si="249"/>
        <v>1</v>
      </c>
      <c r="G1745" s="26">
        <f>IF(ISNA(MATCH(A1745,祝日定義!E:E,0)),0,1)</f>
        <v>0</v>
      </c>
      <c r="H1745" s="26">
        <f>IF(ISNA(MATCH(B1745&amp;"/"&amp;C1745,そのた定義!E:E,0)), 0, 1)</f>
        <v>0</v>
      </c>
      <c r="I1745" s="23" t="b">
        <f t="shared" si="250"/>
        <v>1</v>
      </c>
      <c r="J1745" s="26">
        <v>0</v>
      </c>
      <c r="K1745" s="26" t="b">
        <f t="shared" si="245"/>
        <v>0</v>
      </c>
      <c r="L1745" s="26" t="b">
        <f t="shared" si="246"/>
        <v>0</v>
      </c>
      <c r="M1745" t="b">
        <f t="shared" si="251"/>
        <v>0</v>
      </c>
      <c r="N1745" t="b">
        <f t="shared" si="252"/>
        <v>0</v>
      </c>
    </row>
    <row r="1746" spans="1:14">
      <c r="A1746" s="29">
        <v>46306</v>
      </c>
      <c r="B1746" s="30">
        <f t="shared" si="244"/>
        <v>10</v>
      </c>
      <c r="C1746" s="30">
        <f t="shared" si="247"/>
        <v>11</v>
      </c>
      <c r="D1746" s="26">
        <f>MATCH(WEEKDAY(A1746),そのた定義!A:A,0)</f>
        <v>2</v>
      </c>
      <c r="E1746" s="32" t="str">
        <f t="shared" ca="1" si="248"/>
        <v>日</v>
      </c>
      <c r="F1746" s="26">
        <f t="shared" si="249"/>
        <v>1</v>
      </c>
      <c r="G1746" s="26">
        <f>IF(ISNA(MATCH(A1746,祝日定義!E:E,0)),0,1)</f>
        <v>0</v>
      </c>
      <c r="H1746" s="26">
        <f>IF(ISNA(MATCH(B1746&amp;"/"&amp;C1746,そのた定義!E:E,0)), 0, 1)</f>
        <v>0</v>
      </c>
      <c r="I1746" s="23" t="b">
        <f t="shared" si="250"/>
        <v>1</v>
      </c>
      <c r="J1746" s="26">
        <v>0</v>
      </c>
      <c r="K1746" s="26" t="b">
        <f t="shared" si="245"/>
        <v>0</v>
      </c>
      <c r="L1746" s="26" t="b">
        <f t="shared" si="246"/>
        <v>0</v>
      </c>
      <c r="M1746" t="b">
        <f t="shared" si="251"/>
        <v>0</v>
      </c>
      <c r="N1746" t="b">
        <f t="shared" si="252"/>
        <v>0</v>
      </c>
    </row>
    <row r="1747" spans="1:14">
      <c r="A1747" s="29">
        <v>46307</v>
      </c>
      <c r="B1747" s="30">
        <f t="shared" si="244"/>
        <v>10</v>
      </c>
      <c r="C1747" s="30">
        <f t="shared" si="247"/>
        <v>12</v>
      </c>
      <c r="D1747" s="26">
        <f>MATCH(WEEKDAY(A1747),そのた定義!A:A,0)</f>
        <v>3</v>
      </c>
      <c r="E1747" s="31" t="str">
        <f t="shared" ca="1" si="248"/>
        <v>月</v>
      </c>
      <c r="F1747" s="26">
        <f t="shared" si="249"/>
        <v>0</v>
      </c>
      <c r="G1747" s="26">
        <f>IF(ISNA(MATCH(A1747,祝日定義!E:E,0)),0,1)</f>
        <v>1</v>
      </c>
      <c r="H1747" s="26">
        <f>IF(ISNA(MATCH(B1747&amp;"/"&amp;C1747,そのた定義!E:E,0)), 0, 1)</f>
        <v>0</v>
      </c>
      <c r="I1747" s="23" t="b">
        <f t="shared" si="250"/>
        <v>1</v>
      </c>
      <c r="J1747" s="26">
        <v>0</v>
      </c>
      <c r="K1747" s="26" t="b">
        <f t="shared" si="245"/>
        <v>0</v>
      </c>
      <c r="L1747" s="26" t="b">
        <f t="shared" si="246"/>
        <v>0</v>
      </c>
      <c r="M1747" t="b">
        <f t="shared" si="251"/>
        <v>0</v>
      </c>
      <c r="N1747" t="b">
        <f t="shared" si="252"/>
        <v>0</v>
      </c>
    </row>
    <row r="1748" spans="1:14">
      <c r="A1748" s="29">
        <v>46308</v>
      </c>
      <c r="B1748" s="30">
        <f t="shared" si="244"/>
        <v>10</v>
      </c>
      <c r="C1748" s="30">
        <f t="shared" si="247"/>
        <v>13</v>
      </c>
      <c r="D1748" s="26">
        <f>MATCH(WEEKDAY(A1748),そのた定義!A:A,0)</f>
        <v>4</v>
      </c>
      <c r="E1748" s="26" t="str">
        <f t="shared" ca="1" si="248"/>
        <v>火</v>
      </c>
      <c r="F1748" s="26">
        <f t="shared" si="249"/>
        <v>0</v>
      </c>
      <c r="G1748" s="26">
        <f>IF(ISNA(MATCH(A1748,祝日定義!E:E,0)),0,1)</f>
        <v>0</v>
      </c>
      <c r="H1748" s="26">
        <f>IF(ISNA(MATCH(B1748&amp;"/"&amp;C1748,そのた定義!E:E,0)), 0, 1)</f>
        <v>0</v>
      </c>
      <c r="I1748" s="26" t="b">
        <f t="shared" si="250"/>
        <v>0</v>
      </c>
      <c r="J1748" s="26">
        <v>3</v>
      </c>
      <c r="K1748" s="26" t="b">
        <f t="shared" si="245"/>
        <v>0</v>
      </c>
      <c r="L1748" s="26" t="b">
        <f t="shared" si="246"/>
        <v>0</v>
      </c>
      <c r="M1748" t="b">
        <f t="shared" si="251"/>
        <v>0</v>
      </c>
      <c r="N1748" t="b">
        <f t="shared" si="252"/>
        <v>0</v>
      </c>
    </row>
    <row r="1749" spans="1:14">
      <c r="A1749" s="29">
        <v>46309</v>
      </c>
      <c r="B1749" s="30">
        <f t="shared" si="244"/>
        <v>10</v>
      </c>
      <c r="C1749" s="30">
        <f t="shared" si="247"/>
        <v>14</v>
      </c>
      <c r="D1749" s="26">
        <f>MATCH(WEEKDAY(A1749),そのた定義!A:A,0)</f>
        <v>5</v>
      </c>
      <c r="E1749" s="26" t="str">
        <f t="shared" ca="1" si="248"/>
        <v>水</v>
      </c>
      <c r="F1749" s="26">
        <f t="shared" si="249"/>
        <v>0</v>
      </c>
      <c r="G1749" s="26">
        <f>IF(ISNA(MATCH(A1749,祝日定義!E:E,0)),0,1)</f>
        <v>0</v>
      </c>
      <c r="H1749" s="26">
        <f>IF(ISNA(MATCH(B1749&amp;"/"&amp;C1749,そのた定義!E:E,0)), 0, 1)</f>
        <v>0</v>
      </c>
      <c r="I1749" s="26" t="b">
        <f t="shared" si="250"/>
        <v>0</v>
      </c>
      <c r="J1749" s="26">
        <v>0</v>
      </c>
      <c r="K1749" s="26" t="b">
        <f t="shared" si="245"/>
        <v>0</v>
      </c>
      <c r="L1749" s="26" t="b">
        <f t="shared" si="246"/>
        <v>0</v>
      </c>
      <c r="M1749" t="b">
        <f t="shared" si="251"/>
        <v>0</v>
      </c>
      <c r="N1749" t="b">
        <f t="shared" si="252"/>
        <v>0</v>
      </c>
    </row>
    <row r="1750" spans="1:14">
      <c r="A1750" s="29">
        <v>46310</v>
      </c>
      <c r="B1750" s="30">
        <f t="shared" si="244"/>
        <v>10</v>
      </c>
      <c r="C1750" s="30">
        <f t="shared" si="247"/>
        <v>15</v>
      </c>
      <c r="D1750" s="26">
        <f>MATCH(WEEKDAY(A1750),そのた定義!A:A,0)</f>
        <v>6</v>
      </c>
      <c r="E1750" s="26" t="str">
        <f t="shared" ca="1" si="248"/>
        <v>木</v>
      </c>
      <c r="F1750" s="26">
        <f t="shared" si="249"/>
        <v>0</v>
      </c>
      <c r="G1750" s="26">
        <f>IF(ISNA(MATCH(A1750,祝日定義!E:E,0)),0,1)</f>
        <v>0</v>
      </c>
      <c r="H1750" s="26">
        <f>IF(ISNA(MATCH(B1750&amp;"/"&amp;C1750,そのた定義!E:E,0)), 0, 1)</f>
        <v>0</v>
      </c>
      <c r="I1750" s="26" t="b">
        <f t="shared" si="250"/>
        <v>0</v>
      </c>
      <c r="J1750" s="26">
        <v>0</v>
      </c>
      <c r="K1750" s="26" t="b">
        <f t="shared" si="245"/>
        <v>0</v>
      </c>
      <c r="L1750" s="26" t="b">
        <f t="shared" si="246"/>
        <v>0</v>
      </c>
      <c r="M1750" t="b">
        <f t="shared" si="251"/>
        <v>0</v>
      </c>
      <c r="N1750" t="b">
        <f t="shared" si="252"/>
        <v>0</v>
      </c>
    </row>
    <row r="1751" spans="1:14">
      <c r="A1751" s="29">
        <v>46311</v>
      </c>
      <c r="B1751" s="30">
        <f t="shared" si="244"/>
        <v>10</v>
      </c>
      <c r="C1751" s="30">
        <f t="shared" si="247"/>
        <v>16</v>
      </c>
      <c r="D1751" s="26">
        <f>MATCH(WEEKDAY(A1751),そのた定義!A:A,0)</f>
        <v>7</v>
      </c>
      <c r="E1751" s="26" t="str">
        <f t="shared" ca="1" si="248"/>
        <v>金</v>
      </c>
      <c r="F1751" s="26">
        <f t="shared" si="249"/>
        <v>0</v>
      </c>
      <c r="G1751" s="26">
        <f>IF(ISNA(MATCH(A1751,祝日定義!E:E,0)),0,1)</f>
        <v>0</v>
      </c>
      <c r="H1751" s="26">
        <f>IF(ISNA(MATCH(B1751&amp;"/"&amp;C1751,そのた定義!E:E,0)), 0, 1)</f>
        <v>0</v>
      </c>
      <c r="I1751" s="26" t="b">
        <f t="shared" si="250"/>
        <v>0</v>
      </c>
      <c r="J1751" s="26">
        <v>0</v>
      </c>
      <c r="K1751" s="26" t="b">
        <f t="shared" si="245"/>
        <v>0</v>
      </c>
      <c r="L1751" s="26" t="b">
        <f t="shared" si="246"/>
        <v>0</v>
      </c>
      <c r="M1751" t="b">
        <f t="shared" si="251"/>
        <v>0</v>
      </c>
      <c r="N1751" t="b">
        <f t="shared" si="252"/>
        <v>0</v>
      </c>
    </row>
    <row r="1752" spans="1:14">
      <c r="A1752" s="29">
        <v>46312</v>
      </c>
      <c r="B1752" s="30">
        <f t="shared" si="244"/>
        <v>10</v>
      </c>
      <c r="C1752" s="30">
        <f t="shared" si="247"/>
        <v>17</v>
      </c>
      <c r="D1752" s="26">
        <f>MATCH(WEEKDAY(A1752),そのた定義!A:A,0)</f>
        <v>8</v>
      </c>
      <c r="E1752" s="33" t="str">
        <f t="shared" ca="1" si="248"/>
        <v>土</v>
      </c>
      <c r="F1752" s="26">
        <f t="shared" si="249"/>
        <v>1</v>
      </c>
      <c r="G1752" s="26">
        <f>IF(ISNA(MATCH(A1752,祝日定義!E:E,0)),0,1)</f>
        <v>0</v>
      </c>
      <c r="H1752" s="26">
        <f>IF(ISNA(MATCH(B1752&amp;"/"&amp;C1752,そのた定義!E:E,0)), 0, 1)</f>
        <v>0</v>
      </c>
      <c r="I1752" s="23" t="b">
        <f t="shared" si="250"/>
        <v>1</v>
      </c>
      <c r="J1752" s="26">
        <v>0</v>
      </c>
      <c r="K1752" s="26" t="b">
        <f t="shared" si="245"/>
        <v>0</v>
      </c>
      <c r="L1752" s="26" t="b">
        <f t="shared" si="246"/>
        <v>0</v>
      </c>
      <c r="M1752" t="b">
        <f t="shared" si="251"/>
        <v>0</v>
      </c>
      <c r="N1752" t="b">
        <f t="shared" si="252"/>
        <v>0</v>
      </c>
    </row>
    <row r="1753" spans="1:14">
      <c r="A1753" s="29">
        <v>46313</v>
      </c>
      <c r="B1753" s="30">
        <f t="shared" si="244"/>
        <v>10</v>
      </c>
      <c r="C1753" s="30">
        <f t="shared" si="247"/>
        <v>18</v>
      </c>
      <c r="D1753" s="26">
        <f>MATCH(WEEKDAY(A1753),そのた定義!A:A,0)</f>
        <v>2</v>
      </c>
      <c r="E1753" s="32" t="str">
        <f t="shared" ca="1" si="248"/>
        <v>日</v>
      </c>
      <c r="F1753" s="26">
        <f t="shared" si="249"/>
        <v>1</v>
      </c>
      <c r="G1753" s="26">
        <f>IF(ISNA(MATCH(A1753,祝日定義!E:E,0)),0,1)</f>
        <v>0</v>
      </c>
      <c r="H1753" s="26">
        <f>IF(ISNA(MATCH(B1753&amp;"/"&amp;C1753,そのた定義!E:E,0)), 0, 1)</f>
        <v>0</v>
      </c>
      <c r="I1753" s="23" t="b">
        <f t="shared" si="250"/>
        <v>1</v>
      </c>
      <c r="J1753" s="26">
        <v>0</v>
      </c>
      <c r="K1753" s="26" t="b">
        <f t="shared" si="245"/>
        <v>0</v>
      </c>
      <c r="L1753" s="26" t="b">
        <f t="shared" si="246"/>
        <v>0</v>
      </c>
      <c r="M1753" t="b">
        <f t="shared" si="251"/>
        <v>0</v>
      </c>
      <c r="N1753" t="b">
        <f t="shared" si="252"/>
        <v>0</v>
      </c>
    </row>
    <row r="1754" spans="1:14">
      <c r="A1754" s="29">
        <v>46314</v>
      </c>
      <c r="B1754" s="30">
        <f t="shared" si="244"/>
        <v>10</v>
      </c>
      <c r="C1754" s="30">
        <f t="shared" si="247"/>
        <v>19</v>
      </c>
      <c r="D1754" s="26">
        <f>MATCH(WEEKDAY(A1754),そのた定義!A:A,0)</f>
        <v>3</v>
      </c>
      <c r="E1754" s="26" t="str">
        <f t="shared" ca="1" si="248"/>
        <v>月</v>
      </c>
      <c r="F1754" s="26">
        <f t="shared" si="249"/>
        <v>0</v>
      </c>
      <c r="G1754" s="26">
        <f>IF(ISNA(MATCH(A1754,祝日定義!E:E,0)),0,1)</f>
        <v>0</v>
      </c>
      <c r="H1754" s="26">
        <f>IF(ISNA(MATCH(B1754&amp;"/"&amp;C1754,そのた定義!E:E,0)), 0, 1)</f>
        <v>0</v>
      </c>
      <c r="I1754" s="26" t="b">
        <f t="shared" si="250"/>
        <v>0</v>
      </c>
      <c r="J1754" s="26">
        <v>2</v>
      </c>
      <c r="K1754" s="26" t="b">
        <f t="shared" si="245"/>
        <v>0</v>
      </c>
      <c r="L1754" s="26" t="b">
        <f t="shared" si="246"/>
        <v>0</v>
      </c>
      <c r="M1754" t="b">
        <f t="shared" si="251"/>
        <v>0</v>
      </c>
      <c r="N1754" t="b">
        <f t="shared" si="252"/>
        <v>0</v>
      </c>
    </row>
    <row r="1755" spans="1:14">
      <c r="A1755" s="29">
        <v>46315</v>
      </c>
      <c r="B1755" s="30">
        <f t="shared" si="244"/>
        <v>10</v>
      </c>
      <c r="C1755" s="30">
        <f t="shared" si="247"/>
        <v>20</v>
      </c>
      <c r="D1755" s="26">
        <f>MATCH(WEEKDAY(A1755),そのた定義!A:A,0)</f>
        <v>4</v>
      </c>
      <c r="E1755" s="26" t="str">
        <f t="shared" ca="1" si="248"/>
        <v>火</v>
      </c>
      <c r="F1755" s="26">
        <f t="shared" si="249"/>
        <v>0</v>
      </c>
      <c r="G1755" s="26">
        <f>IF(ISNA(MATCH(A1755,祝日定義!E:E,0)),0,1)</f>
        <v>0</v>
      </c>
      <c r="H1755" s="26">
        <f>IF(ISNA(MATCH(B1755&amp;"/"&amp;C1755,そのた定義!E:E,0)), 0, 1)</f>
        <v>0</v>
      </c>
      <c r="I1755" s="26" t="b">
        <f t="shared" si="250"/>
        <v>0</v>
      </c>
      <c r="J1755" s="26">
        <v>0</v>
      </c>
      <c r="K1755" s="26" t="b">
        <f t="shared" si="245"/>
        <v>0</v>
      </c>
      <c r="L1755" s="26" t="b">
        <f t="shared" si="246"/>
        <v>0</v>
      </c>
      <c r="M1755" t="b">
        <f t="shared" si="251"/>
        <v>0</v>
      </c>
      <c r="N1755" t="b">
        <f t="shared" si="252"/>
        <v>0</v>
      </c>
    </row>
    <row r="1756" spans="1:14">
      <c r="A1756" s="29">
        <v>46316</v>
      </c>
      <c r="B1756" s="30">
        <f t="shared" si="244"/>
        <v>10</v>
      </c>
      <c r="C1756" s="30">
        <f t="shared" si="247"/>
        <v>21</v>
      </c>
      <c r="D1756" s="26">
        <f>MATCH(WEEKDAY(A1756),そのた定義!A:A,0)</f>
        <v>5</v>
      </c>
      <c r="E1756" s="26" t="str">
        <f t="shared" ca="1" si="248"/>
        <v>水</v>
      </c>
      <c r="F1756" s="26">
        <f t="shared" si="249"/>
        <v>0</v>
      </c>
      <c r="G1756" s="26">
        <f>IF(ISNA(MATCH(A1756,祝日定義!E:E,0)),0,1)</f>
        <v>0</v>
      </c>
      <c r="H1756" s="26">
        <f>IF(ISNA(MATCH(B1756&amp;"/"&amp;C1756,そのた定義!E:E,0)), 0, 1)</f>
        <v>0</v>
      </c>
      <c r="I1756" s="26" t="b">
        <f t="shared" si="250"/>
        <v>0</v>
      </c>
      <c r="J1756" s="26">
        <v>0</v>
      </c>
      <c r="K1756" s="26" t="b">
        <f t="shared" si="245"/>
        <v>0</v>
      </c>
      <c r="L1756" s="26" t="b">
        <f t="shared" si="246"/>
        <v>0</v>
      </c>
      <c r="M1756" t="b">
        <f t="shared" si="251"/>
        <v>0</v>
      </c>
      <c r="N1756" t="b">
        <f t="shared" si="252"/>
        <v>0</v>
      </c>
    </row>
    <row r="1757" spans="1:14">
      <c r="A1757" s="29">
        <v>46317</v>
      </c>
      <c r="B1757" s="30">
        <f t="shared" si="244"/>
        <v>10</v>
      </c>
      <c r="C1757" s="30">
        <f t="shared" si="247"/>
        <v>22</v>
      </c>
      <c r="D1757" s="26">
        <f>MATCH(WEEKDAY(A1757),そのた定義!A:A,0)</f>
        <v>6</v>
      </c>
      <c r="E1757" s="26" t="str">
        <f t="shared" ca="1" si="248"/>
        <v>木</v>
      </c>
      <c r="F1757" s="26">
        <f t="shared" si="249"/>
        <v>0</v>
      </c>
      <c r="G1757" s="26">
        <f>IF(ISNA(MATCH(A1757,祝日定義!E:E,0)),0,1)</f>
        <v>0</v>
      </c>
      <c r="H1757" s="26">
        <f>IF(ISNA(MATCH(B1757&amp;"/"&amp;C1757,そのた定義!E:E,0)), 0, 1)</f>
        <v>0</v>
      </c>
      <c r="I1757" s="26" t="b">
        <f t="shared" si="250"/>
        <v>0</v>
      </c>
      <c r="J1757" s="26">
        <v>0</v>
      </c>
      <c r="K1757" s="26" t="b">
        <f t="shared" si="245"/>
        <v>0</v>
      </c>
      <c r="L1757" s="26" t="b">
        <f t="shared" si="246"/>
        <v>0</v>
      </c>
      <c r="M1757" t="b">
        <f t="shared" si="251"/>
        <v>0</v>
      </c>
      <c r="N1757" t="b">
        <f t="shared" si="252"/>
        <v>0</v>
      </c>
    </row>
    <row r="1758" spans="1:14">
      <c r="A1758" s="29">
        <v>46318</v>
      </c>
      <c r="B1758" s="30">
        <f t="shared" si="244"/>
        <v>10</v>
      </c>
      <c r="C1758" s="30">
        <f t="shared" si="247"/>
        <v>23</v>
      </c>
      <c r="D1758" s="26">
        <f>MATCH(WEEKDAY(A1758),そのた定義!A:A,0)</f>
        <v>7</v>
      </c>
      <c r="E1758" s="26" t="str">
        <f t="shared" ca="1" si="248"/>
        <v>金</v>
      </c>
      <c r="F1758" s="26">
        <f t="shared" si="249"/>
        <v>0</v>
      </c>
      <c r="G1758" s="26">
        <f>IF(ISNA(MATCH(A1758,祝日定義!E:E,0)),0,1)</f>
        <v>0</v>
      </c>
      <c r="H1758" s="26">
        <f>IF(ISNA(MATCH(B1758&amp;"/"&amp;C1758,そのた定義!E:E,0)), 0, 1)</f>
        <v>0</v>
      </c>
      <c r="I1758" s="26" t="b">
        <f t="shared" si="250"/>
        <v>0</v>
      </c>
      <c r="J1758" s="26">
        <v>0</v>
      </c>
      <c r="K1758" s="26" t="b">
        <f t="shared" si="245"/>
        <v>0</v>
      </c>
      <c r="L1758" s="26" t="b">
        <f t="shared" si="246"/>
        <v>0</v>
      </c>
      <c r="M1758" t="b">
        <f t="shared" si="251"/>
        <v>0</v>
      </c>
      <c r="N1758" t="b">
        <f t="shared" si="252"/>
        <v>0</v>
      </c>
    </row>
    <row r="1759" spans="1:14">
      <c r="A1759" s="29">
        <v>46319</v>
      </c>
      <c r="B1759" s="30">
        <f t="shared" si="244"/>
        <v>10</v>
      </c>
      <c r="C1759" s="30">
        <f t="shared" si="247"/>
        <v>24</v>
      </c>
      <c r="D1759" s="26">
        <f>MATCH(WEEKDAY(A1759),そのた定義!A:A,0)</f>
        <v>8</v>
      </c>
      <c r="E1759" s="33" t="str">
        <f t="shared" ca="1" si="248"/>
        <v>土</v>
      </c>
      <c r="F1759" s="26">
        <f t="shared" si="249"/>
        <v>1</v>
      </c>
      <c r="G1759" s="26">
        <f>IF(ISNA(MATCH(A1759,祝日定義!E:E,0)),0,1)</f>
        <v>0</v>
      </c>
      <c r="H1759" s="26">
        <f>IF(ISNA(MATCH(B1759&amp;"/"&amp;C1759,そのた定義!E:E,0)), 0, 1)</f>
        <v>0</v>
      </c>
      <c r="I1759" s="23" t="b">
        <f t="shared" si="250"/>
        <v>1</v>
      </c>
      <c r="J1759" s="26">
        <v>0</v>
      </c>
      <c r="K1759" s="26" t="b">
        <f t="shared" si="245"/>
        <v>0</v>
      </c>
      <c r="L1759" s="26" t="b">
        <f t="shared" si="246"/>
        <v>0</v>
      </c>
      <c r="M1759" t="b">
        <f t="shared" si="251"/>
        <v>0</v>
      </c>
      <c r="N1759" t="b">
        <f t="shared" si="252"/>
        <v>0</v>
      </c>
    </row>
    <row r="1760" spans="1:14">
      <c r="A1760" s="29">
        <v>46320</v>
      </c>
      <c r="B1760" s="30">
        <f t="shared" si="244"/>
        <v>10</v>
      </c>
      <c r="C1760" s="30">
        <f t="shared" si="247"/>
        <v>25</v>
      </c>
      <c r="D1760" s="26">
        <f>MATCH(WEEKDAY(A1760),そのた定義!A:A,0)</f>
        <v>2</v>
      </c>
      <c r="E1760" s="32" t="str">
        <f t="shared" ca="1" si="248"/>
        <v>日</v>
      </c>
      <c r="F1760" s="26">
        <f t="shared" si="249"/>
        <v>1</v>
      </c>
      <c r="G1760" s="26">
        <f>IF(ISNA(MATCH(A1760,祝日定義!E:E,0)),0,1)</f>
        <v>0</v>
      </c>
      <c r="H1760" s="26">
        <f>IF(ISNA(MATCH(B1760&amp;"/"&amp;C1760,そのた定義!E:E,0)), 0, 1)</f>
        <v>0</v>
      </c>
      <c r="I1760" s="23" t="b">
        <f t="shared" si="250"/>
        <v>1</v>
      </c>
      <c r="J1760" s="26">
        <v>0</v>
      </c>
      <c r="K1760" s="26" t="b">
        <f t="shared" si="245"/>
        <v>0</v>
      </c>
      <c r="L1760" s="23" t="b">
        <f t="shared" si="246"/>
        <v>1</v>
      </c>
      <c r="M1760" t="b">
        <f t="shared" si="251"/>
        <v>0</v>
      </c>
      <c r="N1760" t="b">
        <f t="shared" si="252"/>
        <v>0</v>
      </c>
    </row>
    <row r="1761" spans="1:14">
      <c r="A1761" s="29">
        <v>46321</v>
      </c>
      <c r="B1761" s="30">
        <f t="shared" si="244"/>
        <v>10</v>
      </c>
      <c r="C1761" s="30">
        <f t="shared" si="247"/>
        <v>26</v>
      </c>
      <c r="D1761" s="26">
        <f>MATCH(WEEKDAY(A1761),そのた定義!A:A,0)</f>
        <v>3</v>
      </c>
      <c r="E1761" s="26" t="str">
        <f t="shared" ca="1" si="248"/>
        <v>月</v>
      </c>
      <c r="F1761" s="26">
        <f t="shared" si="249"/>
        <v>0</v>
      </c>
      <c r="G1761" s="26">
        <f>IF(ISNA(MATCH(A1761,祝日定義!E:E,0)),0,1)</f>
        <v>0</v>
      </c>
      <c r="H1761" s="26">
        <f>IF(ISNA(MATCH(B1761&amp;"/"&amp;C1761,そのた定義!E:E,0)), 0, 1)</f>
        <v>0</v>
      </c>
      <c r="I1761" s="26" t="b">
        <f t="shared" si="250"/>
        <v>0</v>
      </c>
      <c r="J1761" s="26">
        <v>2</v>
      </c>
      <c r="K1761" s="23" t="b">
        <f t="shared" si="245"/>
        <v>1</v>
      </c>
      <c r="L1761" s="26" t="b">
        <f t="shared" si="246"/>
        <v>0</v>
      </c>
      <c r="M1761" t="b">
        <f t="shared" si="251"/>
        <v>0</v>
      </c>
      <c r="N1761" t="b">
        <f t="shared" si="252"/>
        <v>0</v>
      </c>
    </row>
    <row r="1762" spans="1:14">
      <c r="A1762" s="29">
        <v>46322</v>
      </c>
      <c r="B1762" s="30">
        <f t="shared" si="244"/>
        <v>10</v>
      </c>
      <c r="C1762" s="30">
        <f t="shared" si="247"/>
        <v>27</v>
      </c>
      <c r="D1762" s="26">
        <f>MATCH(WEEKDAY(A1762),そのた定義!A:A,0)</f>
        <v>4</v>
      </c>
      <c r="E1762" s="26" t="str">
        <f t="shared" ca="1" si="248"/>
        <v>火</v>
      </c>
      <c r="F1762" s="26">
        <f t="shared" si="249"/>
        <v>0</v>
      </c>
      <c r="G1762" s="26">
        <f>IF(ISNA(MATCH(A1762,祝日定義!E:E,0)),0,1)</f>
        <v>0</v>
      </c>
      <c r="H1762" s="26">
        <f>IF(ISNA(MATCH(B1762&amp;"/"&amp;C1762,そのた定義!E:E,0)), 0, 1)</f>
        <v>0</v>
      </c>
      <c r="I1762" s="26" t="b">
        <f t="shared" si="250"/>
        <v>0</v>
      </c>
      <c r="J1762" s="26">
        <v>0</v>
      </c>
      <c r="K1762" s="26" t="b">
        <f t="shared" si="245"/>
        <v>0</v>
      </c>
      <c r="L1762" s="26" t="b">
        <f t="shared" si="246"/>
        <v>0</v>
      </c>
      <c r="M1762" t="b">
        <f t="shared" si="251"/>
        <v>0</v>
      </c>
      <c r="N1762" t="b">
        <f t="shared" si="252"/>
        <v>0</v>
      </c>
    </row>
    <row r="1763" spans="1:14">
      <c r="A1763" s="29">
        <v>46323</v>
      </c>
      <c r="B1763" s="30">
        <f t="shared" si="244"/>
        <v>10</v>
      </c>
      <c r="C1763" s="30">
        <f t="shared" si="247"/>
        <v>28</v>
      </c>
      <c r="D1763" s="26">
        <f>MATCH(WEEKDAY(A1763),そのた定義!A:A,0)</f>
        <v>5</v>
      </c>
      <c r="E1763" s="26" t="str">
        <f t="shared" ca="1" si="248"/>
        <v>水</v>
      </c>
      <c r="F1763" s="26">
        <f t="shared" si="249"/>
        <v>0</v>
      </c>
      <c r="G1763" s="26">
        <f>IF(ISNA(MATCH(A1763,祝日定義!E:E,0)),0,1)</f>
        <v>0</v>
      </c>
      <c r="H1763" s="26">
        <f>IF(ISNA(MATCH(B1763&amp;"/"&amp;C1763,そのた定義!E:E,0)), 0, 1)</f>
        <v>0</v>
      </c>
      <c r="I1763" s="26" t="b">
        <f t="shared" si="250"/>
        <v>0</v>
      </c>
      <c r="J1763" s="26">
        <v>0</v>
      </c>
      <c r="K1763" s="26" t="b">
        <f t="shared" si="245"/>
        <v>0</v>
      </c>
      <c r="L1763" s="26" t="b">
        <f t="shared" si="246"/>
        <v>0</v>
      </c>
      <c r="M1763" t="b">
        <f t="shared" si="251"/>
        <v>0</v>
      </c>
      <c r="N1763" t="b">
        <f t="shared" si="252"/>
        <v>0</v>
      </c>
    </row>
    <row r="1764" spans="1:14">
      <c r="A1764" s="29">
        <v>46324</v>
      </c>
      <c r="B1764" s="30">
        <f t="shared" si="244"/>
        <v>10</v>
      </c>
      <c r="C1764" s="30">
        <f t="shared" si="247"/>
        <v>29</v>
      </c>
      <c r="D1764" s="26">
        <f>MATCH(WEEKDAY(A1764),そのた定義!A:A,0)</f>
        <v>6</v>
      </c>
      <c r="E1764" s="26" t="str">
        <f t="shared" ca="1" si="248"/>
        <v>木</v>
      </c>
      <c r="F1764" s="26">
        <f t="shared" si="249"/>
        <v>0</v>
      </c>
      <c r="G1764" s="26">
        <f>IF(ISNA(MATCH(A1764,祝日定義!E:E,0)),0,1)</f>
        <v>0</v>
      </c>
      <c r="H1764" s="26">
        <f>IF(ISNA(MATCH(B1764&amp;"/"&amp;C1764,そのた定義!E:E,0)), 0, 1)</f>
        <v>0</v>
      </c>
      <c r="I1764" s="26" t="b">
        <f t="shared" si="250"/>
        <v>0</v>
      </c>
      <c r="J1764" s="26">
        <v>0</v>
      </c>
      <c r="K1764" s="26" t="b">
        <f t="shared" si="245"/>
        <v>0</v>
      </c>
      <c r="L1764" s="26" t="b">
        <f t="shared" si="246"/>
        <v>0</v>
      </c>
      <c r="M1764" t="b">
        <f t="shared" si="251"/>
        <v>0</v>
      </c>
      <c r="N1764" t="b">
        <f t="shared" si="252"/>
        <v>0</v>
      </c>
    </row>
    <row r="1765" spans="1:14">
      <c r="A1765" s="29">
        <v>46325</v>
      </c>
      <c r="B1765" s="30">
        <f t="shared" si="244"/>
        <v>10</v>
      </c>
      <c r="C1765" s="30">
        <f t="shared" si="247"/>
        <v>30</v>
      </c>
      <c r="D1765" s="26">
        <f>MATCH(WEEKDAY(A1765),そのた定義!A:A,0)</f>
        <v>7</v>
      </c>
      <c r="E1765" s="26" t="str">
        <f t="shared" ca="1" si="248"/>
        <v>金</v>
      </c>
      <c r="F1765" s="26">
        <f t="shared" si="249"/>
        <v>0</v>
      </c>
      <c r="G1765" s="26">
        <f>IF(ISNA(MATCH(A1765,祝日定義!E:E,0)),0,1)</f>
        <v>0</v>
      </c>
      <c r="H1765" s="26">
        <f>IF(ISNA(MATCH(B1765&amp;"/"&amp;C1765,そのた定義!E:E,0)), 0, 1)</f>
        <v>0</v>
      </c>
      <c r="I1765" s="26" t="b">
        <f t="shared" si="250"/>
        <v>0</v>
      </c>
      <c r="J1765" s="26">
        <v>0</v>
      </c>
      <c r="K1765" s="26" t="b">
        <f t="shared" si="245"/>
        <v>0</v>
      </c>
      <c r="L1765" s="26" t="b">
        <f t="shared" si="246"/>
        <v>0</v>
      </c>
      <c r="M1765" t="b">
        <f t="shared" si="251"/>
        <v>0</v>
      </c>
      <c r="N1765" t="b">
        <f t="shared" si="252"/>
        <v>0</v>
      </c>
    </row>
    <row r="1766" spans="1:14">
      <c r="A1766" s="29">
        <v>46326</v>
      </c>
      <c r="B1766" s="30">
        <f t="shared" si="244"/>
        <v>10</v>
      </c>
      <c r="C1766" s="30">
        <f t="shared" si="247"/>
        <v>31</v>
      </c>
      <c r="D1766" s="26">
        <f>MATCH(WEEKDAY(A1766),そのた定義!A:A,0)</f>
        <v>8</v>
      </c>
      <c r="E1766" s="33" t="str">
        <f t="shared" ca="1" si="248"/>
        <v>土</v>
      </c>
      <c r="F1766" s="26">
        <f t="shared" si="249"/>
        <v>1</v>
      </c>
      <c r="G1766" s="26">
        <f>IF(ISNA(MATCH(A1766,祝日定義!E:E,0)),0,1)</f>
        <v>0</v>
      </c>
      <c r="H1766" s="26">
        <f>IF(ISNA(MATCH(B1766&amp;"/"&amp;C1766,そのた定義!E:E,0)), 0, 1)</f>
        <v>0</v>
      </c>
      <c r="I1766" s="23" t="b">
        <f t="shared" si="250"/>
        <v>1</v>
      </c>
      <c r="J1766" s="26">
        <v>0</v>
      </c>
      <c r="K1766" s="26" t="b">
        <f t="shared" si="245"/>
        <v>0</v>
      </c>
      <c r="L1766" s="26" t="b">
        <f t="shared" si="246"/>
        <v>0</v>
      </c>
      <c r="M1766" t="b">
        <f t="shared" si="251"/>
        <v>0</v>
      </c>
      <c r="N1766" t="b">
        <f t="shared" si="252"/>
        <v>1</v>
      </c>
    </row>
    <row r="1767" spans="1:14">
      <c r="A1767" s="29">
        <v>46327</v>
      </c>
      <c r="B1767" s="30">
        <f t="shared" si="244"/>
        <v>11</v>
      </c>
      <c r="C1767" s="30">
        <f t="shared" si="247"/>
        <v>1</v>
      </c>
      <c r="D1767" s="26">
        <f>MATCH(WEEKDAY(A1767),そのた定義!A:A,0)</f>
        <v>2</v>
      </c>
      <c r="E1767" s="32" t="str">
        <f t="shared" ca="1" si="248"/>
        <v>日</v>
      </c>
      <c r="F1767" s="26">
        <f t="shared" si="249"/>
        <v>1</v>
      </c>
      <c r="G1767" s="26">
        <f>IF(ISNA(MATCH(A1767,祝日定義!E:E,0)),0,1)</f>
        <v>0</v>
      </c>
      <c r="H1767" s="26">
        <f>IF(ISNA(MATCH(B1767&amp;"/"&amp;C1767,そのた定義!E:E,0)), 0, 1)</f>
        <v>0</v>
      </c>
      <c r="I1767" s="23" t="b">
        <f t="shared" si="250"/>
        <v>1</v>
      </c>
      <c r="J1767" s="26">
        <v>0</v>
      </c>
      <c r="K1767" s="26" t="b">
        <f t="shared" si="245"/>
        <v>0</v>
      </c>
      <c r="L1767" s="26" t="b">
        <f t="shared" si="246"/>
        <v>0</v>
      </c>
      <c r="M1767" t="b">
        <f t="shared" si="251"/>
        <v>0</v>
      </c>
      <c r="N1767" t="b">
        <f t="shared" si="252"/>
        <v>0</v>
      </c>
    </row>
    <row r="1768" spans="1:14">
      <c r="A1768" s="29">
        <v>46328</v>
      </c>
      <c r="B1768" s="30">
        <f t="shared" si="244"/>
        <v>11</v>
      </c>
      <c r="C1768" s="30">
        <f t="shared" si="247"/>
        <v>2</v>
      </c>
      <c r="D1768" s="26">
        <f>MATCH(WEEKDAY(A1768),そのた定義!A:A,0)</f>
        <v>3</v>
      </c>
      <c r="E1768" s="26" t="str">
        <f t="shared" ca="1" si="248"/>
        <v>月</v>
      </c>
      <c r="F1768" s="26">
        <f t="shared" si="249"/>
        <v>0</v>
      </c>
      <c r="G1768" s="26">
        <f>IF(ISNA(MATCH(A1768,祝日定義!E:E,0)),0,1)</f>
        <v>0</v>
      </c>
      <c r="H1768" s="26">
        <f>IF(ISNA(MATCH(B1768&amp;"/"&amp;C1768,そのた定義!E:E,0)), 0, 1)</f>
        <v>0</v>
      </c>
      <c r="I1768" s="26" t="b">
        <f t="shared" si="250"/>
        <v>0</v>
      </c>
      <c r="J1768" s="26">
        <v>2</v>
      </c>
      <c r="K1768" s="26" t="b">
        <f t="shared" si="245"/>
        <v>0</v>
      </c>
      <c r="L1768" s="26" t="b">
        <f t="shared" si="246"/>
        <v>0</v>
      </c>
      <c r="M1768" t="b">
        <f t="shared" si="251"/>
        <v>1</v>
      </c>
      <c r="N1768" t="b">
        <f t="shared" si="252"/>
        <v>0</v>
      </c>
    </row>
    <row r="1769" spans="1:14">
      <c r="A1769" s="29">
        <v>46329</v>
      </c>
      <c r="B1769" s="30">
        <f t="shared" si="244"/>
        <v>11</v>
      </c>
      <c r="C1769" s="30">
        <f t="shared" si="247"/>
        <v>3</v>
      </c>
      <c r="D1769" s="26">
        <f>MATCH(WEEKDAY(A1769),そのた定義!A:A,0)</f>
        <v>4</v>
      </c>
      <c r="E1769" s="31" t="str">
        <f t="shared" ca="1" si="248"/>
        <v>火</v>
      </c>
      <c r="F1769" s="26">
        <f t="shared" si="249"/>
        <v>0</v>
      </c>
      <c r="G1769" s="26">
        <f>IF(ISNA(MATCH(A1769,祝日定義!E:E,0)),0,1)</f>
        <v>1</v>
      </c>
      <c r="H1769" s="26">
        <f>IF(ISNA(MATCH(B1769&amp;"/"&amp;C1769,そのた定義!E:E,0)), 0, 1)</f>
        <v>0</v>
      </c>
      <c r="I1769" s="23" t="b">
        <f t="shared" si="250"/>
        <v>1</v>
      </c>
      <c r="J1769" s="26">
        <v>0</v>
      </c>
      <c r="K1769" s="26" t="b">
        <f t="shared" si="245"/>
        <v>0</v>
      </c>
      <c r="L1769" s="26" t="b">
        <f t="shared" si="246"/>
        <v>0</v>
      </c>
      <c r="M1769" t="b">
        <f t="shared" si="251"/>
        <v>0</v>
      </c>
      <c r="N1769" t="b">
        <f t="shared" si="252"/>
        <v>0</v>
      </c>
    </row>
    <row r="1770" spans="1:14">
      <c r="A1770" s="29">
        <v>46330</v>
      </c>
      <c r="B1770" s="30">
        <f t="shared" si="244"/>
        <v>11</v>
      </c>
      <c r="C1770" s="30">
        <f t="shared" si="247"/>
        <v>4</v>
      </c>
      <c r="D1770" s="26">
        <f>MATCH(WEEKDAY(A1770),そのた定義!A:A,0)</f>
        <v>5</v>
      </c>
      <c r="E1770" s="26" t="str">
        <f t="shared" ca="1" si="248"/>
        <v>水</v>
      </c>
      <c r="F1770" s="26">
        <f t="shared" si="249"/>
        <v>0</v>
      </c>
      <c r="G1770" s="26">
        <f>IF(ISNA(MATCH(A1770,祝日定義!E:E,0)),0,1)</f>
        <v>0</v>
      </c>
      <c r="H1770" s="26">
        <f>IF(ISNA(MATCH(B1770&amp;"/"&amp;C1770,そのた定義!E:E,0)), 0, 1)</f>
        <v>0</v>
      </c>
      <c r="I1770" s="26" t="b">
        <f t="shared" si="250"/>
        <v>0</v>
      </c>
      <c r="J1770" s="26">
        <v>1</v>
      </c>
      <c r="K1770" s="26" t="b">
        <f t="shared" si="245"/>
        <v>0</v>
      </c>
      <c r="L1770" s="26" t="b">
        <f t="shared" si="246"/>
        <v>0</v>
      </c>
      <c r="M1770" t="b">
        <f t="shared" si="251"/>
        <v>0</v>
      </c>
      <c r="N1770" t="b">
        <f t="shared" si="252"/>
        <v>0</v>
      </c>
    </row>
    <row r="1771" spans="1:14">
      <c r="A1771" s="29">
        <v>46331</v>
      </c>
      <c r="B1771" s="30">
        <f t="shared" si="244"/>
        <v>11</v>
      </c>
      <c r="C1771" s="30">
        <f t="shared" si="247"/>
        <v>5</v>
      </c>
      <c r="D1771" s="26">
        <f>MATCH(WEEKDAY(A1771),そのた定義!A:A,0)</f>
        <v>6</v>
      </c>
      <c r="E1771" s="26" t="str">
        <f t="shared" ca="1" si="248"/>
        <v>木</v>
      </c>
      <c r="F1771" s="26">
        <f t="shared" si="249"/>
        <v>0</v>
      </c>
      <c r="G1771" s="26">
        <f>IF(ISNA(MATCH(A1771,祝日定義!E:E,0)),0,1)</f>
        <v>0</v>
      </c>
      <c r="H1771" s="26">
        <f>IF(ISNA(MATCH(B1771&amp;"/"&amp;C1771,そのた定義!E:E,0)), 0, 1)</f>
        <v>0</v>
      </c>
      <c r="I1771" s="26" t="b">
        <f t="shared" si="250"/>
        <v>0</v>
      </c>
      <c r="J1771" s="26">
        <v>0</v>
      </c>
      <c r="K1771" s="26" t="b">
        <f t="shared" si="245"/>
        <v>0</v>
      </c>
      <c r="L1771" s="26" t="b">
        <f t="shared" si="246"/>
        <v>0</v>
      </c>
      <c r="M1771" t="b">
        <f t="shared" si="251"/>
        <v>0</v>
      </c>
      <c r="N1771" t="b">
        <f t="shared" si="252"/>
        <v>0</v>
      </c>
    </row>
    <row r="1772" spans="1:14">
      <c r="A1772" s="29">
        <v>46332</v>
      </c>
      <c r="B1772" s="30">
        <f t="shared" si="244"/>
        <v>11</v>
      </c>
      <c r="C1772" s="30">
        <f t="shared" si="247"/>
        <v>6</v>
      </c>
      <c r="D1772" s="26">
        <f>MATCH(WEEKDAY(A1772),そのた定義!A:A,0)</f>
        <v>7</v>
      </c>
      <c r="E1772" s="26" t="str">
        <f t="shared" ca="1" si="248"/>
        <v>金</v>
      </c>
      <c r="F1772" s="26">
        <f t="shared" si="249"/>
        <v>0</v>
      </c>
      <c r="G1772" s="26">
        <f>IF(ISNA(MATCH(A1772,祝日定義!E:E,0)),0,1)</f>
        <v>0</v>
      </c>
      <c r="H1772" s="26">
        <f>IF(ISNA(MATCH(B1772&amp;"/"&amp;C1772,そのた定義!E:E,0)), 0, 1)</f>
        <v>0</v>
      </c>
      <c r="I1772" s="26" t="b">
        <f t="shared" si="250"/>
        <v>0</v>
      </c>
      <c r="J1772" s="26">
        <v>0</v>
      </c>
      <c r="K1772" s="26" t="b">
        <f t="shared" si="245"/>
        <v>0</v>
      </c>
      <c r="L1772" s="26" t="b">
        <f t="shared" si="246"/>
        <v>0</v>
      </c>
      <c r="M1772" t="b">
        <f t="shared" si="251"/>
        <v>0</v>
      </c>
      <c r="N1772" t="b">
        <f t="shared" si="252"/>
        <v>0</v>
      </c>
    </row>
    <row r="1773" spans="1:14">
      <c r="A1773" s="29">
        <v>46333</v>
      </c>
      <c r="B1773" s="30">
        <f t="shared" si="244"/>
        <v>11</v>
      </c>
      <c r="C1773" s="30">
        <f t="shared" si="247"/>
        <v>7</v>
      </c>
      <c r="D1773" s="26">
        <f>MATCH(WEEKDAY(A1773),そのた定義!A:A,0)</f>
        <v>8</v>
      </c>
      <c r="E1773" s="33" t="str">
        <f t="shared" ca="1" si="248"/>
        <v>土</v>
      </c>
      <c r="F1773" s="26">
        <f t="shared" si="249"/>
        <v>1</v>
      </c>
      <c r="G1773" s="26">
        <f>IF(ISNA(MATCH(A1773,祝日定義!E:E,0)),0,1)</f>
        <v>0</v>
      </c>
      <c r="H1773" s="26">
        <f>IF(ISNA(MATCH(B1773&amp;"/"&amp;C1773,そのた定義!E:E,0)), 0, 1)</f>
        <v>0</v>
      </c>
      <c r="I1773" s="23" t="b">
        <f t="shared" si="250"/>
        <v>1</v>
      </c>
      <c r="J1773" s="26">
        <v>0</v>
      </c>
      <c r="K1773" s="26" t="b">
        <f t="shared" si="245"/>
        <v>0</v>
      </c>
      <c r="L1773" s="26" t="b">
        <f t="shared" si="246"/>
        <v>0</v>
      </c>
      <c r="M1773" t="b">
        <f t="shared" si="251"/>
        <v>0</v>
      </c>
      <c r="N1773" t="b">
        <f t="shared" si="252"/>
        <v>0</v>
      </c>
    </row>
    <row r="1774" spans="1:14">
      <c r="A1774" s="29">
        <v>46334</v>
      </c>
      <c r="B1774" s="30">
        <f t="shared" si="244"/>
        <v>11</v>
      </c>
      <c r="C1774" s="30">
        <f t="shared" si="247"/>
        <v>8</v>
      </c>
      <c r="D1774" s="26">
        <f>MATCH(WEEKDAY(A1774),そのた定義!A:A,0)</f>
        <v>2</v>
      </c>
      <c r="E1774" s="32" t="str">
        <f t="shared" ca="1" si="248"/>
        <v>日</v>
      </c>
      <c r="F1774" s="26">
        <f t="shared" si="249"/>
        <v>1</v>
      </c>
      <c r="G1774" s="26">
        <f>IF(ISNA(MATCH(A1774,祝日定義!E:E,0)),0,1)</f>
        <v>0</v>
      </c>
      <c r="H1774" s="26">
        <f>IF(ISNA(MATCH(B1774&amp;"/"&amp;C1774,そのた定義!E:E,0)), 0, 1)</f>
        <v>0</v>
      </c>
      <c r="I1774" s="23" t="b">
        <f t="shared" si="250"/>
        <v>1</v>
      </c>
      <c r="J1774" s="26">
        <v>0</v>
      </c>
      <c r="K1774" s="26" t="b">
        <f t="shared" si="245"/>
        <v>0</v>
      </c>
      <c r="L1774" s="26" t="b">
        <f t="shared" si="246"/>
        <v>0</v>
      </c>
      <c r="M1774" t="b">
        <f t="shared" si="251"/>
        <v>0</v>
      </c>
      <c r="N1774" t="b">
        <f t="shared" si="252"/>
        <v>0</v>
      </c>
    </row>
    <row r="1775" spans="1:14">
      <c r="A1775" s="29">
        <v>46335</v>
      </c>
      <c r="B1775" s="30">
        <f t="shared" si="244"/>
        <v>11</v>
      </c>
      <c r="C1775" s="30">
        <f t="shared" si="247"/>
        <v>9</v>
      </c>
      <c r="D1775" s="26">
        <f>MATCH(WEEKDAY(A1775),そのた定義!A:A,0)</f>
        <v>3</v>
      </c>
      <c r="E1775" s="26" t="str">
        <f t="shared" ca="1" si="248"/>
        <v>月</v>
      </c>
      <c r="F1775" s="26">
        <f t="shared" si="249"/>
        <v>0</v>
      </c>
      <c r="G1775" s="26">
        <f>IF(ISNA(MATCH(A1775,祝日定義!E:E,0)),0,1)</f>
        <v>0</v>
      </c>
      <c r="H1775" s="26">
        <f>IF(ISNA(MATCH(B1775&amp;"/"&amp;C1775,そのた定義!E:E,0)), 0, 1)</f>
        <v>0</v>
      </c>
      <c r="I1775" s="26" t="b">
        <f t="shared" si="250"/>
        <v>0</v>
      </c>
      <c r="J1775" s="26">
        <v>2</v>
      </c>
      <c r="K1775" s="26" t="b">
        <f t="shared" si="245"/>
        <v>0</v>
      </c>
      <c r="L1775" s="26" t="b">
        <f t="shared" si="246"/>
        <v>0</v>
      </c>
      <c r="M1775" t="b">
        <f t="shared" si="251"/>
        <v>0</v>
      </c>
      <c r="N1775" t="b">
        <f t="shared" si="252"/>
        <v>0</v>
      </c>
    </row>
    <row r="1776" spans="1:14">
      <c r="A1776" s="29">
        <v>46336</v>
      </c>
      <c r="B1776" s="30">
        <f t="shared" si="244"/>
        <v>11</v>
      </c>
      <c r="C1776" s="30">
        <f t="shared" si="247"/>
        <v>10</v>
      </c>
      <c r="D1776" s="26">
        <f>MATCH(WEEKDAY(A1776),そのた定義!A:A,0)</f>
        <v>4</v>
      </c>
      <c r="E1776" s="26" t="str">
        <f t="shared" ca="1" si="248"/>
        <v>火</v>
      </c>
      <c r="F1776" s="26">
        <f t="shared" si="249"/>
        <v>0</v>
      </c>
      <c r="G1776" s="26">
        <f>IF(ISNA(MATCH(A1776,祝日定義!E:E,0)),0,1)</f>
        <v>0</v>
      </c>
      <c r="H1776" s="26">
        <f>IF(ISNA(MATCH(B1776&amp;"/"&amp;C1776,そのた定義!E:E,0)), 0, 1)</f>
        <v>0</v>
      </c>
      <c r="I1776" s="26" t="b">
        <f t="shared" si="250"/>
        <v>0</v>
      </c>
      <c r="J1776" s="26">
        <v>0</v>
      </c>
      <c r="K1776" s="26" t="b">
        <f t="shared" si="245"/>
        <v>0</v>
      </c>
      <c r="L1776" s="26" t="b">
        <f t="shared" si="246"/>
        <v>0</v>
      </c>
      <c r="M1776" t="b">
        <f t="shared" si="251"/>
        <v>0</v>
      </c>
      <c r="N1776" t="b">
        <f t="shared" si="252"/>
        <v>0</v>
      </c>
    </row>
    <row r="1777" spans="1:14">
      <c r="A1777" s="29">
        <v>46337</v>
      </c>
      <c r="B1777" s="30">
        <f t="shared" si="244"/>
        <v>11</v>
      </c>
      <c r="C1777" s="30">
        <f t="shared" si="247"/>
        <v>11</v>
      </c>
      <c r="D1777" s="26">
        <f>MATCH(WEEKDAY(A1777),そのた定義!A:A,0)</f>
        <v>5</v>
      </c>
      <c r="E1777" s="26" t="str">
        <f t="shared" ca="1" si="248"/>
        <v>水</v>
      </c>
      <c r="F1777" s="26">
        <f t="shared" si="249"/>
        <v>0</v>
      </c>
      <c r="G1777" s="26">
        <f>IF(ISNA(MATCH(A1777,祝日定義!E:E,0)),0,1)</f>
        <v>0</v>
      </c>
      <c r="H1777" s="26">
        <f>IF(ISNA(MATCH(B1777&amp;"/"&amp;C1777,そのた定義!E:E,0)), 0, 1)</f>
        <v>0</v>
      </c>
      <c r="I1777" s="26" t="b">
        <f t="shared" si="250"/>
        <v>0</v>
      </c>
      <c r="J1777" s="26">
        <v>0</v>
      </c>
      <c r="K1777" s="26" t="b">
        <f t="shared" si="245"/>
        <v>0</v>
      </c>
      <c r="L1777" s="26" t="b">
        <f t="shared" si="246"/>
        <v>0</v>
      </c>
      <c r="M1777" t="b">
        <f t="shared" si="251"/>
        <v>0</v>
      </c>
      <c r="N1777" t="b">
        <f t="shared" si="252"/>
        <v>0</v>
      </c>
    </row>
    <row r="1778" spans="1:14">
      <c r="A1778" s="29">
        <v>46338</v>
      </c>
      <c r="B1778" s="30">
        <f t="shared" si="244"/>
        <v>11</v>
      </c>
      <c r="C1778" s="30">
        <f t="shared" si="247"/>
        <v>12</v>
      </c>
      <c r="D1778" s="26">
        <f>MATCH(WEEKDAY(A1778),そのた定義!A:A,0)</f>
        <v>6</v>
      </c>
      <c r="E1778" s="26" t="str">
        <f t="shared" ca="1" si="248"/>
        <v>木</v>
      </c>
      <c r="F1778" s="26">
        <f t="shared" si="249"/>
        <v>0</v>
      </c>
      <c r="G1778" s="26">
        <f>IF(ISNA(MATCH(A1778,祝日定義!E:E,0)),0,1)</f>
        <v>0</v>
      </c>
      <c r="H1778" s="26">
        <f>IF(ISNA(MATCH(B1778&amp;"/"&amp;C1778,そのた定義!E:E,0)), 0, 1)</f>
        <v>0</v>
      </c>
      <c r="I1778" s="26" t="b">
        <f t="shared" si="250"/>
        <v>0</v>
      </c>
      <c r="J1778" s="26">
        <v>0</v>
      </c>
      <c r="K1778" s="26" t="b">
        <f t="shared" si="245"/>
        <v>0</v>
      </c>
      <c r="L1778" s="26" t="b">
        <f t="shared" si="246"/>
        <v>0</v>
      </c>
      <c r="M1778" t="b">
        <f t="shared" si="251"/>
        <v>0</v>
      </c>
      <c r="N1778" t="b">
        <f t="shared" si="252"/>
        <v>0</v>
      </c>
    </row>
    <row r="1779" spans="1:14">
      <c r="A1779" s="29">
        <v>46339</v>
      </c>
      <c r="B1779" s="30">
        <f t="shared" si="244"/>
        <v>11</v>
      </c>
      <c r="C1779" s="30">
        <f t="shared" si="247"/>
        <v>13</v>
      </c>
      <c r="D1779" s="26">
        <f>MATCH(WEEKDAY(A1779),そのた定義!A:A,0)</f>
        <v>7</v>
      </c>
      <c r="E1779" s="26" t="str">
        <f t="shared" ca="1" si="248"/>
        <v>金</v>
      </c>
      <c r="F1779" s="26">
        <f t="shared" si="249"/>
        <v>0</v>
      </c>
      <c r="G1779" s="26">
        <f>IF(ISNA(MATCH(A1779,祝日定義!E:E,0)),0,1)</f>
        <v>0</v>
      </c>
      <c r="H1779" s="26">
        <f>IF(ISNA(MATCH(B1779&amp;"/"&amp;C1779,そのた定義!E:E,0)), 0, 1)</f>
        <v>0</v>
      </c>
      <c r="I1779" s="26" t="b">
        <f t="shared" si="250"/>
        <v>0</v>
      </c>
      <c r="J1779" s="26">
        <v>0</v>
      </c>
      <c r="K1779" s="26" t="b">
        <f t="shared" si="245"/>
        <v>0</v>
      </c>
      <c r="L1779" s="26" t="b">
        <f t="shared" si="246"/>
        <v>0</v>
      </c>
      <c r="M1779" t="b">
        <f t="shared" si="251"/>
        <v>0</v>
      </c>
      <c r="N1779" t="b">
        <f t="shared" si="252"/>
        <v>0</v>
      </c>
    </row>
    <row r="1780" spans="1:14">
      <c r="A1780" s="29">
        <v>46340</v>
      </c>
      <c r="B1780" s="30">
        <f t="shared" si="244"/>
        <v>11</v>
      </c>
      <c r="C1780" s="30">
        <f t="shared" si="247"/>
        <v>14</v>
      </c>
      <c r="D1780" s="26">
        <f>MATCH(WEEKDAY(A1780),そのた定義!A:A,0)</f>
        <v>8</v>
      </c>
      <c r="E1780" s="33" t="str">
        <f t="shared" ca="1" si="248"/>
        <v>土</v>
      </c>
      <c r="F1780" s="26">
        <f t="shared" si="249"/>
        <v>1</v>
      </c>
      <c r="G1780" s="26">
        <f>IF(ISNA(MATCH(A1780,祝日定義!E:E,0)),0,1)</f>
        <v>0</v>
      </c>
      <c r="H1780" s="26">
        <f>IF(ISNA(MATCH(B1780&amp;"/"&amp;C1780,そのた定義!E:E,0)), 0, 1)</f>
        <v>0</v>
      </c>
      <c r="I1780" s="23" t="b">
        <f t="shared" si="250"/>
        <v>1</v>
      </c>
      <c r="J1780" s="26">
        <v>0</v>
      </c>
      <c r="K1780" s="26" t="b">
        <f t="shared" si="245"/>
        <v>0</v>
      </c>
      <c r="L1780" s="26" t="b">
        <f t="shared" si="246"/>
        <v>0</v>
      </c>
      <c r="M1780" t="b">
        <f t="shared" si="251"/>
        <v>0</v>
      </c>
      <c r="N1780" t="b">
        <f t="shared" si="252"/>
        <v>0</v>
      </c>
    </row>
    <row r="1781" spans="1:14">
      <c r="A1781" s="29">
        <v>46341</v>
      </c>
      <c r="B1781" s="30">
        <f t="shared" si="244"/>
        <v>11</v>
      </c>
      <c r="C1781" s="30">
        <f t="shared" si="247"/>
        <v>15</v>
      </c>
      <c r="D1781" s="26">
        <f>MATCH(WEEKDAY(A1781),そのた定義!A:A,0)</f>
        <v>2</v>
      </c>
      <c r="E1781" s="32" t="str">
        <f t="shared" ca="1" si="248"/>
        <v>日</v>
      </c>
      <c r="F1781" s="26">
        <f t="shared" si="249"/>
        <v>1</v>
      </c>
      <c r="G1781" s="26">
        <f>IF(ISNA(MATCH(A1781,祝日定義!E:E,0)),0,1)</f>
        <v>0</v>
      </c>
      <c r="H1781" s="26">
        <f>IF(ISNA(MATCH(B1781&amp;"/"&amp;C1781,そのた定義!E:E,0)), 0, 1)</f>
        <v>0</v>
      </c>
      <c r="I1781" s="23" t="b">
        <f t="shared" si="250"/>
        <v>1</v>
      </c>
      <c r="J1781" s="26">
        <v>0</v>
      </c>
      <c r="K1781" s="26" t="b">
        <f t="shared" si="245"/>
        <v>0</v>
      </c>
      <c r="L1781" s="26" t="b">
        <f t="shared" si="246"/>
        <v>0</v>
      </c>
      <c r="M1781" t="b">
        <f t="shared" si="251"/>
        <v>0</v>
      </c>
      <c r="N1781" t="b">
        <f t="shared" si="252"/>
        <v>0</v>
      </c>
    </row>
    <row r="1782" spans="1:14">
      <c r="A1782" s="29">
        <v>46342</v>
      </c>
      <c r="B1782" s="30">
        <f t="shared" si="244"/>
        <v>11</v>
      </c>
      <c r="C1782" s="30">
        <f t="shared" si="247"/>
        <v>16</v>
      </c>
      <c r="D1782" s="26">
        <f>MATCH(WEEKDAY(A1782),そのた定義!A:A,0)</f>
        <v>3</v>
      </c>
      <c r="E1782" s="26" t="str">
        <f t="shared" ca="1" si="248"/>
        <v>月</v>
      </c>
      <c r="F1782" s="26">
        <f t="shared" si="249"/>
        <v>0</v>
      </c>
      <c r="G1782" s="26">
        <f>IF(ISNA(MATCH(A1782,祝日定義!E:E,0)),0,1)</f>
        <v>0</v>
      </c>
      <c r="H1782" s="26">
        <f>IF(ISNA(MATCH(B1782&amp;"/"&amp;C1782,そのた定義!E:E,0)), 0, 1)</f>
        <v>0</v>
      </c>
      <c r="I1782" s="26" t="b">
        <f t="shared" si="250"/>
        <v>0</v>
      </c>
      <c r="J1782" s="26">
        <v>2</v>
      </c>
      <c r="K1782" s="26" t="b">
        <f t="shared" si="245"/>
        <v>0</v>
      </c>
      <c r="L1782" s="26" t="b">
        <f t="shared" si="246"/>
        <v>0</v>
      </c>
      <c r="M1782" t="b">
        <f t="shared" si="251"/>
        <v>0</v>
      </c>
      <c r="N1782" t="b">
        <f t="shared" si="252"/>
        <v>0</v>
      </c>
    </row>
    <row r="1783" spans="1:14">
      <c r="A1783" s="29">
        <v>46343</v>
      </c>
      <c r="B1783" s="30">
        <f t="shared" si="244"/>
        <v>11</v>
      </c>
      <c r="C1783" s="30">
        <f t="shared" si="247"/>
        <v>17</v>
      </c>
      <c r="D1783" s="26">
        <f>MATCH(WEEKDAY(A1783),そのた定義!A:A,0)</f>
        <v>4</v>
      </c>
      <c r="E1783" s="26" t="str">
        <f t="shared" ca="1" si="248"/>
        <v>火</v>
      </c>
      <c r="F1783" s="26">
        <f t="shared" si="249"/>
        <v>0</v>
      </c>
      <c r="G1783" s="26">
        <f>IF(ISNA(MATCH(A1783,祝日定義!E:E,0)),0,1)</f>
        <v>0</v>
      </c>
      <c r="H1783" s="26">
        <f>IF(ISNA(MATCH(B1783&amp;"/"&amp;C1783,そのた定義!E:E,0)), 0, 1)</f>
        <v>0</v>
      </c>
      <c r="I1783" s="26" t="b">
        <f t="shared" si="250"/>
        <v>0</v>
      </c>
      <c r="J1783" s="26">
        <v>0</v>
      </c>
      <c r="K1783" s="26" t="b">
        <f t="shared" si="245"/>
        <v>0</v>
      </c>
      <c r="L1783" s="26" t="b">
        <f t="shared" si="246"/>
        <v>0</v>
      </c>
      <c r="M1783" t="b">
        <f t="shared" si="251"/>
        <v>0</v>
      </c>
      <c r="N1783" t="b">
        <f t="shared" si="252"/>
        <v>0</v>
      </c>
    </row>
    <row r="1784" spans="1:14">
      <c r="A1784" s="29">
        <v>46344</v>
      </c>
      <c r="B1784" s="30">
        <f t="shared" si="244"/>
        <v>11</v>
      </c>
      <c r="C1784" s="30">
        <f t="shared" si="247"/>
        <v>18</v>
      </c>
      <c r="D1784" s="26">
        <f>MATCH(WEEKDAY(A1784),そのた定義!A:A,0)</f>
        <v>5</v>
      </c>
      <c r="E1784" s="26" t="str">
        <f t="shared" ca="1" si="248"/>
        <v>水</v>
      </c>
      <c r="F1784" s="26">
        <f t="shared" si="249"/>
        <v>0</v>
      </c>
      <c r="G1784" s="26">
        <f>IF(ISNA(MATCH(A1784,祝日定義!E:E,0)),0,1)</f>
        <v>0</v>
      </c>
      <c r="H1784" s="26">
        <f>IF(ISNA(MATCH(B1784&amp;"/"&amp;C1784,そのた定義!E:E,0)), 0, 1)</f>
        <v>0</v>
      </c>
      <c r="I1784" s="26" t="b">
        <f t="shared" si="250"/>
        <v>0</v>
      </c>
      <c r="J1784" s="26">
        <v>0</v>
      </c>
      <c r="K1784" s="26" t="b">
        <f t="shared" si="245"/>
        <v>0</v>
      </c>
      <c r="L1784" s="26" t="b">
        <f t="shared" si="246"/>
        <v>0</v>
      </c>
      <c r="M1784" t="b">
        <f t="shared" si="251"/>
        <v>0</v>
      </c>
      <c r="N1784" t="b">
        <f t="shared" si="252"/>
        <v>0</v>
      </c>
    </row>
    <row r="1785" spans="1:14">
      <c r="A1785" s="29">
        <v>46345</v>
      </c>
      <c r="B1785" s="30">
        <f t="shared" si="244"/>
        <v>11</v>
      </c>
      <c r="C1785" s="30">
        <f t="shared" si="247"/>
        <v>19</v>
      </c>
      <c r="D1785" s="26">
        <f>MATCH(WEEKDAY(A1785),そのた定義!A:A,0)</f>
        <v>6</v>
      </c>
      <c r="E1785" s="26" t="str">
        <f t="shared" ca="1" si="248"/>
        <v>木</v>
      </c>
      <c r="F1785" s="26">
        <f t="shared" si="249"/>
        <v>0</v>
      </c>
      <c r="G1785" s="26">
        <f>IF(ISNA(MATCH(A1785,祝日定義!E:E,0)),0,1)</f>
        <v>0</v>
      </c>
      <c r="H1785" s="26">
        <f>IF(ISNA(MATCH(B1785&amp;"/"&amp;C1785,そのた定義!E:E,0)), 0, 1)</f>
        <v>0</v>
      </c>
      <c r="I1785" s="26" t="b">
        <f t="shared" si="250"/>
        <v>0</v>
      </c>
      <c r="J1785" s="26">
        <v>0</v>
      </c>
      <c r="K1785" s="26" t="b">
        <f t="shared" si="245"/>
        <v>0</v>
      </c>
      <c r="L1785" s="26" t="b">
        <f t="shared" si="246"/>
        <v>0</v>
      </c>
      <c r="M1785" t="b">
        <f t="shared" si="251"/>
        <v>0</v>
      </c>
      <c r="N1785" t="b">
        <f t="shared" si="252"/>
        <v>0</v>
      </c>
    </row>
    <row r="1786" spans="1:14">
      <c r="A1786" s="29">
        <v>46346</v>
      </c>
      <c r="B1786" s="30">
        <f t="shared" si="244"/>
        <v>11</v>
      </c>
      <c r="C1786" s="30">
        <f t="shared" si="247"/>
        <v>20</v>
      </c>
      <c r="D1786" s="26">
        <f>MATCH(WEEKDAY(A1786),そのた定義!A:A,0)</f>
        <v>7</v>
      </c>
      <c r="E1786" s="26" t="str">
        <f t="shared" ca="1" si="248"/>
        <v>金</v>
      </c>
      <c r="F1786" s="26">
        <f t="shared" si="249"/>
        <v>0</v>
      </c>
      <c r="G1786" s="26">
        <f>IF(ISNA(MATCH(A1786,祝日定義!E:E,0)),0,1)</f>
        <v>0</v>
      </c>
      <c r="H1786" s="26">
        <f>IF(ISNA(MATCH(B1786&amp;"/"&amp;C1786,そのた定義!E:E,0)), 0, 1)</f>
        <v>0</v>
      </c>
      <c r="I1786" s="26" t="b">
        <f t="shared" si="250"/>
        <v>0</v>
      </c>
      <c r="J1786" s="26">
        <v>0</v>
      </c>
      <c r="K1786" s="26" t="b">
        <f t="shared" si="245"/>
        <v>0</v>
      </c>
      <c r="L1786" s="26" t="b">
        <f t="shared" si="246"/>
        <v>0</v>
      </c>
      <c r="M1786" t="b">
        <f t="shared" si="251"/>
        <v>0</v>
      </c>
      <c r="N1786" t="b">
        <f t="shared" si="252"/>
        <v>0</v>
      </c>
    </row>
    <row r="1787" spans="1:14">
      <c r="A1787" s="29">
        <v>46347</v>
      </c>
      <c r="B1787" s="30">
        <f t="shared" si="244"/>
        <v>11</v>
      </c>
      <c r="C1787" s="30">
        <f t="shared" si="247"/>
        <v>21</v>
      </c>
      <c r="D1787" s="26">
        <f>MATCH(WEEKDAY(A1787),そのた定義!A:A,0)</f>
        <v>8</v>
      </c>
      <c r="E1787" s="33" t="str">
        <f t="shared" ca="1" si="248"/>
        <v>土</v>
      </c>
      <c r="F1787" s="26">
        <f t="shared" si="249"/>
        <v>1</v>
      </c>
      <c r="G1787" s="26">
        <f>IF(ISNA(MATCH(A1787,祝日定義!E:E,0)),0,1)</f>
        <v>0</v>
      </c>
      <c r="H1787" s="26">
        <f>IF(ISNA(MATCH(B1787&amp;"/"&amp;C1787,そのた定義!E:E,0)), 0, 1)</f>
        <v>0</v>
      </c>
      <c r="I1787" s="23" t="b">
        <f t="shared" si="250"/>
        <v>1</v>
      </c>
      <c r="J1787" s="26">
        <v>0</v>
      </c>
      <c r="K1787" s="26" t="b">
        <f t="shared" si="245"/>
        <v>0</v>
      </c>
      <c r="L1787" s="26" t="b">
        <f t="shared" si="246"/>
        <v>0</v>
      </c>
      <c r="M1787" t="b">
        <f t="shared" si="251"/>
        <v>0</v>
      </c>
      <c r="N1787" t="b">
        <f t="shared" si="252"/>
        <v>0</v>
      </c>
    </row>
    <row r="1788" spans="1:14">
      <c r="A1788" s="29">
        <v>46348</v>
      </c>
      <c r="B1788" s="30">
        <f t="shared" si="244"/>
        <v>11</v>
      </c>
      <c r="C1788" s="30">
        <f t="shared" si="247"/>
        <v>22</v>
      </c>
      <c r="D1788" s="26">
        <f>MATCH(WEEKDAY(A1788),そのた定義!A:A,0)</f>
        <v>2</v>
      </c>
      <c r="E1788" s="32" t="str">
        <f t="shared" ca="1" si="248"/>
        <v>日</v>
      </c>
      <c r="F1788" s="26">
        <f t="shared" si="249"/>
        <v>1</v>
      </c>
      <c r="G1788" s="26">
        <f>IF(ISNA(MATCH(A1788,祝日定義!E:E,0)),0,1)</f>
        <v>0</v>
      </c>
      <c r="H1788" s="26">
        <f>IF(ISNA(MATCH(B1788&amp;"/"&amp;C1788,そのた定義!E:E,0)), 0, 1)</f>
        <v>0</v>
      </c>
      <c r="I1788" s="23" t="b">
        <f t="shared" si="250"/>
        <v>1</v>
      </c>
      <c r="J1788" s="26">
        <v>0</v>
      </c>
      <c r="K1788" s="26" t="b">
        <f t="shared" si="245"/>
        <v>0</v>
      </c>
      <c r="L1788" s="26" t="b">
        <f t="shared" si="246"/>
        <v>0</v>
      </c>
      <c r="M1788" t="b">
        <f t="shared" si="251"/>
        <v>0</v>
      </c>
      <c r="N1788" t="b">
        <f t="shared" si="252"/>
        <v>0</v>
      </c>
    </row>
    <row r="1789" spans="1:14">
      <c r="A1789" s="29">
        <v>46349</v>
      </c>
      <c r="B1789" s="30">
        <f t="shared" si="244"/>
        <v>11</v>
      </c>
      <c r="C1789" s="30">
        <f t="shared" si="247"/>
        <v>23</v>
      </c>
      <c r="D1789" s="26">
        <f>MATCH(WEEKDAY(A1789),そのた定義!A:A,0)</f>
        <v>3</v>
      </c>
      <c r="E1789" s="31" t="str">
        <f t="shared" ca="1" si="248"/>
        <v>月</v>
      </c>
      <c r="F1789" s="26">
        <f t="shared" si="249"/>
        <v>0</v>
      </c>
      <c r="G1789" s="26">
        <f>IF(ISNA(MATCH(A1789,祝日定義!E:E,0)),0,1)</f>
        <v>1</v>
      </c>
      <c r="H1789" s="26">
        <f>IF(ISNA(MATCH(B1789&amp;"/"&amp;C1789,そのた定義!E:E,0)), 0, 1)</f>
        <v>0</v>
      </c>
      <c r="I1789" s="23" t="b">
        <f t="shared" si="250"/>
        <v>1</v>
      </c>
      <c r="J1789" s="26">
        <v>0</v>
      </c>
      <c r="K1789" s="26" t="b">
        <f t="shared" si="245"/>
        <v>0</v>
      </c>
      <c r="L1789" s="26" t="b">
        <f t="shared" si="246"/>
        <v>0</v>
      </c>
      <c r="M1789" t="b">
        <f t="shared" si="251"/>
        <v>0</v>
      </c>
      <c r="N1789" t="b">
        <f t="shared" si="252"/>
        <v>0</v>
      </c>
    </row>
    <row r="1790" spans="1:14">
      <c r="A1790" s="29">
        <v>46350</v>
      </c>
      <c r="B1790" s="30">
        <f t="shared" si="244"/>
        <v>11</v>
      </c>
      <c r="C1790" s="30">
        <f t="shared" si="247"/>
        <v>24</v>
      </c>
      <c r="D1790" s="26">
        <f>MATCH(WEEKDAY(A1790),そのた定義!A:A,0)</f>
        <v>4</v>
      </c>
      <c r="E1790" s="26" t="str">
        <f t="shared" ca="1" si="248"/>
        <v>火</v>
      </c>
      <c r="F1790" s="26">
        <f t="shared" si="249"/>
        <v>0</v>
      </c>
      <c r="G1790" s="26">
        <f>IF(ISNA(MATCH(A1790,祝日定義!E:E,0)),0,1)</f>
        <v>0</v>
      </c>
      <c r="H1790" s="26">
        <f>IF(ISNA(MATCH(B1790&amp;"/"&amp;C1790,そのた定義!E:E,0)), 0, 1)</f>
        <v>0</v>
      </c>
      <c r="I1790" s="26" t="b">
        <f t="shared" si="250"/>
        <v>0</v>
      </c>
      <c r="J1790" s="26">
        <v>3</v>
      </c>
      <c r="K1790" s="26" t="b">
        <f t="shared" si="245"/>
        <v>0</v>
      </c>
      <c r="L1790" s="26" t="b">
        <f t="shared" si="246"/>
        <v>0</v>
      </c>
      <c r="M1790" t="b">
        <f t="shared" si="251"/>
        <v>0</v>
      </c>
      <c r="N1790" t="b">
        <f t="shared" si="252"/>
        <v>0</v>
      </c>
    </row>
    <row r="1791" spans="1:14">
      <c r="A1791" s="29">
        <v>46351</v>
      </c>
      <c r="B1791" s="30">
        <f t="shared" si="244"/>
        <v>11</v>
      </c>
      <c r="C1791" s="30">
        <f t="shared" si="247"/>
        <v>25</v>
      </c>
      <c r="D1791" s="26">
        <f>MATCH(WEEKDAY(A1791),そのた定義!A:A,0)</f>
        <v>5</v>
      </c>
      <c r="E1791" s="26" t="str">
        <f t="shared" ca="1" si="248"/>
        <v>水</v>
      </c>
      <c r="F1791" s="26">
        <f t="shared" si="249"/>
        <v>0</v>
      </c>
      <c r="G1791" s="26">
        <f>IF(ISNA(MATCH(A1791,祝日定義!E:E,0)),0,1)</f>
        <v>0</v>
      </c>
      <c r="H1791" s="26">
        <f>IF(ISNA(MATCH(B1791&amp;"/"&amp;C1791,そのた定義!E:E,0)), 0, 1)</f>
        <v>0</v>
      </c>
      <c r="I1791" s="26" t="b">
        <f t="shared" si="250"/>
        <v>0</v>
      </c>
      <c r="J1791" s="26">
        <v>0</v>
      </c>
      <c r="K1791" s="26" t="b">
        <f t="shared" si="245"/>
        <v>0</v>
      </c>
      <c r="L1791" s="23" t="b">
        <f t="shared" si="246"/>
        <v>1</v>
      </c>
      <c r="M1791" t="b">
        <f t="shared" si="251"/>
        <v>0</v>
      </c>
      <c r="N1791" t="b">
        <f t="shared" si="252"/>
        <v>0</v>
      </c>
    </row>
    <row r="1792" spans="1:14">
      <c r="A1792" s="29">
        <v>46352</v>
      </c>
      <c r="B1792" s="30">
        <f t="shared" si="244"/>
        <v>11</v>
      </c>
      <c r="C1792" s="30">
        <f t="shared" si="247"/>
        <v>26</v>
      </c>
      <c r="D1792" s="26">
        <f>MATCH(WEEKDAY(A1792),そのた定義!A:A,0)</f>
        <v>6</v>
      </c>
      <c r="E1792" s="26" t="str">
        <f t="shared" ca="1" si="248"/>
        <v>木</v>
      </c>
      <c r="F1792" s="26">
        <f t="shared" si="249"/>
        <v>0</v>
      </c>
      <c r="G1792" s="26">
        <f>IF(ISNA(MATCH(A1792,祝日定義!E:E,0)),0,1)</f>
        <v>0</v>
      </c>
      <c r="H1792" s="26">
        <f>IF(ISNA(MATCH(B1792&amp;"/"&amp;C1792,そのた定義!E:E,0)), 0, 1)</f>
        <v>0</v>
      </c>
      <c r="I1792" s="26" t="b">
        <f t="shared" si="250"/>
        <v>0</v>
      </c>
      <c r="J1792" s="26">
        <v>0</v>
      </c>
      <c r="K1792" s="26" t="b">
        <f t="shared" si="245"/>
        <v>0</v>
      </c>
      <c r="L1792" s="26" t="b">
        <f t="shared" si="246"/>
        <v>0</v>
      </c>
      <c r="M1792" t="b">
        <f t="shared" si="251"/>
        <v>0</v>
      </c>
      <c r="N1792" t="b">
        <f t="shared" si="252"/>
        <v>0</v>
      </c>
    </row>
    <row r="1793" spans="1:14">
      <c r="A1793" s="29">
        <v>46353</v>
      </c>
      <c r="B1793" s="30">
        <f t="shared" si="244"/>
        <v>11</v>
      </c>
      <c r="C1793" s="30">
        <f t="shared" si="247"/>
        <v>27</v>
      </c>
      <c r="D1793" s="26">
        <f>MATCH(WEEKDAY(A1793),そのた定義!A:A,0)</f>
        <v>7</v>
      </c>
      <c r="E1793" s="26" t="str">
        <f t="shared" ca="1" si="248"/>
        <v>金</v>
      </c>
      <c r="F1793" s="26">
        <f t="shared" si="249"/>
        <v>0</v>
      </c>
      <c r="G1793" s="26">
        <f>IF(ISNA(MATCH(A1793,祝日定義!E:E,0)),0,1)</f>
        <v>0</v>
      </c>
      <c r="H1793" s="26">
        <f>IF(ISNA(MATCH(B1793&amp;"/"&amp;C1793,そのた定義!E:E,0)), 0, 1)</f>
        <v>0</v>
      </c>
      <c r="I1793" s="26" t="b">
        <f t="shared" si="250"/>
        <v>0</v>
      </c>
      <c r="J1793" s="26">
        <v>0</v>
      </c>
      <c r="K1793" s="26" t="b">
        <f t="shared" si="245"/>
        <v>0</v>
      </c>
      <c r="L1793" s="26" t="b">
        <f t="shared" si="246"/>
        <v>0</v>
      </c>
      <c r="M1793" t="b">
        <f t="shared" si="251"/>
        <v>0</v>
      </c>
      <c r="N1793" t="b">
        <f t="shared" si="252"/>
        <v>0</v>
      </c>
    </row>
    <row r="1794" spans="1:14">
      <c r="A1794" s="29">
        <v>46354</v>
      </c>
      <c r="B1794" s="30">
        <f t="shared" ref="B1794:B1857" si="253">MONTH(A1794)</f>
        <v>11</v>
      </c>
      <c r="C1794" s="30">
        <f t="shared" si="247"/>
        <v>28</v>
      </c>
      <c r="D1794" s="26">
        <f>MATCH(WEEKDAY(A1794),そのた定義!A:A,0)</f>
        <v>8</v>
      </c>
      <c r="E1794" s="33" t="str">
        <f t="shared" ca="1" si="248"/>
        <v>土</v>
      </c>
      <c r="F1794" s="26">
        <f t="shared" si="249"/>
        <v>1</v>
      </c>
      <c r="G1794" s="26">
        <f>IF(ISNA(MATCH(A1794,祝日定義!E:E,0)),0,1)</f>
        <v>0</v>
      </c>
      <c r="H1794" s="26">
        <f>IF(ISNA(MATCH(B1794&amp;"/"&amp;C1794,そのた定義!E:E,0)), 0, 1)</f>
        <v>0</v>
      </c>
      <c r="I1794" s="23" t="b">
        <f t="shared" si="250"/>
        <v>1</v>
      </c>
      <c r="J1794" s="26">
        <v>0</v>
      </c>
      <c r="K1794" s="26" t="b">
        <f t="shared" ref="K1794:K1857" si="254">AND(C1794&gt;25,DAY(A1794-J1794)&lt;=25)</f>
        <v>0</v>
      </c>
      <c r="L1794" s="26" t="b">
        <f t="shared" ref="L1794:L1857" si="255">C1794=25</f>
        <v>0</v>
      </c>
      <c r="M1794" t="b">
        <f t="shared" si="251"/>
        <v>0</v>
      </c>
      <c r="N1794" t="b">
        <f t="shared" si="252"/>
        <v>0</v>
      </c>
    </row>
    <row r="1795" spans="1:14">
      <c r="A1795" s="29">
        <v>46355</v>
      </c>
      <c r="B1795" s="30">
        <f t="shared" si="253"/>
        <v>11</v>
      </c>
      <c r="C1795" s="30">
        <f t="shared" ref="C1795:C1858" si="256">DAY(A1795)</f>
        <v>29</v>
      </c>
      <c r="D1795" s="26">
        <f>MATCH(WEEKDAY(A1795),そのた定義!A:A,0)</f>
        <v>2</v>
      </c>
      <c r="E1795" s="32" t="str">
        <f t="shared" ref="E1795:E1858" ca="1" si="257">INDIRECT("そのた定義!"&amp;"B"&amp;D1795)</f>
        <v>日</v>
      </c>
      <c r="F1795" s="26">
        <f t="shared" ref="F1795:F1858" si="258">IF(OR(D1795=8,D1795=2),1,0)</f>
        <v>1</v>
      </c>
      <c r="G1795" s="26">
        <f>IF(ISNA(MATCH(A1795,祝日定義!E:E,0)),0,1)</f>
        <v>0</v>
      </c>
      <c r="H1795" s="26">
        <f>IF(ISNA(MATCH(B1795&amp;"/"&amp;C1795,そのた定義!E:E,0)), 0, 1)</f>
        <v>0</v>
      </c>
      <c r="I1795" s="23" t="b">
        <f t="shared" ref="I1795:I1858" si="259">SUM(F1795:H1795)&gt;0</f>
        <v>1</v>
      </c>
      <c r="J1795" s="26">
        <v>0</v>
      </c>
      <c r="K1795" s="26" t="b">
        <f t="shared" si="254"/>
        <v>0</v>
      </c>
      <c r="L1795" s="26" t="b">
        <f t="shared" si="255"/>
        <v>0</v>
      </c>
      <c r="M1795" t="b">
        <f t="shared" ref="M1795:M1858" si="260">B1795&lt;&gt;MONTH(A1795-J1795)</f>
        <v>0</v>
      </c>
      <c r="N1795" t="b">
        <f t="shared" ref="N1795:N1858" si="261">B1795&lt;&gt;MONTH(A1795+1)</f>
        <v>0</v>
      </c>
    </row>
    <row r="1796" spans="1:14">
      <c r="A1796" s="29">
        <v>46356</v>
      </c>
      <c r="B1796" s="30">
        <f t="shared" si="253"/>
        <v>11</v>
      </c>
      <c r="C1796" s="30">
        <f t="shared" si="256"/>
        <v>30</v>
      </c>
      <c r="D1796" s="26">
        <f>MATCH(WEEKDAY(A1796),そのた定義!A:A,0)</f>
        <v>3</v>
      </c>
      <c r="E1796" s="26" t="str">
        <f t="shared" ca="1" si="257"/>
        <v>月</v>
      </c>
      <c r="F1796" s="26">
        <f t="shared" si="258"/>
        <v>0</v>
      </c>
      <c r="G1796" s="26">
        <f>IF(ISNA(MATCH(A1796,祝日定義!E:E,0)),0,1)</f>
        <v>0</v>
      </c>
      <c r="H1796" s="26">
        <f>IF(ISNA(MATCH(B1796&amp;"/"&amp;C1796,そのた定義!E:E,0)), 0, 1)</f>
        <v>0</v>
      </c>
      <c r="I1796" s="26" t="b">
        <f t="shared" si="259"/>
        <v>0</v>
      </c>
      <c r="J1796" s="26">
        <v>2</v>
      </c>
      <c r="K1796" s="26" t="b">
        <f t="shared" si="254"/>
        <v>0</v>
      </c>
      <c r="L1796" s="26" t="b">
        <f t="shared" si="255"/>
        <v>0</v>
      </c>
      <c r="M1796" t="b">
        <f t="shared" si="260"/>
        <v>0</v>
      </c>
      <c r="N1796" t="b">
        <f t="shared" si="261"/>
        <v>1</v>
      </c>
    </row>
    <row r="1797" spans="1:14">
      <c r="A1797" s="29">
        <v>46357</v>
      </c>
      <c r="B1797" s="30">
        <f t="shared" si="253"/>
        <v>12</v>
      </c>
      <c r="C1797" s="30">
        <f t="shared" si="256"/>
        <v>1</v>
      </c>
      <c r="D1797" s="26">
        <f>MATCH(WEEKDAY(A1797),そのた定義!A:A,0)</f>
        <v>4</v>
      </c>
      <c r="E1797" s="26" t="str">
        <f t="shared" ca="1" si="257"/>
        <v>火</v>
      </c>
      <c r="F1797" s="26">
        <f t="shared" si="258"/>
        <v>0</v>
      </c>
      <c r="G1797" s="26">
        <f>IF(ISNA(MATCH(A1797,祝日定義!E:E,0)),0,1)</f>
        <v>0</v>
      </c>
      <c r="H1797" s="26">
        <f>IF(ISNA(MATCH(B1797&amp;"/"&amp;C1797,そのた定義!E:E,0)), 0, 1)</f>
        <v>0</v>
      </c>
      <c r="I1797" s="26" t="b">
        <f t="shared" si="259"/>
        <v>0</v>
      </c>
      <c r="J1797" s="26">
        <v>0</v>
      </c>
      <c r="K1797" s="26" t="b">
        <f t="shared" si="254"/>
        <v>0</v>
      </c>
      <c r="L1797" s="26" t="b">
        <f t="shared" si="255"/>
        <v>0</v>
      </c>
      <c r="M1797" t="b">
        <f t="shared" si="260"/>
        <v>0</v>
      </c>
      <c r="N1797" t="b">
        <f t="shared" si="261"/>
        <v>0</v>
      </c>
    </row>
    <row r="1798" spans="1:14">
      <c r="A1798" s="29">
        <v>46358</v>
      </c>
      <c r="B1798" s="30">
        <f t="shared" si="253"/>
        <v>12</v>
      </c>
      <c r="C1798" s="30">
        <f t="shared" si="256"/>
        <v>2</v>
      </c>
      <c r="D1798" s="26">
        <f>MATCH(WEEKDAY(A1798),そのた定義!A:A,0)</f>
        <v>5</v>
      </c>
      <c r="E1798" s="26" t="str">
        <f t="shared" ca="1" si="257"/>
        <v>水</v>
      </c>
      <c r="F1798" s="26">
        <f t="shared" si="258"/>
        <v>0</v>
      </c>
      <c r="G1798" s="26">
        <f>IF(ISNA(MATCH(A1798,祝日定義!E:E,0)),0,1)</f>
        <v>0</v>
      </c>
      <c r="H1798" s="26">
        <f>IF(ISNA(MATCH(B1798&amp;"/"&amp;C1798,そのた定義!E:E,0)), 0, 1)</f>
        <v>0</v>
      </c>
      <c r="I1798" s="26" t="b">
        <f t="shared" si="259"/>
        <v>0</v>
      </c>
      <c r="J1798" s="26">
        <v>0</v>
      </c>
      <c r="K1798" s="26" t="b">
        <f t="shared" si="254"/>
        <v>0</v>
      </c>
      <c r="L1798" s="26" t="b">
        <f t="shared" si="255"/>
        <v>0</v>
      </c>
      <c r="M1798" t="b">
        <f t="shared" si="260"/>
        <v>0</v>
      </c>
      <c r="N1798" t="b">
        <f t="shared" si="261"/>
        <v>0</v>
      </c>
    </row>
    <row r="1799" spans="1:14">
      <c r="A1799" s="29">
        <v>46359</v>
      </c>
      <c r="B1799" s="30">
        <f t="shared" si="253"/>
        <v>12</v>
      </c>
      <c r="C1799" s="30">
        <f t="shared" si="256"/>
        <v>3</v>
      </c>
      <c r="D1799" s="26">
        <f>MATCH(WEEKDAY(A1799),そのた定義!A:A,0)</f>
        <v>6</v>
      </c>
      <c r="E1799" s="26" t="str">
        <f t="shared" ca="1" si="257"/>
        <v>木</v>
      </c>
      <c r="F1799" s="26">
        <f t="shared" si="258"/>
        <v>0</v>
      </c>
      <c r="G1799" s="26">
        <f>IF(ISNA(MATCH(A1799,祝日定義!E:E,0)),0,1)</f>
        <v>0</v>
      </c>
      <c r="H1799" s="26">
        <f>IF(ISNA(MATCH(B1799&amp;"/"&amp;C1799,そのた定義!E:E,0)), 0, 1)</f>
        <v>0</v>
      </c>
      <c r="I1799" s="26" t="b">
        <f t="shared" si="259"/>
        <v>0</v>
      </c>
      <c r="J1799" s="26">
        <v>0</v>
      </c>
      <c r="K1799" s="26" t="b">
        <f t="shared" si="254"/>
        <v>0</v>
      </c>
      <c r="L1799" s="26" t="b">
        <f t="shared" si="255"/>
        <v>0</v>
      </c>
      <c r="M1799" t="b">
        <f t="shared" si="260"/>
        <v>0</v>
      </c>
      <c r="N1799" t="b">
        <f t="shared" si="261"/>
        <v>0</v>
      </c>
    </row>
    <row r="1800" spans="1:14">
      <c r="A1800" s="29">
        <v>46360</v>
      </c>
      <c r="B1800" s="30">
        <f t="shared" si="253"/>
        <v>12</v>
      </c>
      <c r="C1800" s="30">
        <f t="shared" si="256"/>
        <v>4</v>
      </c>
      <c r="D1800" s="26">
        <f>MATCH(WEEKDAY(A1800),そのた定義!A:A,0)</f>
        <v>7</v>
      </c>
      <c r="E1800" s="26" t="str">
        <f t="shared" ca="1" si="257"/>
        <v>金</v>
      </c>
      <c r="F1800" s="26">
        <f t="shared" si="258"/>
        <v>0</v>
      </c>
      <c r="G1800" s="26">
        <f>IF(ISNA(MATCH(A1800,祝日定義!E:E,0)),0,1)</f>
        <v>0</v>
      </c>
      <c r="H1800" s="26">
        <f>IF(ISNA(MATCH(B1800&amp;"/"&amp;C1800,そのた定義!E:E,0)), 0, 1)</f>
        <v>0</v>
      </c>
      <c r="I1800" s="26" t="b">
        <f t="shared" si="259"/>
        <v>0</v>
      </c>
      <c r="J1800" s="26">
        <v>0</v>
      </c>
      <c r="K1800" s="26" t="b">
        <f t="shared" si="254"/>
        <v>0</v>
      </c>
      <c r="L1800" s="26" t="b">
        <f t="shared" si="255"/>
        <v>0</v>
      </c>
      <c r="M1800" t="b">
        <f t="shared" si="260"/>
        <v>0</v>
      </c>
      <c r="N1800" t="b">
        <f t="shared" si="261"/>
        <v>0</v>
      </c>
    </row>
    <row r="1801" spans="1:14">
      <c r="A1801" s="29">
        <v>46361</v>
      </c>
      <c r="B1801" s="30">
        <f t="shared" si="253"/>
        <v>12</v>
      </c>
      <c r="C1801" s="30">
        <f t="shared" si="256"/>
        <v>5</v>
      </c>
      <c r="D1801" s="26">
        <f>MATCH(WEEKDAY(A1801),そのた定義!A:A,0)</f>
        <v>8</v>
      </c>
      <c r="E1801" s="33" t="str">
        <f t="shared" ca="1" si="257"/>
        <v>土</v>
      </c>
      <c r="F1801" s="26">
        <f t="shared" si="258"/>
        <v>1</v>
      </c>
      <c r="G1801" s="26">
        <f>IF(ISNA(MATCH(A1801,祝日定義!E:E,0)),0,1)</f>
        <v>0</v>
      </c>
      <c r="H1801" s="26">
        <f>IF(ISNA(MATCH(B1801&amp;"/"&amp;C1801,そのた定義!E:E,0)), 0, 1)</f>
        <v>0</v>
      </c>
      <c r="I1801" s="23" t="b">
        <f t="shared" si="259"/>
        <v>1</v>
      </c>
      <c r="J1801" s="26">
        <v>0</v>
      </c>
      <c r="K1801" s="26" t="b">
        <f t="shared" si="254"/>
        <v>0</v>
      </c>
      <c r="L1801" s="26" t="b">
        <f t="shared" si="255"/>
        <v>0</v>
      </c>
      <c r="M1801" t="b">
        <f t="shared" si="260"/>
        <v>0</v>
      </c>
      <c r="N1801" t="b">
        <f t="shared" si="261"/>
        <v>0</v>
      </c>
    </row>
    <row r="1802" spans="1:14">
      <c r="A1802" s="29">
        <v>46362</v>
      </c>
      <c r="B1802" s="30">
        <f t="shared" si="253"/>
        <v>12</v>
      </c>
      <c r="C1802" s="30">
        <f t="shared" si="256"/>
        <v>6</v>
      </c>
      <c r="D1802" s="26">
        <f>MATCH(WEEKDAY(A1802),そのた定義!A:A,0)</f>
        <v>2</v>
      </c>
      <c r="E1802" s="32" t="str">
        <f t="shared" ca="1" si="257"/>
        <v>日</v>
      </c>
      <c r="F1802" s="26">
        <f t="shared" si="258"/>
        <v>1</v>
      </c>
      <c r="G1802" s="26">
        <f>IF(ISNA(MATCH(A1802,祝日定義!E:E,0)),0,1)</f>
        <v>0</v>
      </c>
      <c r="H1802" s="26">
        <f>IF(ISNA(MATCH(B1802&amp;"/"&amp;C1802,そのた定義!E:E,0)), 0, 1)</f>
        <v>0</v>
      </c>
      <c r="I1802" s="23" t="b">
        <f t="shared" si="259"/>
        <v>1</v>
      </c>
      <c r="J1802" s="26">
        <v>0</v>
      </c>
      <c r="K1802" s="26" t="b">
        <f t="shared" si="254"/>
        <v>0</v>
      </c>
      <c r="L1802" s="26" t="b">
        <f t="shared" si="255"/>
        <v>0</v>
      </c>
      <c r="M1802" t="b">
        <f t="shared" si="260"/>
        <v>0</v>
      </c>
      <c r="N1802" t="b">
        <f t="shared" si="261"/>
        <v>0</v>
      </c>
    </row>
    <row r="1803" spans="1:14">
      <c r="A1803" s="29">
        <v>46363</v>
      </c>
      <c r="B1803" s="30">
        <f t="shared" si="253"/>
        <v>12</v>
      </c>
      <c r="C1803" s="30">
        <f t="shared" si="256"/>
        <v>7</v>
      </c>
      <c r="D1803" s="26">
        <f>MATCH(WEEKDAY(A1803),そのた定義!A:A,0)</f>
        <v>3</v>
      </c>
      <c r="E1803" s="26" t="str">
        <f t="shared" ca="1" si="257"/>
        <v>月</v>
      </c>
      <c r="F1803" s="26">
        <f t="shared" si="258"/>
        <v>0</v>
      </c>
      <c r="G1803" s="26">
        <f>IF(ISNA(MATCH(A1803,祝日定義!E:E,0)),0,1)</f>
        <v>0</v>
      </c>
      <c r="H1803" s="26">
        <f>IF(ISNA(MATCH(B1803&amp;"/"&amp;C1803,そのた定義!E:E,0)), 0, 1)</f>
        <v>0</v>
      </c>
      <c r="I1803" s="26" t="b">
        <f t="shared" si="259"/>
        <v>0</v>
      </c>
      <c r="J1803" s="26">
        <v>2</v>
      </c>
      <c r="K1803" s="26" t="b">
        <f t="shared" si="254"/>
        <v>0</v>
      </c>
      <c r="L1803" s="26" t="b">
        <f t="shared" si="255"/>
        <v>0</v>
      </c>
      <c r="M1803" t="b">
        <f t="shared" si="260"/>
        <v>0</v>
      </c>
      <c r="N1803" t="b">
        <f t="shared" si="261"/>
        <v>0</v>
      </c>
    </row>
    <row r="1804" spans="1:14">
      <c r="A1804" s="29">
        <v>46364</v>
      </c>
      <c r="B1804" s="30">
        <f t="shared" si="253"/>
        <v>12</v>
      </c>
      <c r="C1804" s="30">
        <f t="shared" si="256"/>
        <v>8</v>
      </c>
      <c r="D1804" s="26">
        <f>MATCH(WEEKDAY(A1804),そのた定義!A:A,0)</f>
        <v>4</v>
      </c>
      <c r="E1804" s="26" t="str">
        <f t="shared" ca="1" si="257"/>
        <v>火</v>
      </c>
      <c r="F1804" s="26">
        <f t="shared" si="258"/>
        <v>0</v>
      </c>
      <c r="G1804" s="26">
        <f>IF(ISNA(MATCH(A1804,祝日定義!E:E,0)),0,1)</f>
        <v>0</v>
      </c>
      <c r="H1804" s="26">
        <f>IF(ISNA(MATCH(B1804&amp;"/"&amp;C1804,そのた定義!E:E,0)), 0, 1)</f>
        <v>0</v>
      </c>
      <c r="I1804" s="26" t="b">
        <f t="shared" si="259"/>
        <v>0</v>
      </c>
      <c r="J1804" s="26">
        <v>0</v>
      </c>
      <c r="K1804" s="26" t="b">
        <f t="shared" si="254"/>
        <v>0</v>
      </c>
      <c r="L1804" s="26" t="b">
        <f t="shared" si="255"/>
        <v>0</v>
      </c>
      <c r="M1804" t="b">
        <f t="shared" si="260"/>
        <v>0</v>
      </c>
      <c r="N1804" t="b">
        <f t="shared" si="261"/>
        <v>0</v>
      </c>
    </row>
    <row r="1805" spans="1:14">
      <c r="A1805" s="29">
        <v>46365</v>
      </c>
      <c r="B1805" s="30">
        <f t="shared" si="253"/>
        <v>12</v>
      </c>
      <c r="C1805" s="30">
        <f t="shared" si="256"/>
        <v>9</v>
      </c>
      <c r="D1805" s="26">
        <f>MATCH(WEEKDAY(A1805),そのた定義!A:A,0)</f>
        <v>5</v>
      </c>
      <c r="E1805" s="26" t="str">
        <f t="shared" ca="1" si="257"/>
        <v>水</v>
      </c>
      <c r="F1805" s="26">
        <f t="shared" si="258"/>
        <v>0</v>
      </c>
      <c r="G1805" s="26">
        <f>IF(ISNA(MATCH(A1805,祝日定義!E:E,0)),0,1)</f>
        <v>0</v>
      </c>
      <c r="H1805" s="26">
        <f>IF(ISNA(MATCH(B1805&amp;"/"&amp;C1805,そのた定義!E:E,0)), 0, 1)</f>
        <v>0</v>
      </c>
      <c r="I1805" s="26" t="b">
        <f t="shared" si="259"/>
        <v>0</v>
      </c>
      <c r="J1805" s="26">
        <v>0</v>
      </c>
      <c r="K1805" s="26" t="b">
        <f t="shared" si="254"/>
        <v>0</v>
      </c>
      <c r="L1805" s="26" t="b">
        <f t="shared" si="255"/>
        <v>0</v>
      </c>
      <c r="M1805" t="b">
        <f t="shared" si="260"/>
        <v>0</v>
      </c>
      <c r="N1805" t="b">
        <f t="shared" si="261"/>
        <v>0</v>
      </c>
    </row>
    <row r="1806" spans="1:14">
      <c r="A1806" s="29">
        <v>46366</v>
      </c>
      <c r="B1806" s="30">
        <f t="shared" si="253"/>
        <v>12</v>
      </c>
      <c r="C1806" s="30">
        <f t="shared" si="256"/>
        <v>10</v>
      </c>
      <c r="D1806" s="26">
        <f>MATCH(WEEKDAY(A1806),そのた定義!A:A,0)</f>
        <v>6</v>
      </c>
      <c r="E1806" s="26" t="str">
        <f t="shared" ca="1" si="257"/>
        <v>木</v>
      </c>
      <c r="F1806" s="26">
        <f t="shared" si="258"/>
        <v>0</v>
      </c>
      <c r="G1806" s="26">
        <f>IF(ISNA(MATCH(A1806,祝日定義!E:E,0)),0,1)</f>
        <v>0</v>
      </c>
      <c r="H1806" s="26">
        <f>IF(ISNA(MATCH(B1806&amp;"/"&amp;C1806,そのた定義!E:E,0)), 0, 1)</f>
        <v>0</v>
      </c>
      <c r="I1806" s="26" t="b">
        <f t="shared" si="259"/>
        <v>0</v>
      </c>
      <c r="J1806" s="26">
        <v>0</v>
      </c>
      <c r="K1806" s="26" t="b">
        <f t="shared" si="254"/>
        <v>0</v>
      </c>
      <c r="L1806" s="26" t="b">
        <f t="shared" si="255"/>
        <v>0</v>
      </c>
      <c r="M1806" t="b">
        <f t="shared" si="260"/>
        <v>0</v>
      </c>
      <c r="N1806" t="b">
        <f t="shared" si="261"/>
        <v>0</v>
      </c>
    </row>
    <row r="1807" spans="1:14">
      <c r="A1807" s="29">
        <v>46367</v>
      </c>
      <c r="B1807" s="30">
        <f t="shared" si="253"/>
        <v>12</v>
      </c>
      <c r="C1807" s="30">
        <f t="shared" si="256"/>
        <v>11</v>
      </c>
      <c r="D1807" s="26">
        <f>MATCH(WEEKDAY(A1807),そのた定義!A:A,0)</f>
        <v>7</v>
      </c>
      <c r="E1807" s="26" t="str">
        <f t="shared" ca="1" si="257"/>
        <v>金</v>
      </c>
      <c r="F1807" s="26">
        <f t="shared" si="258"/>
        <v>0</v>
      </c>
      <c r="G1807" s="26">
        <f>IF(ISNA(MATCH(A1807,祝日定義!E:E,0)),0,1)</f>
        <v>0</v>
      </c>
      <c r="H1807" s="26">
        <f>IF(ISNA(MATCH(B1807&amp;"/"&amp;C1807,そのた定義!E:E,0)), 0, 1)</f>
        <v>0</v>
      </c>
      <c r="I1807" s="26" t="b">
        <f t="shared" si="259"/>
        <v>0</v>
      </c>
      <c r="J1807" s="26">
        <v>0</v>
      </c>
      <c r="K1807" s="26" t="b">
        <f t="shared" si="254"/>
        <v>0</v>
      </c>
      <c r="L1807" s="26" t="b">
        <f t="shared" si="255"/>
        <v>0</v>
      </c>
      <c r="M1807" t="b">
        <f t="shared" si="260"/>
        <v>0</v>
      </c>
      <c r="N1807" t="b">
        <f t="shared" si="261"/>
        <v>0</v>
      </c>
    </row>
    <row r="1808" spans="1:14">
      <c r="A1808" s="29">
        <v>46368</v>
      </c>
      <c r="B1808" s="30">
        <f t="shared" si="253"/>
        <v>12</v>
      </c>
      <c r="C1808" s="30">
        <f t="shared" si="256"/>
        <v>12</v>
      </c>
      <c r="D1808" s="26">
        <f>MATCH(WEEKDAY(A1808),そのた定義!A:A,0)</f>
        <v>8</v>
      </c>
      <c r="E1808" s="33" t="str">
        <f t="shared" ca="1" si="257"/>
        <v>土</v>
      </c>
      <c r="F1808" s="26">
        <f t="shared" si="258"/>
        <v>1</v>
      </c>
      <c r="G1808" s="26">
        <f>IF(ISNA(MATCH(A1808,祝日定義!E:E,0)),0,1)</f>
        <v>0</v>
      </c>
      <c r="H1808" s="26">
        <f>IF(ISNA(MATCH(B1808&amp;"/"&amp;C1808,そのた定義!E:E,0)), 0, 1)</f>
        <v>0</v>
      </c>
      <c r="I1808" s="23" t="b">
        <f t="shared" si="259"/>
        <v>1</v>
      </c>
      <c r="J1808" s="26">
        <v>0</v>
      </c>
      <c r="K1808" s="26" t="b">
        <f t="shared" si="254"/>
        <v>0</v>
      </c>
      <c r="L1808" s="26" t="b">
        <f t="shared" si="255"/>
        <v>0</v>
      </c>
      <c r="M1808" t="b">
        <f t="shared" si="260"/>
        <v>0</v>
      </c>
      <c r="N1808" t="b">
        <f t="shared" si="261"/>
        <v>0</v>
      </c>
    </row>
    <row r="1809" spans="1:14">
      <c r="A1809" s="29">
        <v>46369</v>
      </c>
      <c r="B1809" s="30">
        <f t="shared" si="253"/>
        <v>12</v>
      </c>
      <c r="C1809" s="30">
        <f t="shared" si="256"/>
        <v>13</v>
      </c>
      <c r="D1809" s="26">
        <f>MATCH(WEEKDAY(A1809),そのた定義!A:A,0)</f>
        <v>2</v>
      </c>
      <c r="E1809" s="32" t="str">
        <f t="shared" ca="1" si="257"/>
        <v>日</v>
      </c>
      <c r="F1809" s="26">
        <f t="shared" si="258"/>
        <v>1</v>
      </c>
      <c r="G1809" s="26">
        <f>IF(ISNA(MATCH(A1809,祝日定義!E:E,0)),0,1)</f>
        <v>0</v>
      </c>
      <c r="H1809" s="26">
        <f>IF(ISNA(MATCH(B1809&amp;"/"&amp;C1809,そのた定義!E:E,0)), 0, 1)</f>
        <v>0</v>
      </c>
      <c r="I1809" s="23" t="b">
        <f t="shared" si="259"/>
        <v>1</v>
      </c>
      <c r="J1809" s="26">
        <v>0</v>
      </c>
      <c r="K1809" s="26" t="b">
        <f t="shared" si="254"/>
        <v>0</v>
      </c>
      <c r="L1809" s="26" t="b">
        <f t="shared" si="255"/>
        <v>0</v>
      </c>
      <c r="M1809" t="b">
        <f t="shared" si="260"/>
        <v>0</v>
      </c>
      <c r="N1809" t="b">
        <f t="shared" si="261"/>
        <v>0</v>
      </c>
    </row>
    <row r="1810" spans="1:14">
      <c r="A1810" s="29">
        <v>46370</v>
      </c>
      <c r="B1810" s="30">
        <f t="shared" si="253"/>
        <v>12</v>
      </c>
      <c r="C1810" s="30">
        <f t="shared" si="256"/>
        <v>14</v>
      </c>
      <c r="D1810" s="26">
        <f>MATCH(WEEKDAY(A1810),そのた定義!A:A,0)</f>
        <v>3</v>
      </c>
      <c r="E1810" s="26" t="str">
        <f t="shared" ca="1" si="257"/>
        <v>月</v>
      </c>
      <c r="F1810" s="26">
        <f t="shared" si="258"/>
        <v>0</v>
      </c>
      <c r="G1810" s="26">
        <f>IF(ISNA(MATCH(A1810,祝日定義!E:E,0)),0,1)</f>
        <v>0</v>
      </c>
      <c r="H1810" s="26">
        <f>IF(ISNA(MATCH(B1810&amp;"/"&amp;C1810,そのた定義!E:E,0)), 0, 1)</f>
        <v>0</v>
      </c>
      <c r="I1810" s="26" t="b">
        <f t="shared" si="259"/>
        <v>0</v>
      </c>
      <c r="J1810" s="26">
        <v>2</v>
      </c>
      <c r="K1810" s="26" t="b">
        <f t="shared" si="254"/>
        <v>0</v>
      </c>
      <c r="L1810" s="26" t="b">
        <f t="shared" si="255"/>
        <v>0</v>
      </c>
      <c r="M1810" t="b">
        <f t="shared" si="260"/>
        <v>0</v>
      </c>
      <c r="N1810" t="b">
        <f t="shared" si="261"/>
        <v>0</v>
      </c>
    </row>
    <row r="1811" spans="1:14">
      <c r="A1811" s="29">
        <v>46371</v>
      </c>
      <c r="B1811" s="30">
        <f t="shared" si="253"/>
        <v>12</v>
      </c>
      <c r="C1811" s="30">
        <f t="shared" si="256"/>
        <v>15</v>
      </c>
      <c r="D1811" s="26">
        <f>MATCH(WEEKDAY(A1811),そのた定義!A:A,0)</f>
        <v>4</v>
      </c>
      <c r="E1811" s="26" t="str">
        <f t="shared" ca="1" si="257"/>
        <v>火</v>
      </c>
      <c r="F1811" s="26">
        <f t="shared" si="258"/>
        <v>0</v>
      </c>
      <c r="G1811" s="26">
        <f>IF(ISNA(MATCH(A1811,祝日定義!E:E,0)),0,1)</f>
        <v>0</v>
      </c>
      <c r="H1811" s="26">
        <f>IF(ISNA(MATCH(B1811&amp;"/"&amp;C1811,そのた定義!E:E,0)), 0, 1)</f>
        <v>0</v>
      </c>
      <c r="I1811" s="26" t="b">
        <f t="shared" si="259"/>
        <v>0</v>
      </c>
      <c r="J1811" s="26">
        <v>0</v>
      </c>
      <c r="K1811" s="26" t="b">
        <f t="shared" si="254"/>
        <v>0</v>
      </c>
      <c r="L1811" s="26" t="b">
        <f t="shared" si="255"/>
        <v>0</v>
      </c>
      <c r="M1811" t="b">
        <f t="shared" si="260"/>
        <v>0</v>
      </c>
      <c r="N1811" t="b">
        <f t="shared" si="261"/>
        <v>0</v>
      </c>
    </row>
    <row r="1812" spans="1:14">
      <c r="A1812" s="29">
        <v>46372</v>
      </c>
      <c r="B1812" s="30">
        <f t="shared" si="253"/>
        <v>12</v>
      </c>
      <c r="C1812" s="30">
        <f t="shared" si="256"/>
        <v>16</v>
      </c>
      <c r="D1812" s="26">
        <f>MATCH(WEEKDAY(A1812),そのた定義!A:A,0)</f>
        <v>5</v>
      </c>
      <c r="E1812" s="26" t="str">
        <f t="shared" ca="1" si="257"/>
        <v>水</v>
      </c>
      <c r="F1812" s="26">
        <f t="shared" si="258"/>
        <v>0</v>
      </c>
      <c r="G1812" s="26">
        <f>IF(ISNA(MATCH(A1812,祝日定義!E:E,0)),0,1)</f>
        <v>0</v>
      </c>
      <c r="H1812" s="26">
        <f>IF(ISNA(MATCH(B1812&amp;"/"&amp;C1812,そのた定義!E:E,0)), 0, 1)</f>
        <v>0</v>
      </c>
      <c r="I1812" s="26" t="b">
        <f t="shared" si="259"/>
        <v>0</v>
      </c>
      <c r="J1812" s="26">
        <v>0</v>
      </c>
      <c r="K1812" s="26" t="b">
        <f t="shared" si="254"/>
        <v>0</v>
      </c>
      <c r="L1812" s="26" t="b">
        <f t="shared" si="255"/>
        <v>0</v>
      </c>
      <c r="M1812" t="b">
        <f t="shared" si="260"/>
        <v>0</v>
      </c>
      <c r="N1812" t="b">
        <f t="shared" si="261"/>
        <v>0</v>
      </c>
    </row>
    <row r="1813" spans="1:14">
      <c r="A1813" s="29">
        <v>46373</v>
      </c>
      <c r="B1813" s="30">
        <f t="shared" si="253"/>
        <v>12</v>
      </c>
      <c r="C1813" s="30">
        <f t="shared" si="256"/>
        <v>17</v>
      </c>
      <c r="D1813" s="26">
        <f>MATCH(WEEKDAY(A1813),そのた定義!A:A,0)</f>
        <v>6</v>
      </c>
      <c r="E1813" s="26" t="str">
        <f t="shared" ca="1" si="257"/>
        <v>木</v>
      </c>
      <c r="F1813" s="26">
        <f t="shared" si="258"/>
        <v>0</v>
      </c>
      <c r="G1813" s="26">
        <f>IF(ISNA(MATCH(A1813,祝日定義!E:E,0)),0,1)</f>
        <v>0</v>
      </c>
      <c r="H1813" s="26">
        <f>IF(ISNA(MATCH(B1813&amp;"/"&amp;C1813,そのた定義!E:E,0)), 0, 1)</f>
        <v>0</v>
      </c>
      <c r="I1813" s="26" t="b">
        <f t="shared" si="259"/>
        <v>0</v>
      </c>
      <c r="J1813" s="26">
        <v>0</v>
      </c>
      <c r="K1813" s="26" t="b">
        <f t="shared" si="254"/>
        <v>0</v>
      </c>
      <c r="L1813" s="26" t="b">
        <f t="shared" si="255"/>
        <v>0</v>
      </c>
      <c r="M1813" t="b">
        <f t="shared" si="260"/>
        <v>0</v>
      </c>
      <c r="N1813" t="b">
        <f t="shared" si="261"/>
        <v>0</v>
      </c>
    </row>
    <row r="1814" spans="1:14">
      <c r="A1814" s="29">
        <v>46374</v>
      </c>
      <c r="B1814" s="30">
        <f t="shared" si="253"/>
        <v>12</v>
      </c>
      <c r="C1814" s="30">
        <f t="shared" si="256"/>
        <v>18</v>
      </c>
      <c r="D1814" s="26">
        <f>MATCH(WEEKDAY(A1814),そのた定義!A:A,0)</f>
        <v>7</v>
      </c>
      <c r="E1814" s="26" t="str">
        <f t="shared" ca="1" si="257"/>
        <v>金</v>
      </c>
      <c r="F1814" s="26">
        <f t="shared" si="258"/>
        <v>0</v>
      </c>
      <c r="G1814" s="26">
        <f>IF(ISNA(MATCH(A1814,祝日定義!E:E,0)),0,1)</f>
        <v>0</v>
      </c>
      <c r="H1814" s="26">
        <f>IF(ISNA(MATCH(B1814&amp;"/"&amp;C1814,そのた定義!E:E,0)), 0, 1)</f>
        <v>0</v>
      </c>
      <c r="I1814" s="26" t="b">
        <f t="shared" si="259"/>
        <v>0</v>
      </c>
      <c r="J1814" s="26">
        <v>0</v>
      </c>
      <c r="K1814" s="26" t="b">
        <f t="shared" si="254"/>
        <v>0</v>
      </c>
      <c r="L1814" s="26" t="b">
        <f t="shared" si="255"/>
        <v>0</v>
      </c>
      <c r="M1814" t="b">
        <f t="shared" si="260"/>
        <v>0</v>
      </c>
      <c r="N1814" t="b">
        <f t="shared" si="261"/>
        <v>0</v>
      </c>
    </row>
    <row r="1815" spans="1:14">
      <c r="A1815" s="29">
        <v>46375</v>
      </c>
      <c r="B1815" s="30">
        <f t="shared" si="253"/>
        <v>12</v>
      </c>
      <c r="C1815" s="30">
        <f t="shared" si="256"/>
        <v>19</v>
      </c>
      <c r="D1815" s="26">
        <f>MATCH(WEEKDAY(A1815),そのた定義!A:A,0)</f>
        <v>8</v>
      </c>
      <c r="E1815" s="33" t="str">
        <f t="shared" ca="1" si="257"/>
        <v>土</v>
      </c>
      <c r="F1815" s="26">
        <f t="shared" si="258"/>
        <v>1</v>
      </c>
      <c r="G1815" s="26">
        <f>IF(ISNA(MATCH(A1815,祝日定義!E:E,0)),0,1)</f>
        <v>0</v>
      </c>
      <c r="H1815" s="26">
        <f>IF(ISNA(MATCH(B1815&amp;"/"&amp;C1815,そのた定義!E:E,0)), 0, 1)</f>
        <v>0</v>
      </c>
      <c r="I1815" s="23" t="b">
        <f t="shared" si="259"/>
        <v>1</v>
      </c>
      <c r="J1815" s="26">
        <v>0</v>
      </c>
      <c r="K1815" s="26" t="b">
        <f t="shared" si="254"/>
        <v>0</v>
      </c>
      <c r="L1815" s="26" t="b">
        <f t="shared" si="255"/>
        <v>0</v>
      </c>
      <c r="M1815" t="b">
        <f t="shared" si="260"/>
        <v>0</v>
      </c>
      <c r="N1815" t="b">
        <f t="shared" si="261"/>
        <v>0</v>
      </c>
    </row>
    <row r="1816" spans="1:14">
      <c r="A1816" s="29">
        <v>46376</v>
      </c>
      <c r="B1816" s="30">
        <f t="shared" si="253"/>
        <v>12</v>
      </c>
      <c r="C1816" s="30">
        <f t="shared" si="256"/>
        <v>20</v>
      </c>
      <c r="D1816" s="26">
        <f>MATCH(WEEKDAY(A1816),そのた定義!A:A,0)</f>
        <v>2</v>
      </c>
      <c r="E1816" s="32" t="str">
        <f t="shared" ca="1" si="257"/>
        <v>日</v>
      </c>
      <c r="F1816" s="26">
        <f t="shared" si="258"/>
        <v>1</v>
      </c>
      <c r="G1816" s="26">
        <f>IF(ISNA(MATCH(A1816,祝日定義!E:E,0)),0,1)</f>
        <v>0</v>
      </c>
      <c r="H1816" s="26">
        <f>IF(ISNA(MATCH(B1816&amp;"/"&amp;C1816,そのた定義!E:E,0)), 0, 1)</f>
        <v>0</v>
      </c>
      <c r="I1816" s="23" t="b">
        <f t="shared" si="259"/>
        <v>1</v>
      </c>
      <c r="J1816" s="26">
        <v>0</v>
      </c>
      <c r="K1816" s="26" t="b">
        <f t="shared" si="254"/>
        <v>0</v>
      </c>
      <c r="L1816" s="26" t="b">
        <f t="shared" si="255"/>
        <v>0</v>
      </c>
      <c r="M1816" t="b">
        <f t="shared" si="260"/>
        <v>0</v>
      </c>
      <c r="N1816" t="b">
        <f t="shared" si="261"/>
        <v>0</v>
      </c>
    </row>
    <row r="1817" spans="1:14">
      <c r="A1817" s="29">
        <v>46377</v>
      </c>
      <c r="B1817" s="30">
        <f t="shared" si="253"/>
        <v>12</v>
      </c>
      <c r="C1817" s="30">
        <f t="shared" si="256"/>
        <v>21</v>
      </c>
      <c r="D1817" s="26">
        <f>MATCH(WEEKDAY(A1817),そのた定義!A:A,0)</f>
        <v>3</v>
      </c>
      <c r="E1817" s="26" t="str">
        <f t="shared" ca="1" si="257"/>
        <v>月</v>
      </c>
      <c r="F1817" s="26">
        <f t="shared" si="258"/>
        <v>0</v>
      </c>
      <c r="G1817" s="26">
        <f>IF(ISNA(MATCH(A1817,祝日定義!E:E,0)),0,1)</f>
        <v>0</v>
      </c>
      <c r="H1817" s="26">
        <f>IF(ISNA(MATCH(B1817&amp;"/"&amp;C1817,そのた定義!E:E,0)), 0, 1)</f>
        <v>0</v>
      </c>
      <c r="I1817" s="26" t="b">
        <f t="shared" si="259"/>
        <v>0</v>
      </c>
      <c r="J1817" s="26">
        <v>2</v>
      </c>
      <c r="K1817" s="26" t="b">
        <f t="shared" si="254"/>
        <v>0</v>
      </c>
      <c r="L1817" s="26" t="b">
        <f t="shared" si="255"/>
        <v>0</v>
      </c>
      <c r="M1817" t="b">
        <f t="shared" si="260"/>
        <v>0</v>
      </c>
      <c r="N1817" t="b">
        <f t="shared" si="261"/>
        <v>0</v>
      </c>
    </row>
    <row r="1818" spans="1:14">
      <c r="A1818" s="29">
        <v>46378</v>
      </c>
      <c r="B1818" s="30">
        <f t="shared" si="253"/>
        <v>12</v>
      </c>
      <c r="C1818" s="30">
        <f t="shared" si="256"/>
        <v>22</v>
      </c>
      <c r="D1818" s="26">
        <f>MATCH(WEEKDAY(A1818),そのた定義!A:A,0)</f>
        <v>4</v>
      </c>
      <c r="E1818" s="26" t="str">
        <f t="shared" ca="1" si="257"/>
        <v>火</v>
      </c>
      <c r="F1818" s="26">
        <f t="shared" si="258"/>
        <v>0</v>
      </c>
      <c r="G1818" s="26">
        <f>IF(ISNA(MATCH(A1818,祝日定義!E:E,0)),0,1)</f>
        <v>0</v>
      </c>
      <c r="H1818" s="26">
        <f>IF(ISNA(MATCH(B1818&amp;"/"&amp;C1818,そのた定義!E:E,0)), 0, 1)</f>
        <v>0</v>
      </c>
      <c r="I1818" s="26" t="b">
        <f t="shared" si="259"/>
        <v>0</v>
      </c>
      <c r="J1818" s="26">
        <v>0</v>
      </c>
      <c r="K1818" s="26" t="b">
        <f t="shared" si="254"/>
        <v>0</v>
      </c>
      <c r="L1818" s="26" t="b">
        <f t="shared" si="255"/>
        <v>0</v>
      </c>
      <c r="M1818" t="b">
        <f t="shared" si="260"/>
        <v>0</v>
      </c>
      <c r="N1818" t="b">
        <f t="shared" si="261"/>
        <v>0</v>
      </c>
    </row>
    <row r="1819" spans="1:14">
      <c r="A1819" s="29">
        <v>46379</v>
      </c>
      <c r="B1819" s="30">
        <f t="shared" si="253"/>
        <v>12</v>
      </c>
      <c r="C1819" s="30">
        <f t="shared" si="256"/>
        <v>23</v>
      </c>
      <c r="D1819" s="26">
        <f>MATCH(WEEKDAY(A1819),そのた定義!A:A,0)</f>
        <v>5</v>
      </c>
      <c r="E1819" s="26" t="str">
        <f t="shared" ca="1" si="257"/>
        <v>水</v>
      </c>
      <c r="F1819" s="26">
        <f t="shared" si="258"/>
        <v>0</v>
      </c>
      <c r="G1819" s="26">
        <f>IF(ISNA(MATCH(A1819,祝日定義!E:E,0)),0,1)</f>
        <v>0</v>
      </c>
      <c r="H1819" s="26">
        <f>IF(ISNA(MATCH(B1819&amp;"/"&amp;C1819,そのた定義!E:E,0)), 0, 1)</f>
        <v>0</v>
      </c>
      <c r="I1819" s="26" t="b">
        <f t="shared" si="259"/>
        <v>0</v>
      </c>
      <c r="J1819" s="26">
        <v>0</v>
      </c>
      <c r="K1819" s="26" t="b">
        <f t="shared" si="254"/>
        <v>0</v>
      </c>
      <c r="L1819" s="26" t="b">
        <f t="shared" si="255"/>
        <v>0</v>
      </c>
      <c r="M1819" t="b">
        <f t="shared" si="260"/>
        <v>0</v>
      </c>
      <c r="N1819" t="b">
        <f t="shared" si="261"/>
        <v>0</v>
      </c>
    </row>
    <row r="1820" spans="1:14">
      <c r="A1820" s="29">
        <v>46380</v>
      </c>
      <c r="B1820" s="30">
        <f t="shared" si="253"/>
        <v>12</v>
      </c>
      <c r="C1820" s="30">
        <f t="shared" si="256"/>
        <v>24</v>
      </c>
      <c r="D1820" s="26">
        <f>MATCH(WEEKDAY(A1820),そのた定義!A:A,0)</f>
        <v>6</v>
      </c>
      <c r="E1820" s="26" t="str">
        <f t="shared" ca="1" si="257"/>
        <v>木</v>
      </c>
      <c r="F1820" s="26">
        <f t="shared" si="258"/>
        <v>0</v>
      </c>
      <c r="G1820" s="26">
        <f>IF(ISNA(MATCH(A1820,祝日定義!E:E,0)),0,1)</f>
        <v>0</v>
      </c>
      <c r="H1820" s="26">
        <f>IF(ISNA(MATCH(B1820&amp;"/"&amp;C1820,そのた定義!E:E,0)), 0, 1)</f>
        <v>0</v>
      </c>
      <c r="I1820" s="26" t="b">
        <f t="shared" si="259"/>
        <v>0</v>
      </c>
      <c r="J1820" s="26">
        <v>0</v>
      </c>
      <c r="K1820" s="26" t="b">
        <f t="shared" si="254"/>
        <v>0</v>
      </c>
      <c r="L1820" s="26" t="b">
        <f t="shared" si="255"/>
        <v>0</v>
      </c>
      <c r="M1820" t="b">
        <f t="shared" si="260"/>
        <v>0</v>
      </c>
      <c r="N1820" t="b">
        <f t="shared" si="261"/>
        <v>0</v>
      </c>
    </row>
    <row r="1821" spans="1:14">
      <c r="A1821" s="29">
        <v>46381</v>
      </c>
      <c r="B1821" s="30">
        <f t="shared" si="253"/>
        <v>12</v>
      </c>
      <c r="C1821" s="30">
        <f t="shared" si="256"/>
        <v>25</v>
      </c>
      <c r="D1821" s="26">
        <f>MATCH(WEEKDAY(A1821),そのた定義!A:A,0)</f>
        <v>7</v>
      </c>
      <c r="E1821" s="26" t="str">
        <f t="shared" ca="1" si="257"/>
        <v>金</v>
      </c>
      <c r="F1821" s="26">
        <f t="shared" si="258"/>
        <v>0</v>
      </c>
      <c r="G1821" s="26">
        <f>IF(ISNA(MATCH(A1821,祝日定義!E:E,0)),0,1)</f>
        <v>0</v>
      </c>
      <c r="H1821" s="26">
        <f>IF(ISNA(MATCH(B1821&amp;"/"&amp;C1821,そのた定義!E:E,0)), 0, 1)</f>
        <v>0</v>
      </c>
      <c r="I1821" s="26" t="b">
        <f t="shared" si="259"/>
        <v>0</v>
      </c>
      <c r="J1821" s="26">
        <v>0</v>
      </c>
      <c r="K1821" s="26" t="b">
        <f t="shared" si="254"/>
        <v>0</v>
      </c>
      <c r="L1821" s="23" t="b">
        <f t="shared" si="255"/>
        <v>1</v>
      </c>
      <c r="M1821" t="b">
        <f t="shared" si="260"/>
        <v>0</v>
      </c>
      <c r="N1821" t="b">
        <f t="shared" si="261"/>
        <v>0</v>
      </c>
    </row>
    <row r="1822" spans="1:14">
      <c r="A1822" s="29">
        <v>46382</v>
      </c>
      <c r="B1822" s="30">
        <f t="shared" si="253"/>
        <v>12</v>
      </c>
      <c r="C1822" s="30">
        <f t="shared" si="256"/>
        <v>26</v>
      </c>
      <c r="D1822" s="26">
        <f>MATCH(WEEKDAY(A1822),そのた定義!A:A,0)</f>
        <v>8</v>
      </c>
      <c r="E1822" s="33" t="str">
        <f t="shared" ca="1" si="257"/>
        <v>土</v>
      </c>
      <c r="F1822" s="26">
        <f t="shared" si="258"/>
        <v>1</v>
      </c>
      <c r="G1822" s="26">
        <f>IF(ISNA(MATCH(A1822,祝日定義!E:E,0)),0,1)</f>
        <v>0</v>
      </c>
      <c r="H1822" s="26">
        <f>IF(ISNA(MATCH(B1822&amp;"/"&amp;C1822,そのた定義!E:E,0)), 0, 1)</f>
        <v>0</v>
      </c>
      <c r="I1822" s="23" t="b">
        <f t="shared" si="259"/>
        <v>1</v>
      </c>
      <c r="J1822" s="26">
        <v>0</v>
      </c>
      <c r="K1822" s="26" t="b">
        <f t="shared" si="254"/>
        <v>0</v>
      </c>
      <c r="L1822" s="26" t="b">
        <f t="shared" si="255"/>
        <v>0</v>
      </c>
      <c r="M1822" t="b">
        <f t="shared" si="260"/>
        <v>0</v>
      </c>
      <c r="N1822" t="b">
        <f t="shared" si="261"/>
        <v>0</v>
      </c>
    </row>
    <row r="1823" spans="1:14">
      <c r="A1823" s="29">
        <v>46383</v>
      </c>
      <c r="B1823" s="30">
        <f t="shared" si="253"/>
        <v>12</v>
      </c>
      <c r="C1823" s="30">
        <f t="shared" si="256"/>
        <v>27</v>
      </c>
      <c r="D1823" s="26">
        <f>MATCH(WEEKDAY(A1823),そのた定義!A:A,0)</f>
        <v>2</v>
      </c>
      <c r="E1823" s="32" t="str">
        <f t="shared" ca="1" si="257"/>
        <v>日</v>
      </c>
      <c r="F1823" s="26">
        <f t="shared" si="258"/>
        <v>1</v>
      </c>
      <c r="G1823" s="26">
        <f>IF(ISNA(MATCH(A1823,祝日定義!E:E,0)),0,1)</f>
        <v>0</v>
      </c>
      <c r="H1823" s="26">
        <f>IF(ISNA(MATCH(B1823&amp;"/"&amp;C1823,そのた定義!E:E,0)), 0, 1)</f>
        <v>0</v>
      </c>
      <c r="I1823" s="23" t="b">
        <f t="shared" si="259"/>
        <v>1</v>
      </c>
      <c r="J1823" s="26">
        <v>0</v>
      </c>
      <c r="K1823" s="26" t="b">
        <f t="shared" si="254"/>
        <v>0</v>
      </c>
      <c r="L1823" s="26" t="b">
        <f t="shared" si="255"/>
        <v>0</v>
      </c>
      <c r="M1823" t="b">
        <f t="shared" si="260"/>
        <v>0</v>
      </c>
      <c r="N1823" t="b">
        <f t="shared" si="261"/>
        <v>0</v>
      </c>
    </row>
    <row r="1824" spans="1:14">
      <c r="A1824" s="29">
        <v>46384</v>
      </c>
      <c r="B1824" s="30">
        <f t="shared" si="253"/>
        <v>12</v>
      </c>
      <c r="C1824" s="30">
        <f t="shared" si="256"/>
        <v>28</v>
      </c>
      <c r="D1824" s="26">
        <f>MATCH(WEEKDAY(A1824),そのた定義!A:A,0)</f>
        <v>3</v>
      </c>
      <c r="E1824" s="26" t="str">
        <f t="shared" ca="1" si="257"/>
        <v>月</v>
      </c>
      <c r="F1824" s="26">
        <f t="shared" si="258"/>
        <v>0</v>
      </c>
      <c r="G1824" s="26">
        <f>IF(ISNA(MATCH(A1824,祝日定義!E:E,0)),0,1)</f>
        <v>0</v>
      </c>
      <c r="H1824" s="26">
        <f>IF(ISNA(MATCH(B1824&amp;"/"&amp;C1824,そのた定義!E:E,0)), 0, 1)</f>
        <v>0</v>
      </c>
      <c r="I1824" s="26" t="b">
        <f t="shared" si="259"/>
        <v>0</v>
      </c>
      <c r="J1824" s="26">
        <v>2</v>
      </c>
      <c r="K1824" s="26" t="b">
        <f t="shared" si="254"/>
        <v>0</v>
      </c>
      <c r="L1824" s="26" t="b">
        <f t="shared" si="255"/>
        <v>0</v>
      </c>
      <c r="M1824" t="b">
        <f t="shared" si="260"/>
        <v>0</v>
      </c>
      <c r="N1824" t="b">
        <f t="shared" si="261"/>
        <v>0</v>
      </c>
    </row>
    <row r="1825" spans="1:14">
      <c r="A1825" s="29">
        <v>46385</v>
      </c>
      <c r="B1825" s="30">
        <f t="shared" si="253"/>
        <v>12</v>
      </c>
      <c r="C1825" s="30">
        <f t="shared" si="256"/>
        <v>29</v>
      </c>
      <c r="D1825" s="26">
        <f>MATCH(WEEKDAY(A1825),そのた定義!A:A,0)</f>
        <v>4</v>
      </c>
      <c r="E1825" s="26" t="str">
        <f t="shared" ca="1" si="257"/>
        <v>火</v>
      </c>
      <c r="F1825" s="26">
        <f t="shared" si="258"/>
        <v>0</v>
      </c>
      <c r="G1825" s="26">
        <f>IF(ISNA(MATCH(A1825,祝日定義!E:E,0)),0,1)</f>
        <v>0</v>
      </c>
      <c r="H1825" s="26">
        <f>IF(ISNA(MATCH(B1825&amp;"/"&amp;C1825,そのた定義!E:E,0)), 0, 1)</f>
        <v>0</v>
      </c>
      <c r="I1825" s="26" t="b">
        <f t="shared" si="259"/>
        <v>0</v>
      </c>
      <c r="J1825" s="26">
        <v>0</v>
      </c>
      <c r="K1825" s="26" t="b">
        <f t="shared" si="254"/>
        <v>0</v>
      </c>
      <c r="L1825" s="26" t="b">
        <f t="shared" si="255"/>
        <v>0</v>
      </c>
      <c r="M1825" t="b">
        <f t="shared" si="260"/>
        <v>0</v>
      </c>
      <c r="N1825" t="b">
        <f t="shared" si="261"/>
        <v>0</v>
      </c>
    </row>
    <row r="1826" spans="1:14">
      <c r="A1826" s="29">
        <v>46386</v>
      </c>
      <c r="B1826" s="30">
        <f t="shared" si="253"/>
        <v>12</v>
      </c>
      <c r="C1826" s="30">
        <f t="shared" si="256"/>
        <v>30</v>
      </c>
      <c r="D1826" s="26">
        <f>MATCH(WEEKDAY(A1826),そのた定義!A:A,0)</f>
        <v>5</v>
      </c>
      <c r="E1826" s="31" t="str">
        <f t="shared" ca="1" si="257"/>
        <v>水</v>
      </c>
      <c r="F1826" s="26">
        <f t="shared" si="258"/>
        <v>0</v>
      </c>
      <c r="G1826" s="26">
        <f>IF(ISNA(MATCH(A1826,祝日定義!E:E,0)),0,1)</f>
        <v>0</v>
      </c>
      <c r="H1826" s="26">
        <f>IF(ISNA(MATCH(B1826&amp;"/"&amp;C1826,そのた定義!E:E,0)), 0, 1)</f>
        <v>1</v>
      </c>
      <c r="I1826" s="23" t="b">
        <f t="shared" si="259"/>
        <v>1</v>
      </c>
      <c r="J1826" s="26">
        <v>0</v>
      </c>
      <c r="K1826" s="26" t="b">
        <f t="shared" si="254"/>
        <v>0</v>
      </c>
      <c r="L1826" s="26" t="b">
        <f t="shared" si="255"/>
        <v>0</v>
      </c>
      <c r="M1826" t="b">
        <f t="shared" si="260"/>
        <v>0</v>
      </c>
      <c r="N1826" t="b">
        <f t="shared" si="261"/>
        <v>0</v>
      </c>
    </row>
    <row r="1827" spans="1:14">
      <c r="A1827" s="29">
        <v>46387</v>
      </c>
      <c r="B1827" s="30">
        <f t="shared" si="253"/>
        <v>12</v>
      </c>
      <c r="C1827" s="30">
        <f t="shared" si="256"/>
        <v>31</v>
      </c>
      <c r="D1827" s="26">
        <f>MATCH(WEEKDAY(A1827),そのた定義!A:A,0)</f>
        <v>6</v>
      </c>
      <c r="E1827" s="31" t="str">
        <f t="shared" ca="1" si="257"/>
        <v>木</v>
      </c>
      <c r="F1827" s="26">
        <f t="shared" si="258"/>
        <v>0</v>
      </c>
      <c r="G1827" s="26">
        <f>IF(ISNA(MATCH(A1827,祝日定義!E:E,0)),0,1)</f>
        <v>0</v>
      </c>
      <c r="H1827" s="26">
        <f>IF(ISNA(MATCH(B1827&amp;"/"&amp;C1827,そのた定義!E:E,0)), 0, 1)</f>
        <v>1</v>
      </c>
      <c r="I1827" s="23" t="b">
        <f t="shared" si="259"/>
        <v>1</v>
      </c>
      <c r="J1827" s="26">
        <v>0</v>
      </c>
      <c r="K1827" s="26" t="b">
        <f t="shared" si="254"/>
        <v>0</v>
      </c>
      <c r="L1827" s="26" t="b">
        <f t="shared" si="255"/>
        <v>0</v>
      </c>
      <c r="M1827" t="b">
        <f t="shared" si="260"/>
        <v>0</v>
      </c>
      <c r="N1827" t="b">
        <f t="shared" si="261"/>
        <v>1</v>
      </c>
    </row>
    <row r="1828" spans="1:14">
      <c r="A1828" s="29">
        <v>46388</v>
      </c>
      <c r="B1828" s="30">
        <f t="shared" si="253"/>
        <v>1</v>
      </c>
      <c r="C1828" s="30">
        <f t="shared" si="256"/>
        <v>1</v>
      </c>
      <c r="D1828" s="26">
        <f>MATCH(WEEKDAY(A1828),そのた定義!A:A,0)</f>
        <v>7</v>
      </c>
      <c r="E1828" s="31" t="str">
        <f t="shared" ca="1" si="257"/>
        <v>金</v>
      </c>
      <c r="F1828" s="26">
        <f t="shared" si="258"/>
        <v>0</v>
      </c>
      <c r="G1828" s="26">
        <f>IF(ISNA(MATCH(A1828,祝日定義!E:E,0)),0,1)</f>
        <v>1</v>
      </c>
      <c r="H1828" s="26">
        <f>IF(ISNA(MATCH(B1828&amp;"/"&amp;C1828,そのた定義!E:E,0)), 0, 1)</f>
        <v>1</v>
      </c>
      <c r="I1828" s="23" t="b">
        <f t="shared" si="259"/>
        <v>1</v>
      </c>
      <c r="J1828" s="26">
        <v>0</v>
      </c>
      <c r="K1828" s="26" t="b">
        <f t="shared" si="254"/>
        <v>0</v>
      </c>
      <c r="L1828" s="26" t="b">
        <f t="shared" si="255"/>
        <v>0</v>
      </c>
      <c r="M1828" t="b">
        <f t="shared" si="260"/>
        <v>0</v>
      </c>
      <c r="N1828" t="b">
        <f t="shared" si="261"/>
        <v>0</v>
      </c>
    </row>
    <row r="1829" spans="1:14">
      <c r="A1829" s="29">
        <v>46389</v>
      </c>
      <c r="B1829" s="30">
        <f t="shared" si="253"/>
        <v>1</v>
      </c>
      <c r="C1829" s="30">
        <f t="shared" si="256"/>
        <v>2</v>
      </c>
      <c r="D1829" s="26">
        <f>MATCH(WEEKDAY(A1829),そのた定義!A:A,0)</f>
        <v>8</v>
      </c>
      <c r="E1829" s="33" t="str">
        <f t="shared" ca="1" si="257"/>
        <v>土</v>
      </c>
      <c r="F1829" s="26">
        <f t="shared" si="258"/>
        <v>1</v>
      </c>
      <c r="G1829" s="26">
        <f>IF(ISNA(MATCH(A1829,祝日定義!E:E,0)),0,1)</f>
        <v>0</v>
      </c>
      <c r="H1829" s="26">
        <f>IF(ISNA(MATCH(B1829&amp;"/"&amp;C1829,そのた定義!E:E,0)), 0, 1)</f>
        <v>1</v>
      </c>
      <c r="I1829" s="23" t="b">
        <f t="shared" si="259"/>
        <v>1</v>
      </c>
      <c r="J1829" s="26">
        <v>0</v>
      </c>
      <c r="K1829" s="26" t="b">
        <f t="shared" si="254"/>
        <v>0</v>
      </c>
      <c r="L1829" s="26" t="b">
        <f t="shared" si="255"/>
        <v>0</v>
      </c>
      <c r="M1829" t="b">
        <f t="shared" si="260"/>
        <v>0</v>
      </c>
      <c r="N1829" t="b">
        <f t="shared" si="261"/>
        <v>0</v>
      </c>
    </row>
    <row r="1830" spans="1:14">
      <c r="A1830" s="29">
        <v>46390</v>
      </c>
      <c r="B1830" s="30">
        <f t="shared" si="253"/>
        <v>1</v>
      </c>
      <c r="C1830" s="30">
        <f t="shared" si="256"/>
        <v>3</v>
      </c>
      <c r="D1830" s="26">
        <f>MATCH(WEEKDAY(A1830),そのた定義!A:A,0)</f>
        <v>2</v>
      </c>
      <c r="E1830" s="32" t="str">
        <f t="shared" ca="1" si="257"/>
        <v>日</v>
      </c>
      <c r="F1830" s="26">
        <f t="shared" si="258"/>
        <v>1</v>
      </c>
      <c r="G1830" s="26">
        <f>IF(ISNA(MATCH(A1830,祝日定義!E:E,0)),0,1)</f>
        <v>0</v>
      </c>
      <c r="H1830" s="26">
        <f>IF(ISNA(MATCH(B1830&amp;"/"&amp;C1830,そのた定義!E:E,0)), 0, 1)</f>
        <v>1</v>
      </c>
      <c r="I1830" s="23" t="b">
        <f t="shared" si="259"/>
        <v>1</v>
      </c>
      <c r="J1830" s="26">
        <v>0</v>
      </c>
      <c r="K1830" s="26" t="b">
        <f t="shared" si="254"/>
        <v>0</v>
      </c>
      <c r="L1830" s="26" t="b">
        <f t="shared" si="255"/>
        <v>0</v>
      </c>
      <c r="M1830" t="b">
        <f t="shared" si="260"/>
        <v>0</v>
      </c>
      <c r="N1830" t="b">
        <f t="shared" si="261"/>
        <v>0</v>
      </c>
    </row>
    <row r="1831" spans="1:14">
      <c r="A1831" s="29">
        <v>46391</v>
      </c>
      <c r="B1831" s="30">
        <f t="shared" si="253"/>
        <v>1</v>
      </c>
      <c r="C1831" s="30">
        <f t="shared" si="256"/>
        <v>4</v>
      </c>
      <c r="D1831" s="26">
        <f>MATCH(WEEKDAY(A1831),そのた定義!A:A,0)</f>
        <v>3</v>
      </c>
      <c r="E1831" s="26" t="str">
        <f t="shared" ca="1" si="257"/>
        <v>月</v>
      </c>
      <c r="F1831" s="26">
        <f t="shared" si="258"/>
        <v>0</v>
      </c>
      <c r="G1831" s="26">
        <f>IF(ISNA(MATCH(A1831,祝日定義!E:E,0)),0,1)</f>
        <v>0</v>
      </c>
      <c r="H1831" s="26">
        <f>IF(ISNA(MATCH(B1831&amp;"/"&amp;C1831,そのた定義!E:E,0)), 0, 1)</f>
        <v>0</v>
      </c>
      <c r="I1831" s="26" t="b">
        <f t="shared" si="259"/>
        <v>0</v>
      </c>
      <c r="J1831" s="26">
        <v>5</v>
      </c>
      <c r="K1831" s="26" t="b">
        <f t="shared" si="254"/>
        <v>0</v>
      </c>
      <c r="L1831" s="26" t="b">
        <f t="shared" si="255"/>
        <v>0</v>
      </c>
      <c r="M1831" t="b">
        <f t="shared" si="260"/>
        <v>1</v>
      </c>
      <c r="N1831" t="b">
        <f t="shared" si="261"/>
        <v>0</v>
      </c>
    </row>
    <row r="1832" spans="1:14">
      <c r="A1832" s="29">
        <v>46392</v>
      </c>
      <c r="B1832" s="30">
        <f t="shared" si="253"/>
        <v>1</v>
      </c>
      <c r="C1832" s="30">
        <f t="shared" si="256"/>
        <v>5</v>
      </c>
      <c r="D1832" s="26">
        <f>MATCH(WEEKDAY(A1832),そのた定義!A:A,0)</f>
        <v>4</v>
      </c>
      <c r="E1832" s="26" t="str">
        <f t="shared" ca="1" si="257"/>
        <v>火</v>
      </c>
      <c r="F1832" s="26">
        <f t="shared" si="258"/>
        <v>0</v>
      </c>
      <c r="G1832" s="26">
        <f>IF(ISNA(MATCH(A1832,祝日定義!E:E,0)),0,1)</f>
        <v>0</v>
      </c>
      <c r="H1832" s="26">
        <f>IF(ISNA(MATCH(B1832&amp;"/"&amp;C1832,そのた定義!E:E,0)), 0, 1)</f>
        <v>0</v>
      </c>
      <c r="I1832" s="26" t="b">
        <f t="shared" si="259"/>
        <v>0</v>
      </c>
      <c r="J1832" s="26">
        <v>0</v>
      </c>
      <c r="K1832" s="26" t="b">
        <f t="shared" si="254"/>
        <v>0</v>
      </c>
      <c r="L1832" s="26" t="b">
        <f t="shared" si="255"/>
        <v>0</v>
      </c>
      <c r="M1832" t="b">
        <f t="shared" si="260"/>
        <v>0</v>
      </c>
      <c r="N1832" t="b">
        <f t="shared" si="261"/>
        <v>0</v>
      </c>
    </row>
    <row r="1833" spans="1:14">
      <c r="A1833" s="29">
        <v>46393</v>
      </c>
      <c r="B1833" s="30">
        <f t="shared" si="253"/>
        <v>1</v>
      </c>
      <c r="C1833" s="30">
        <f t="shared" si="256"/>
        <v>6</v>
      </c>
      <c r="D1833" s="26">
        <f>MATCH(WEEKDAY(A1833),そのた定義!A:A,0)</f>
        <v>5</v>
      </c>
      <c r="E1833" s="26" t="str">
        <f t="shared" ca="1" si="257"/>
        <v>水</v>
      </c>
      <c r="F1833" s="26">
        <f t="shared" si="258"/>
        <v>0</v>
      </c>
      <c r="G1833" s="26">
        <f>IF(ISNA(MATCH(A1833,祝日定義!E:E,0)),0,1)</f>
        <v>0</v>
      </c>
      <c r="H1833" s="26">
        <f>IF(ISNA(MATCH(B1833&amp;"/"&amp;C1833,そのた定義!E:E,0)), 0, 1)</f>
        <v>0</v>
      </c>
      <c r="I1833" s="26" t="b">
        <f t="shared" si="259"/>
        <v>0</v>
      </c>
      <c r="J1833" s="26">
        <v>0</v>
      </c>
      <c r="K1833" s="26" t="b">
        <f t="shared" si="254"/>
        <v>0</v>
      </c>
      <c r="L1833" s="26" t="b">
        <f t="shared" si="255"/>
        <v>0</v>
      </c>
      <c r="M1833" t="b">
        <f t="shared" si="260"/>
        <v>0</v>
      </c>
      <c r="N1833" t="b">
        <f t="shared" si="261"/>
        <v>0</v>
      </c>
    </row>
    <row r="1834" spans="1:14">
      <c r="A1834" s="29">
        <v>46394</v>
      </c>
      <c r="B1834" s="30">
        <f t="shared" si="253"/>
        <v>1</v>
      </c>
      <c r="C1834" s="30">
        <f t="shared" si="256"/>
        <v>7</v>
      </c>
      <c r="D1834" s="26">
        <f>MATCH(WEEKDAY(A1834),そのた定義!A:A,0)</f>
        <v>6</v>
      </c>
      <c r="E1834" s="26" t="str">
        <f t="shared" ca="1" si="257"/>
        <v>木</v>
      </c>
      <c r="F1834" s="26">
        <f t="shared" si="258"/>
        <v>0</v>
      </c>
      <c r="G1834" s="26">
        <f>IF(ISNA(MATCH(A1834,祝日定義!E:E,0)),0,1)</f>
        <v>0</v>
      </c>
      <c r="H1834" s="26">
        <f>IF(ISNA(MATCH(B1834&amp;"/"&amp;C1834,そのた定義!E:E,0)), 0, 1)</f>
        <v>0</v>
      </c>
      <c r="I1834" s="26" t="b">
        <f t="shared" si="259"/>
        <v>0</v>
      </c>
      <c r="J1834" s="26">
        <v>0</v>
      </c>
      <c r="K1834" s="26" t="b">
        <f t="shared" si="254"/>
        <v>0</v>
      </c>
      <c r="L1834" s="26" t="b">
        <f t="shared" si="255"/>
        <v>0</v>
      </c>
      <c r="M1834" t="b">
        <f t="shared" si="260"/>
        <v>0</v>
      </c>
      <c r="N1834" t="b">
        <f t="shared" si="261"/>
        <v>0</v>
      </c>
    </row>
    <row r="1835" spans="1:14">
      <c r="A1835" s="29">
        <v>46395</v>
      </c>
      <c r="B1835" s="30">
        <f t="shared" si="253"/>
        <v>1</v>
      </c>
      <c r="C1835" s="30">
        <f t="shared" si="256"/>
        <v>8</v>
      </c>
      <c r="D1835" s="26">
        <f>MATCH(WEEKDAY(A1835),そのた定義!A:A,0)</f>
        <v>7</v>
      </c>
      <c r="E1835" s="26" t="str">
        <f t="shared" ca="1" si="257"/>
        <v>金</v>
      </c>
      <c r="F1835" s="26">
        <f t="shared" si="258"/>
        <v>0</v>
      </c>
      <c r="G1835" s="26">
        <f>IF(ISNA(MATCH(A1835,祝日定義!E:E,0)),0,1)</f>
        <v>0</v>
      </c>
      <c r="H1835" s="26">
        <f>IF(ISNA(MATCH(B1835&amp;"/"&amp;C1835,そのた定義!E:E,0)), 0, 1)</f>
        <v>0</v>
      </c>
      <c r="I1835" s="26" t="b">
        <f t="shared" si="259"/>
        <v>0</v>
      </c>
      <c r="J1835" s="26">
        <v>0</v>
      </c>
      <c r="K1835" s="26" t="b">
        <f t="shared" si="254"/>
        <v>0</v>
      </c>
      <c r="L1835" s="26" t="b">
        <f t="shared" si="255"/>
        <v>0</v>
      </c>
      <c r="M1835" t="b">
        <f t="shared" si="260"/>
        <v>0</v>
      </c>
      <c r="N1835" t="b">
        <f t="shared" si="261"/>
        <v>0</v>
      </c>
    </row>
    <row r="1836" spans="1:14">
      <c r="A1836" s="29">
        <v>46396</v>
      </c>
      <c r="B1836" s="30">
        <f t="shared" si="253"/>
        <v>1</v>
      </c>
      <c r="C1836" s="30">
        <f t="shared" si="256"/>
        <v>9</v>
      </c>
      <c r="D1836" s="26">
        <f>MATCH(WEEKDAY(A1836),そのた定義!A:A,0)</f>
        <v>8</v>
      </c>
      <c r="E1836" s="33" t="str">
        <f t="shared" ca="1" si="257"/>
        <v>土</v>
      </c>
      <c r="F1836" s="26">
        <f t="shared" si="258"/>
        <v>1</v>
      </c>
      <c r="G1836" s="26">
        <f>IF(ISNA(MATCH(A1836,祝日定義!E:E,0)),0,1)</f>
        <v>0</v>
      </c>
      <c r="H1836" s="26">
        <f>IF(ISNA(MATCH(B1836&amp;"/"&amp;C1836,そのた定義!E:E,0)), 0, 1)</f>
        <v>0</v>
      </c>
      <c r="I1836" s="23" t="b">
        <f t="shared" si="259"/>
        <v>1</v>
      </c>
      <c r="J1836" s="26">
        <v>0</v>
      </c>
      <c r="K1836" s="26" t="b">
        <f t="shared" si="254"/>
        <v>0</v>
      </c>
      <c r="L1836" s="26" t="b">
        <f t="shared" si="255"/>
        <v>0</v>
      </c>
      <c r="M1836" t="b">
        <f t="shared" si="260"/>
        <v>0</v>
      </c>
      <c r="N1836" t="b">
        <f t="shared" si="261"/>
        <v>0</v>
      </c>
    </row>
    <row r="1837" spans="1:14">
      <c r="A1837" s="29">
        <v>46397</v>
      </c>
      <c r="B1837" s="30">
        <f t="shared" si="253"/>
        <v>1</v>
      </c>
      <c r="C1837" s="30">
        <f t="shared" si="256"/>
        <v>10</v>
      </c>
      <c r="D1837" s="26">
        <f>MATCH(WEEKDAY(A1837),そのた定義!A:A,0)</f>
        <v>2</v>
      </c>
      <c r="E1837" s="32" t="str">
        <f t="shared" ca="1" si="257"/>
        <v>日</v>
      </c>
      <c r="F1837" s="26">
        <f t="shared" si="258"/>
        <v>1</v>
      </c>
      <c r="G1837" s="26">
        <f>IF(ISNA(MATCH(A1837,祝日定義!E:E,0)),0,1)</f>
        <v>0</v>
      </c>
      <c r="H1837" s="26">
        <f>IF(ISNA(MATCH(B1837&amp;"/"&amp;C1837,そのた定義!E:E,0)), 0, 1)</f>
        <v>0</v>
      </c>
      <c r="I1837" s="23" t="b">
        <f t="shared" si="259"/>
        <v>1</v>
      </c>
      <c r="J1837" s="26">
        <v>0</v>
      </c>
      <c r="K1837" s="26" t="b">
        <f t="shared" si="254"/>
        <v>0</v>
      </c>
      <c r="L1837" s="26" t="b">
        <f t="shared" si="255"/>
        <v>0</v>
      </c>
      <c r="M1837" t="b">
        <f t="shared" si="260"/>
        <v>0</v>
      </c>
      <c r="N1837" t="b">
        <f t="shared" si="261"/>
        <v>0</v>
      </c>
    </row>
    <row r="1838" spans="1:14">
      <c r="A1838" s="29">
        <v>46398</v>
      </c>
      <c r="B1838" s="30">
        <f t="shared" si="253"/>
        <v>1</v>
      </c>
      <c r="C1838" s="30">
        <f t="shared" si="256"/>
        <v>11</v>
      </c>
      <c r="D1838" s="26">
        <f>MATCH(WEEKDAY(A1838),そのた定義!A:A,0)</f>
        <v>3</v>
      </c>
      <c r="E1838" s="31" t="str">
        <f t="shared" ca="1" si="257"/>
        <v>月</v>
      </c>
      <c r="F1838" s="26">
        <f t="shared" si="258"/>
        <v>0</v>
      </c>
      <c r="G1838" s="26">
        <f>IF(ISNA(MATCH(A1838,祝日定義!E:E,0)),0,1)</f>
        <v>1</v>
      </c>
      <c r="H1838" s="26">
        <f>IF(ISNA(MATCH(B1838&amp;"/"&amp;C1838,そのた定義!E:E,0)), 0, 1)</f>
        <v>0</v>
      </c>
      <c r="I1838" s="23" t="b">
        <f t="shared" si="259"/>
        <v>1</v>
      </c>
      <c r="J1838" s="26">
        <v>0</v>
      </c>
      <c r="K1838" s="26" t="b">
        <f t="shared" si="254"/>
        <v>0</v>
      </c>
      <c r="L1838" s="26" t="b">
        <f t="shared" si="255"/>
        <v>0</v>
      </c>
      <c r="M1838" t="b">
        <f t="shared" si="260"/>
        <v>0</v>
      </c>
      <c r="N1838" t="b">
        <f t="shared" si="261"/>
        <v>0</v>
      </c>
    </row>
    <row r="1839" spans="1:14">
      <c r="A1839" s="29">
        <v>46399</v>
      </c>
      <c r="B1839" s="30">
        <f t="shared" si="253"/>
        <v>1</v>
      </c>
      <c r="C1839" s="30">
        <f t="shared" si="256"/>
        <v>12</v>
      </c>
      <c r="D1839" s="26">
        <f>MATCH(WEEKDAY(A1839),そのた定義!A:A,0)</f>
        <v>4</v>
      </c>
      <c r="E1839" s="26" t="str">
        <f t="shared" ca="1" si="257"/>
        <v>火</v>
      </c>
      <c r="F1839" s="26">
        <f t="shared" si="258"/>
        <v>0</v>
      </c>
      <c r="G1839" s="26">
        <f>IF(ISNA(MATCH(A1839,祝日定義!E:E,0)),0,1)</f>
        <v>0</v>
      </c>
      <c r="H1839" s="26">
        <f>IF(ISNA(MATCH(B1839&amp;"/"&amp;C1839,そのた定義!E:E,0)), 0, 1)</f>
        <v>0</v>
      </c>
      <c r="I1839" s="26" t="b">
        <f t="shared" si="259"/>
        <v>0</v>
      </c>
      <c r="J1839" s="26">
        <v>3</v>
      </c>
      <c r="K1839" s="26" t="b">
        <f t="shared" si="254"/>
        <v>0</v>
      </c>
      <c r="L1839" s="26" t="b">
        <f t="shared" si="255"/>
        <v>0</v>
      </c>
      <c r="M1839" t="b">
        <f t="shared" si="260"/>
        <v>0</v>
      </c>
      <c r="N1839" t="b">
        <f t="shared" si="261"/>
        <v>0</v>
      </c>
    </row>
    <row r="1840" spans="1:14">
      <c r="A1840" s="29">
        <v>46400</v>
      </c>
      <c r="B1840" s="30">
        <f t="shared" si="253"/>
        <v>1</v>
      </c>
      <c r="C1840" s="30">
        <f t="shared" si="256"/>
        <v>13</v>
      </c>
      <c r="D1840" s="26">
        <f>MATCH(WEEKDAY(A1840),そのた定義!A:A,0)</f>
        <v>5</v>
      </c>
      <c r="E1840" s="26" t="str">
        <f t="shared" ca="1" si="257"/>
        <v>水</v>
      </c>
      <c r="F1840" s="26">
        <f t="shared" si="258"/>
        <v>0</v>
      </c>
      <c r="G1840" s="26">
        <f>IF(ISNA(MATCH(A1840,祝日定義!E:E,0)),0,1)</f>
        <v>0</v>
      </c>
      <c r="H1840" s="26">
        <f>IF(ISNA(MATCH(B1840&amp;"/"&amp;C1840,そのた定義!E:E,0)), 0, 1)</f>
        <v>0</v>
      </c>
      <c r="I1840" s="26" t="b">
        <f t="shared" si="259"/>
        <v>0</v>
      </c>
      <c r="J1840" s="26">
        <v>0</v>
      </c>
      <c r="K1840" s="26" t="b">
        <f t="shared" si="254"/>
        <v>0</v>
      </c>
      <c r="L1840" s="26" t="b">
        <f t="shared" si="255"/>
        <v>0</v>
      </c>
      <c r="M1840" t="b">
        <f t="shared" si="260"/>
        <v>0</v>
      </c>
      <c r="N1840" t="b">
        <f t="shared" si="261"/>
        <v>0</v>
      </c>
    </row>
    <row r="1841" spans="1:14">
      <c r="A1841" s="29">
        <v>46401</v>
      </c>
      <c r="B1841" s="30">
        <f t="shared" si="253"/>
        <v>1</v>
      </c>
      <c r="C1841" s="30">
        <f t="shared" si="256"/>
        <v>14</v>
      </c>
      <c r="D1841" s="26">
        <f>MATCH(WEEKDAY(A1841),そのた定義!A:A,0)</f>
        <v>6</v>
      </c>
      <c r="E1841" s="26" t="str">
        <f t="shared" ca="1" si="257"/>
        <v>木</v>
      </c>
      <c r="F1841" s="26">
        <f t="shared" si="258"/>
        <v>0</v>
      </c>
      <c r="G1841" s="26">
        <f>IF(ISNA(MATCH(A1841,祝日定義!E:E,0)),0,1)</f>
        <v>0</v>
      </c>
      <c r="H1841" s="26">
        <f>IF(ISNA(MATCH(B1841&amp;"/"&amp;C1841,そのた定義!E:E,0)), 0, 1)</f>
        <v>0</v>
      </c>
      <c r="I1841" s="26" t="b">
        <f t="shared" si="259"/>
        <v>0</v>
      </c>
      <c r="J1841" s="26">
        <v>0</v>
      </c>
      <c r="K1841" s="26" t="b">
        <f t="shared" si="254"/>
        <v>0</v>
      </c>
      <c r="L1841" s="26" t="b">
        <f t="shared" si="255"/>
        <v>0</v>
      </c>
      <c r="M1841" t="b">
        <f t="shared" si="260"/>
        <v>0</v>
      </c>
      <c r="N1841" t="b">
        <f t="shared" si="261"/>
        <v>0</v>
      </c>
    </row>
    <row r="1842" spans="1:14">
      <c r="A1842" s="29">
        <v>46402</v>
      </c>
      <c r="B1842" s="30">
        <f t="shared" si="253"/>
        <v>1</v>
      </c>
      <c r="C1842" s="30">
        <f t="shared" si="256"/>
        <v>15</v>
      </c>
      <c r="D1842" s="26">
        <f>MATCH(WEEKDAY(A1842),そのた定義!A:A,0)</f>
        <v>7</v>
      </c>
      <c r="E1842" s="26" t="str">
        <f t="shared" ca="1" si="257"/>
        <v>金</v>
      </c>
      <c r="F1842" s="26">
        <f t="shared" si="258"/>
        <v>0</v>
      </c>
      <c r="G1842" s="26">
        <f>IF(ISNA(MATCH(A1842,祝日定義!E:E,0)),0,1)</f>
        <v>0</v>
      </c>
      <c r="H1842" s="26">
        <f>IF(ISNA(MATCH(B1842&amp;"/"&amp;C1842,そのた定義!E:E,0)), 0, 1)</f>
        <v>0</v>
      </c>
      <c r="I1842" s="26" t="b">
        <f t="shared" si="259"/>
        <v>0</v>
      </c>
      <c r="J1842" s="26">
        <v>0</v>
      </c>
      <c r="K1842" s="26" t="b">
        <f t="shared" si="254"/>
        <v>0</v>
      </c>
      <c r="L1842" s="26" t="b">
        <f t="shared" si="255"/>
        <v>0</v>
      </c>
      <c r="M1842" t="b">
        <f t="shared" si="260"/>
        <v>0</v>
      </c>
      <c r="N1842" t="b">
        <f t="shared" si="261"/>
        <v>0</v>
      </c>
    </row>
    <row r="1843" spans="1:14">
      <c r="A1843" s="29">
        <v>46403</v>
      </c>
      <c r="B1843" s="30">
        <f t="shared" si="253"/>
        <v>1</v>
      </c>
      <c r="C1843" s="30">
        <f t="shared" si="256"/>
        <v>16</v>
      </c>
      <c r="D1843" s="26">
        <f>MATCH(WEEKDAY(A1843),そのた定義!A:A,0)</f>
        <v>8</v>
      </c>
      <c r="E1843" s="33" t="str">
        <f t="shared" ca="1" si="257"/>
        <v>土</v>
      </c>
      <c r="F1843" s="26">
        <f t="shared" si="258"/>
        <v>1</v>
      </c>
      <c r="G1843" s="26">
        <f>IF(ISNA(MATCH(A1843,祝日定義!E:E,0)),0,1)</f>
        <v>0</v>
      </c>
      <c r="H1843" s="26">
        <f>IF(ISNA(MATCH(B1843&amp;"/"&amp;C1843,そのた定義!E:E,0)), 0, 1)</f>
        <v>0</v>
      </c>
      <c r="I1843" s="23" t="b">
        <f t="shared" si="259"/>
        <v>1</v>
      </c>
      <c r="J1843" s="26">
        <v>0</v>
      </c>
      <c r="K1843" s="26" t="b">
        <f t="shared" si="254"/>
        <v>0</v>
      </c>
      <c r="L1843" s="26" t="b">
        <f t="shared" si="255"/>
        <v>0</v>
      </c>
      <c r="M1843" t="b">
        <f t="shared" si="260"/>
        <v>0</v>
      </c>
      <c r="N1843" t="b">
        <f t="shared" si="261"/>
        <v>0</v>
      </c>
    </row>
    <row r="1844" spans="1:14">
      <c r="A1844" s="29">
        <v>46404</v>
      </c>
      <c r="B1844" s="30">
        <f t="shared" si="253"/>
        <v>1</v>
      </c>
      <c r="C1844" s="30">
        <f t="shared" si="256"/>
        <v>17</v>
      </c>
      <c r="D1844" s="26">
        <f>MATCH(WEEKDAY(A1844),そのた定義!A:A,0)</f>
        <v>2</v>
      </c>
      <c r="E1844" s="32" t="str">
        <f t="shared" ca="1" si="257"/>
        <v>日</v>
      </c>
      <c r="F1844" s="26">
        <f t="shared" si="258"/>
        <v>1</v>
      </c>
      <c r="G1844" s="26">
        <f>IF(ISNA(MATCH(A1844,祝日定義!E:E,0)),0,1)</f>
        <v>0</v>
      </c>
      <c r="H1844" s="26">
        <f>IF(ISNA(MATCH(B1844&amp;"/"&amp;C1844,そのた定義!E:E,0)), 0, 1)</f>
        <v>0</v>
      </c>
      <c r="I1844" s="23" t="b">
        <f t="shared" si="259"/>
        <v>1</v>
      </c>
      <c r="J1844" s="26">
        <v>0</v>
      </c>
      <c r="K1844" s="26" t="b">
        <f t="shared" si="254"/>
        <v>0</v>
      </c>
      <c r="L1844" s="26" t="b">
        <f t="shared" si="255"/>
        <v>0</v>
      </c>
      <c r="M1844" t="b">
        <f t="shared" si="260"/>
        <v>0</v>
      </c>
      <c r="N1844" t="b">
        <f t="shared" si="261"/>
        <v>0</v>
      </c>
    </row>
    <row r="1845" spans="1:14">
      <c r="A1845" s="29">
        <v>46405</v>
      </c>
      <c r="B1845" s="30">
        <f t="shared" si="253"/>
        <v>1</v>
      </c>
      <c r="C1845" s="30">
        <f t="shared" si="256"/>
        <v>18</v>
      </c>
      <c r="D1845" s="26">
        <f>MATCH(WEEKDAY(A1845),そのた定義!A:A,0)</f>
        <v>3</v>
      </c>
      <c r="E1845" s="26" t="str">
        <f t="shared" ca="1" si="257"/>
        <v>月</v>
      </c>
      <c r="F1845" s="26">
        <f t="shared" si="258"/>
        <v>0</v>
      </c>
      <c r="G1845" s="26">
        <f>IF(ISNA(MATCH(A1845,祝日定義!E:E,0)),0,1)</f>
        <v>0</v>
      </c>
      <c r="H1845" s="26">
        <f>IF(ISNA(MATCH(B1845&amp;"/"&amp;C1845,そのた定義!E:E,0)), 0, 1)</f>
        <v>0</v>
      </c>
      <c r="I1845" s="26" t="b">
        <f t="shared" si="259"/>
        <v>0</v>
      </c>
      <c r="J1845" s="26">
        <v>2</v>
      </c>
      <c r="K1845" s="26" t="b">
        <f t="shared" si="254"/>
        <v>0</v>
      </c>
      <c r="L1845" s="26" t="b">
        <f t="shared" si="255"/>
        <v>0</v>
      </c>
      <c r="M1845" t="b">
        <f t="shared" si="260"/>
        <v>0</v>
      </c>
      <c r="N1845" t="b">
        <f t="shared" si="261"/>
        <v>0</v>
      </c>
    </row>
    <row r="1846" spans="1:14">
      <c r="A1846" s="29">
        <v>46406</v>
      </c>
      <c r="B1846" s="30">
        <f t="shared" si="253"/>
        <v>1</v>
      </c>
      <c r="C1846" s="30">
        <f t="shared" si="256"/>
        <v>19</v>
      </c>
      <c r="D1846" s="26">
        <f>MATCH(WEEKDAY(A1846),そのた定義!A:A,0)</f>
        <v>4</v>
      </c>
      <c r="E1846" s="26" t="str">
        <f t="shared" ca="1" si="257"/>
        <v>火</v>
      </c>
      <c r="F1846" s="26">
        <f t="shared" si="258"/>
        <v>0</v>
      </c>
      <c r="G1846" s="26">
        <f>IF(ISNA(MATCH(A1846,祝日定義!E:E,0)),0,1)</f>
        <v>0</v>
      </c>
      <c r="H1846" s="26">
        <f>IF(ISNA(MATCH(B1846&amp;"/"&amp;C1846,そのた定義!E:E,0)), 0, 1)</f>
        <v>0</v>
      </c>
      <c r="I1846" s="26" t="b">
        <f t="shared" si="259"/>
        <v>0</v>
      </c>
      <c r="J1846" s="26">
        <v>0</v>
      </c>
      <c r="K1846" s="26" t="b">
        <f t="shared" si="254"/>
        <v>0</v>
      </c>
      <c r="L1846" s="26" t="b">
        <f t="shared" si="255"/>
        <v>0</v>
      </c>
      <c r="M1846" t="b">
        <f t="shared" si="260"/>
        <v>0</v>
      </c>
      <c r="N1846" t="b">
        <f t="shared" si="261"/>
        <v>0</v>
      </c>
    </row>
    <row r="1847" spans="1:14">
      <c r="A1847" s="29">
        <v>46407</v>
      </c>
      <c r="B1847" s="30">
        <f t="shared" si="253"/>
        <v>1</v>
      </c>
      <c r="C1847" s="30">
        <f t="shared" si="256"/>
        <v>20</v>
      </c>
      <c r="D1847" s="26">
        <f>MATCH(WEEKDAY(A1847),そのた定義!A:A,0)</f>
        <v>5</v>
      </c>
      <c r="E1847" s="26" t="str">
        <f t="shared" ca="1" si="257"/>
        <v>水</v>
      </c>
      <c r="F1847" s="26">
        <f t="shared" si="258"/>
        <v>0</v>
      </c>
      <c r="G1847" s="26">
        <f>IF(ISNA(MATCH(A1847,祝日定義!E:E,0)),0,1)</f>
        <v>0</v>
      </c>
      <c r="H1847" s="26">
        <f>IF(ISNA(MATCH(B1847&amp;"/"&amp;C1847,そのた定義!E:E,0)), 0, 1)</f>
        <v>0</v>
      </c>
      <c r="I1847" s="26" t="b">
        <f t="shared" si="259"/>
        <v>0</v>
      </c>
      <c r="J1847" s="26">
        <v>0</v>
      </c>
      <c r="K1847" s="26" t="b">
        <f t="shared" si="254"/>
        <v>0</v>
      </c>
      <c r="L1847" s="26" t="b">
        <f t="shared" si="255"/>
        <v>0</v>
      </c>
      <c r="M1847" t="b">
        <f t="shared" si="260"/>
        <v>0</v>
      </c>
      <c r="N1847" t="b">
        <f t="shared" si="261"/>
        <v>0</v>
      </c>
    </row>
    <row r="1848" spans="1:14">
      <c r="A1848" s="29">
        <v>46408</v>
      </c>
      <c r="B1848" s="30">
        <f t="shared" si="253"/>
        <v>1</v>
      </c>
      <c r="C1848" s="30">
        <f t="shared" si="256"/>
        <v>21</v>
      </c>
      <c r="D1848" s="26">
        <f>MATCH(WEEKDAY(A1848),そのた定義!A:A,0)</f>
        <v>6</v>
      </c>
      <c r="E1848" s="26" t="str">
        <f t="shared" ca="1" si="257"/>
        <v>木</v>
      </c>
      <c r="F1848" s="26">
        <f t="shared" si="258"/>
        <v>0</v>
      </c>
      <c r="G1848" s="26">
        <f>IF(ISNA(MATCH(A1848,祝日定義!E:E,0)),0,1)</f>
        <v>0</v>
      </c>
      <c r="H1848" s="26">
        <f>IF(ISNA(MATCH(B1848&amp;"/"&amp;C1848,そのた定義!E:E,0)), 0, 1)</f>
        <v>0</v>
      </c>
      <c r="I1848" s="26" t="b">
        <f t="shared" si="259"/>
        <v>0</v>
      </c>
      <c r="J1848" s="26">
        <v>0</v>
      </c>
      <c r="K1848" s="26" t="b">
        <f t="shared" si="254"/>
        <v>0</v>
      </c>
      <c r="L1848" s="26" t="b">
        <f t="shared" si="255"/>
        <v>0</v>
      </c>
      <c r="M1848" t="b">
        <f t="shared" si="260"/>
        <v>0</v>
      </c>
      <c r="N1848" t="b">
        <f t="shared" si="261"/>
        <v>0</v>
      </c>
    </row>
    <row r="1849" spans="1:14">
      <c r="A1849" s="29">
        <v>46409</v>
      </c>
      <c r="B1849" s="30">
        <f t="shared" si="253"/>
        <v>1</v>
      </c>
      <c r="C1849" s="30">
        <f t="shared" si="256"/>
        <v>22</v>
      </c>
      <c r="D1849" s="26">
        <f>MATCH(WEEKDAY(A1849),そのた定義!A:A,0)</f>
        <v>7</v>
      </c>
      <c r="E1849" s="26" t="str">
        <f t="shared" ca="1" si="257"/>
        <v>金</v>
      </c>
      <c r="F1849" s="26">
        <f t="shared" si="258"/>
        <v>0</v>
      </c>
      <c r="G1849" s="26">
        <f>IF(ISNA(MATCH(A1849,祝日定義!E:E,0)),0,1)</f>
        <v>0</v>
      </c>
      <c r="H1849" s="26">
        <f>IF(ISNA(MATCH(B1849&amp;"/"&amp;C1849,そのた定義!E:E,0)), 0, 1)</f>
        <v>0</v>
      </c>
      <c r="I1849" s="26" t="b">
        <f t="shared" si="259"/>
        <v>0</v>
      </c>
      <c r="J1849" s="26">
        <v>0</v>
      </c>
      <c r="K1849" s="26" t="b">
        <f t="shared" si="254"/>
        <v>0</v>
      </c>
      <c r="L1849" s="26" t="b">
        <f t="shared" si="255"/>
        <v>0</v>
      </c>
      <c r="M1849" t="b">
        <f t="shared" si="260"/>
        <v>0</v>
      </c>
      <c r="N1849" t="b">
        <f t="shared" si="261"/>
        <v>0</v>
      </c>
    </row>
    <row r="1850" spans="1:14">
      <c r="A1850" s="29">
        <v>46410</v>
      </c>
      <c r="B1850" s="30">
        <f t="shared" si="253"/>
        <v>1</v>
      </c>
      <c r="C1850" s="30">
        <f t="shared" si="256"/>
        <v>23</v>
      </c>
      <c r="D1850" s="26">
        <f>MATCH(WEEKDAY(A1850),そのた定義!A:A,0)</f>
        <v>8</v>
      </c>
      <c r="E1850" s="33" t="str">
        <f t="shared" ca="1" si="257"/>
        <v>土</v>
      </c>
      <c r="F1850" s="26">
        <f t="shared" si="258"/>
        <v>1</v>
      </c>
      <c r="G1850" s="26">
        <f>IF(ISNA(MATCH(A1850,祝日定義!E:E,0)),0,1)</f>
        <v>0</v>
      </c>
      <c r="H1850" s="26">
        <f>IF(ISNA(MATCH(B1850&amp;"/"&amp;C1850,そのた定義!E:E,0)), 0, 1)</f>
        <v>0</v>
      </c>
      <c r="I1850" s="23" t="b">
        <f t="shared" si="259"/>
        <v>1</v>
      </c>
      <c r="J1850" s="26">
        <v>0</v>
      </c>
      <c r="K1850" s="26" t="b">
        <f t="shared" si="254"/>
        <v>0</v>
      </c>
      <c r="L1850" s="26" t="b">
        <f t="shared" si="255"/>
        <v>0</v>
      </c>
      <c r="M1850" t="b">
        <f t="shared" si="260"/>
        <v>0</v>
      </c>
      <c r="N1850" t="b">
        <f t="shared" si="261"/>
        <v>0</v>
      </c>
    </row>
    <row r="1851" spans="1:14">
      <c r="A1851" s="29">
        <v>46411</v>
      </c>
      <c r="B1851" s="30">
        <f t="shared" si="253"/>
        <v>1</v>
      </c>
      <c r="C1851" s="30">
        <f t="shared" si="256"/>
        <v>24</v>
      </c>
      <c r="D1851" s="26">
        <f>MATCH(WEEKDAY(A1851),そのた定義!A:A,0)</f>
        <v>2</v>
      </c>
      <c r="E1851" s="32" t="str">
        <f t="shared" ca="1" si="257"/>
        <v>日</v>
      </c>
      <c r="F1851" s="26">
        <f t="shared" si="258"/>
        <v>1</v>
      </c>
      <c r="G1851" s="26">
        <f>IF(ISNA(MATCH(A1851,祝日定義!E:E,0)),0,1)</f>
        <v>0</v>
      </c>
      <c r="H1851" s="26">
        <f>IF(ISNA(MATCH(B1851&amp;"/"&amp;C1851,そのた定義!E:E,0)), 0, 1)</f>
        <v>0</v>
      </c>
      <c r="I1851" s="23" t="b">
        <f t="shared" si="259"/>
        <v>1</v>
      </c>
      <c r="J1851" s="26">
        <v>0</v>
      </c>
      <c r="K1851" s="26" t="b">
        <f t="shared" si="254"/>
        <v>0</v>
      </c>
      <c r="L1851" s="26" t="b">
        <f t="shared" si="255"/>
        <v>0</v>
      </c>
      <c r="M1851" t="b">
        <f t="shared" si="260"/>
        <v>0</v>
      </c>
      <c r="N1851" t="b">
        <f t="shared" si="261"/>
        <v>0</v>
      </c>
    </row>
    <row r="1852" spans="1:14">
      <c r="A1852" s="29">
        <v>46412</v>
      </c>
      <c r="B1852" s="30">
        <f t="shared" si="253"/>
        <v>1</v>
      </c>
      <c r="C1852" s="30">
        <f t="shared" si="256"/>
        <v>25</v>
      </c>
      <c r="D1852" s="26">
        <f>MATCH(WEEKDAY(A1852),そのた定義!A:A,0)</f>
        <v>3</v>
      </c>
      <c r="E1852" s="26" t="str">
        <f t="shared" ca="1" si="257"/>
        <v>月</v>
      </c>
      <c r="F1852" s="26">
        <f t="shared" si="258"/>
        <v>0</v>
      </c>
      <c r="G1852" s="26">
        <f>IF(ISNA(MATCH(A1852,祝日定義!E:E,0)),0,1)</f>
        <v>0</v>
      </c>
      <c r="H1852" s="26">
        <f>IF(ISNA(MATCH(B1852&amp;"/"&amp;C1852,そのた定義!E:E,0)), 0, 1)</f>
        <v>0</v>
      </c>
      <c r="I1852" s="26" t="b">
        <f t="shared" si="259"/>
        <v>0</v>
      </c>
      <c r="J1852" s="26">
        <v>2</v>
      </c>
      <c r="K1852" s="26" t="b">
        <f t="shared" si="254"/>
        <v>0</v>
      </c>
      <c r="L1852" s="23" t="b">
        <f t="shared" si="255"/>
        <v>1</v>
      </c>
      <c r="M1852" t="b">
        <f t="shared" si="260"/>
        <v>0</v>
      </c>
      <c r="N1852" t="b">
        <f t="shared" si="261"/>
        <v>0</v>
      </c>
    </row>
    <row r="1853" spans="1:14">
      <c r="A1853" s="29">
        <v>46413</v>
      </c>
      <c r="B1853" s="30">
        <f t="shared" si="253"/>
        <v>1</v>
      </c>
      <c r="C1853" s="30">
        <f t="shared" si="256"/>
        <v>26</v>
      </c>
      <c r="D1853" s="26">
        <f>MATCH(WEEKDAY(A1853),そのた定義!A:A,0)</f>
        <v>4</v>
      </c>
      <c r="E1853" s="26" t="str">
        <f t="shared" ca="1" si="257"/>
        <v>火</v>
      </c>
      <c r="F1853" s="26">
        <f t="shared" si="258"/>
        <v>0</v>
      </c>
      <c r="G1853" s="26">
        <f>IF(ISNA(MATCH(A1853,祝日定義!E:E,0)),0,1)</f>
        <v>0</v>
      </c>
      <c r="H1853" s="26">
        <f>IF(ISNA(MATCH(B1853&amp;"/"&amp;C1853,そのた定義!E:E,0)), 0, 1)</f>
        <v>0</v>
      </c>
      <c r="I1853" s="26" t="b">
        <f t="shared" si="259"/>
        <v>0</v>
      </c>
      <c r="J1853" s="26">
        <v>0</v>
      </c>
      <c r="K1853" s="26" t="b">
        <f t="shared" si="254"/>
        <v>0</v>
      </c>
      <c r="L1853" s="26" t="b">
        <f t="shared" si="255"/>
        <v>0</v>
      </c>
      <c r="M1853" t="b">
        <f t="shared" si="260"/>
        <v>0</v>
      </c>
      <c r="N1853" t="b">
        <f t="shared" si="261"/>
        <v>0</v>
      </c>
    </row>
    <row r="1854" spans="1:14">
      <c r="A1854" s="29">
        <v>46414</v>
      </c>
      <c r="B1854" s="30">
        <f t="shared" si="253"/>
        <v>1</v>
      </c>
      <c r="C1854" s="30">
        <f t="shared" si="256"/>
        <v>27</v>
      </c>
      <c r="D1854" s="26">
        <f>MATCH(WEEKDAY(A1854),そのた定義!A:A,0)</f>
        <v>5</v>
      </c>
      <c r="E1854" s="26" t="str">
        <f t="shared" ca="1" si="257"/>
        <v>水</v>
      </c>
      <c r="F1854" s="26">
        <f t="shared" si="258"/>
        <v>0</v>
      </c>
      <c r="G1854" s="26">
        <f>IF(ISNA(MATCH(A1854,祝日定義!E:E,0)),0,1)</f>
        <v>0</v>
      </c>
      <c r="H1854" s="26">
        <f>IF(ISNA(MATCH(B1854&amp;"/"&amp;C1854,そのた定義!E:E,0)), 0, 1)</f>
        <v>0</v>
      </c>
      <c r="I1854" s="26" t="b">
        <f t="shared" si="259"/>
        <v>0</v>
      </c>
      <c r="J1854" s="26">
        <v>0</v>
      </c>
      <c r="K1854" s="26" t="b">
        <f t="shared" si="254"/>
        <v>0</v>
      </c>
      <c r="L1854" s="26" t="b">
        <f t="shared" si="255"/>
        <v>0</v>
      </c>
      <c r="M1854" t="b">
        <f t="shared" si="260"/>
        <v>0</v>
      </c>
      <c r="N1854" t="b">
        <f t="shared" si="261"/>
        <v>0</v>
      </c>
    </row>
    <row r="1855" spans="1:14">
      <c r="A1855" s="29">
        <v>46415</v>
      </c>
      <c r="B1855" s="30">
        <f t="shared" si="253"/>
        <v>1</v>
      </c>
      <c r="C1855" s="30">
        <f t="shared" si="256"/>
        <v>28</v>
      </c>
      <c r="D1855" s="26">
        <f>MATCH(WEEKDAY(A1855),そのた定義!A:A,0)</f>
        <v>6</v>
      </c>
      <c r="E1855" s="26" t="str">
        <f t="shared" ca="1" si="257"/>
        <v>木</v>
      </c>
      <c r="F1855" s="26">
        <f t="shared" si="258"/>
        <v>0</v>
      </c>
      <c r="G1855" s="26">
        <f>IF(ISNA(MATCH(A1855,祝日定義!E:E,0)),0,1)</f>
        <v>0</v>
      </c>
      <c r="H1855" s="26">
        <f>IF(ISNA(MATCH(B1855&amp;"/"&amp;C1855,そのた定義!E:E,0)), 0, 1)</f>
        <v>0</v>
      </c>
      <c r="I1855" s="26" t="b">
        <f t="shared" si="259"/>
        <v>0</v>
      </c>
      <c r="J1855" s="26">
        <v>0</v>
      </c>
      <c r="K1855" s="26" t="b">
        <f t="shared" si="254"/>
        <v>0</v>
      </c>
      <c r="L1855" s="26" t="b">
        <f t="shared" si="255"/>
        <v>0</v>
      </c>
      <c r="M1855" t="b">
        <f t="shared" si="260"/>
        <v>0</v>
      </c>
      <c r="N1855" t="b">
        <f t="shared" si="261"/>
        <v>0</v>
      </c>
    </row>
    <row r="1856" spans="1:14">
      <c r="A1856" s="29">
        <v>46416</v>
      </c>
      <c r="B1856" s="30">
        <f t="shared" si="253"/>
        <v>1</v>
      </c>
      <c r="C1856" s="30">
        <f t="shared" si="256"/>
        <v>29</v>
      </c>
      <c r="D1856" s="26">
        <f>MATCH(WEEKDAY(A1856),そのた定義!A:A,0)</f>
        <v>7</v>
      </c>
      <c r="E1856" s="26" t="str">
        <f t="shared" ca="1" si="257"/>
        <v>金</v>
      </c>
      <c r="F1856" s="26">
        <f t="shared" si="258"/>
        <v>0</v>
      </c>
      <c r="G1856" s="26">
        <f>IF(ISNA(MATCH(A1856,祝日定義!E:E,0)),0,1)</f>
        <v>0</v>
      </c>
      <c r="H1856" s="26">
        <f>IF(ISNA(MATCH(B1856&amp;"/"&amp;C1856,そのた定義!E:E,0)), 0, 1)</f>
        <v>0</v>
      </c>
      <c r="I1856" s="26" t="b">
        <f t="shared" si="259"/>
        <v>0</v>
      </c>
      <c r="J1856" s="26">
        <v>0</v>
      </c>
      <c r="K1856" s="26" t="b">
        <f t="shared" si="254"/>
        <v>0</v>
      </c>
      <c r="L1856" s="26" t="b">
        <f t="shared" si="255"/>
        <v>0</v>
      </c>
      <c r="M1856" t="b">
        <f t="shared" si="260"/>
        <v>0</v>
      </c>
      <c r="N1856" t="b">
        <f t="shared" si="261"/>
        <v>0</v>
      </c>
    </row>
    <row r="1857" spans="1:14">
      <c r="A1857" s="29">
        <v>46417</v>
      </c>
      <c r="B1857" s="30">
        <f t="shared" si="253"/>
        <v>1</v>
      </c>
      <c r="C1857" s="30">
        <f t="shared" si="256"/>
        <v>30</v>
      </c>
      <c r="D1857" s="26">
        <f>MATCH(WEEKDAY(A1857),そのた定義!A:A,0)</f>
        <v>8</v>
      </c>
      <c r="E1857" s="33" t="str">
        <f t="shared" ca="1" si="257"/>
        <v>土</v>
      </c>
      <c r="F1857" s="26">
        <f t="shared" si="258"/>
        <v>1</v>
      </c>
      <c r="G1857" s="26">
        <f>IF(ISNA(MATCH(A1857,祝日定義!E:E,0)),0,1)</f>
        <v>0</v>
      </c>
      <c r="H1857" s="26">
        <f>IF(ISNA(MATCH(B1857&amp;"/"&amp;C1857,そのた定義!E:E,0)), 0, 1)</f>
        <v>0</v>
      </c>
      <c r="I1857" s="23" t="b">
        <f t="shared" si="259"/>
        <v>1</v>
      </c>
      <c r="J1857" s="26">
        <v>0</v>
      </c>
      <c r="K1857" s="26" t="b">
        <f t="shared" si="254"/>
        <v>0</v>
      </c>
      <c r="L1857" s="26" t="b">
        <f t="shared" si="255"/>
        <v>0</v>
      </c>
      <c r="M1857" t="b">
        <f t="shared" si="260"/>
        <v>0</v>
      </c>
      <c r="N1857" t="b">
        <f t="shared" si="261"/>
        <v>0</v>
      </c>
    </row>
    <row r="1858" spans="1:14">
      <c r="A1858" s="29">
        <v>46418</v>
      </c>
      <c r="B1858" s="30">
        <f t="shared" ref="B1858:B1921" si="262">MONTH(A1858)</f>
        <v>1</v>
      </c>
      <c r="C1858" s="30">
        <f t="shared" si="256"/>
        <v>31</v>
      </c>
      <c r="D1858" s="26">
        <f>MATCH(WEEKDAY(A1858),そのた定義!A:A,0)</f>
        <v>2</v>
      </c>
      <c r="E1858" s="32" t="str">
        <f t="shared" ca="1" si="257"/>
        <v>日</v>
      </c>
      <c r="F1858" s="26">
        <f t="shared" si="258"/>
        <v>1</v>
      </c>
      <c r="G1858" s="26">
        <f>IF(ISNA(MATCH(A1858,祝日定義!E:E,0)),0,1)</f>
        <v>0</v>
      </c>
      <c r="H1858" s="26">
        <f>IF(ISNA(MATCH(B1858&amp;"/"&amp;C1858,そのた定義!E:E,0)), 0, 1)</f>
        <v>0</v>
      </c>
      <c r="I1858" s="23" t="b">
        <f t="shared" si="259"/>
        <v>1</v>
      </c>
      <c r="J1858" s="26">
        <v>0</v>
      </c>
      <c r="K1858" s="26" t="b">
        <f t="shared" ref="K1858:K1921" si="263">AND(C1858&gt;25,DAY(A1858-J1858)&lt;=25)</f>
        <v>0</v>
      </c>
      <c r="L1858" s="26" t="b">
        <f t="shared" ref="L1858:L1921" si="264">C1858=25</f>
        <v>0</v>
      </c>
      <c r="M1858" t="b">
        <f t="shared" si="260"/>
        <v>0</v>
      </c>
      <c r="N1858" t="b">
        <f t="shared" si="261"/>
        <v>1</v>
      </c>
    </row>
    <row r="1859" spans="1:14">
      <c r="A1859" s="29">
        <v>46419</v>
      </c>
      <c r="B1859" s="30">
        <f t="shared" si="262"/>
        <v>2</v>
      </c>
      <c r="C1859" s="30">
        <f t="shared" ref="C1859:C1922" si="265">DAY(A1859)</f>
        <v>1</v>
      </c>
      <c r="D1859" s="26">
        <f>MATCH(WEEKDAY(A1859),そのた定義!A:A,0)</f>
        <v>3</v>
      </c>
      <c r="E1859" s="26" t="str">
        <f t="shared" ref="E1859:E1922" ca="1" si="266">INDIRECT("そのた定義!"&amp;"B"&amp;D1859)</f>
        <v>月</v>
      </c>
      <c r="F1859" s="26">
        <f t="shared" ref="F1859:F1922" si="267">IF(OR(D1859=8,D1859=2),1,0)</f>
        <v>0</v>
      </c>
      <c r="G1859" s="26">
        <f>IF(ISNA(MATCH(A1859,祝日定義!E:E,0)),0,1)</f>
        <v>0</v>
      </c>
      <c r="H1859" s="26">
        <f>IF(ISNA(MATCH(B1859&amp;"/"&amp;C1859,そのた定義!E:E,0)), 0, 1)</f>
        <v>0</v>
      </c>
      <c r="I1859" s="26" t="b">
        <f t="shared" ref="I1859:I1922" si="268">SUM(F1859:H1859)&gt;0</f>
        <v>0</v>
      </c>
      <c r="J1859" s="26">
        <v>2</v>
      </c>
      <c r="K1859" s="26" t="b">
        <f t="shared" si="263"/>
        <v>0</v>
      </c>
      <c r="L1859" s="26" t="b">
        <f t="shared" si="264"/>
        <v>0</v>
      </c>
      <c r="M1859" t="b">
        <f t="shared" ref="M1859:M1922" si="269">B1859&lt;&gt;MONTH(A1859-J1859)</f>
        <v>1</v>
      </c>
      <c r="N1859" t="b">
        <f t="shared" ref="N1859:N1922" si="270">B1859&lt;&gt;MONTH(A1859+1)</f>
        <v>0</v>
      </c>
    </row>
    <row r="1860" spans="1:14">
      <c r="A1860" s="29">
        <v>46420</v>
      </c>
      <c r="B1860" s="30">
        <f t="shared" si="262"/>
        <v>2</v>
      </c>
      <c r="C1860" s="30">
        <f t="shared" si="265"/>
        <v>2</v>
      </c>
      <c r="D1860" s="26">
        <f>MATCH(WEEKDAY(A1860),そのた定義!A:A,0)</f>
        <v>4</v>
      </c>
      <c r="E1860" s="26" t="str">
        <f t="shared" ca="1" si="266"/>
        <v>火</v>
      </c>
      <c r="F1860" s="26">
        <f t="shared" si="267"/>
        <v>0</v>
      </c>
      <c r="G1860" s="26">
        <f>IF(ISNA(MATCH(A1860,祝日定義!E:E,0)),0,1)</f>
        <v>0</v>
      </c>
      <c r="H1860" s="26">
        <f>IF(ISNA(MATCH(B1860&amp;"/"&amp;C1860,そのた定義!E:E,0)), 0, 1)</f>
        <v>0</v>
      </c>
      <c r="I1860" s="26" t="b">
        <f t="shared" si="268"/>
        <v>0</v>
      </c>
      <c r="J1860" s="26">
        <v>0</v>
      </c>
      <c r="K1860" s="26" t="b">
        <f t="shared" si="263"/>
        <v>0</v>
      </c>
      <c r="L1860" s="26" t="b">
        <f t="shared" si="264"/>
        <v>0</v>
      </c>
      <c r="M1860" t="b">
        <f t="shared" si="269"/>
        <v>0</v>
      </c>
      <c r="N1860" t="b">
        <f t="shared" si="270"/>
        <v>0</v>
      </c>
    </row>
    <row r="1861" spans="1:14">
      <c r="A1861" s="29">
        <v>46421</v>
      </c>
      <c r="B1861" s="30">
        <f t="shared" si="262"/>
        <v>2</v>
      </c>
      <c r="C1861" s="30">
        <f t="shared" si="265"/>
        <v>3</v>
      </c>
      <c r="D1861" s="26">
        <f>MATCH(WEEKDAY(A1861),そのた定義!A:A,0)</f>
        <v>5</v>
      </c>
      <c r="E1861" s="26" t="str">
        <f t="shared" ca="1" si="266"/>
        <v>水</v>
      </c>
      <c r="F1861" s="26">
        <f t="shared" si="267"/>
        <v>0</v>
      </c>
      <c r="G1861" s="26">
        <f>IF(ISNA(MATCH(A1861,祝日定義!E:E,0)),0,1)</f>
        <v>0</v>
      </c>
      <c r="H1861" s="26">
        <f>IF(ISNA(MATCH(B1861&amp;"/"&amp;C1861,そのた定義!E:E,0)), 0, 1)</f>
        <v>0</v>
      </c>
      <c r="I1861" s="26" t="b">
        <f t="shared" si="268"/>
        <v>0</v>
      </c>
      <c r="J1861" s="26">
        <v>0</v>
      </c>
      <c r="K1861" s="26" t="b">
        <f t="shared" si="263"/>
        <v>0</v>
      </c>
      <c r="L1861" s="26" t="b">
        <f t="shared" si="264"/>
        <v>0</v>
      </c>
      <c r="M1861" t="b">
        <f t="shared" si="269"/>
        <v>0</v>
      </c>
      <c r="N1861" t="b">
        <f t="shared" si="270"/>
        <v>0</v>
      </c>
    </row>
    <row r="1862" spans="1:14">
      <c r="A1862" s="29">
        <v>46422</v>
      </c>
      <c r="B1862" s="30">
        <f t="shared" si="262"/>
        <v>2</v>
      </c>
      <c r="C1862" s="30">
        <f t="shared" si="265"/>
        <v>4</v>
      </c>
      <c r="D1862" s="26">
        <f>MATCH(WEEKDAY(A1862),そのた定義!A:A,0)</f>
        <v>6</v>
      </c>
      <c r="E1862" s="26" t="str">
        <f t="shared" ca="1" si="266"/>
        <v>木</v>
      </c>
      <c r="F1862" s="26">
        <f t="shared" si="267"/>
        <v>0</v>
      </c>
      <c r="G1862" s="26">
        <f>IF(ISNA(MATCH(A1862,祝日定義!E:E,0)),0,1)</f>
        <v>0</v>
      </c>
      <c r="H1862" s="26">
        <f>IF(ISNA(MATCH(B1862&amp;"/"&amp;C1862,そのた定義!E:E,0)), 0, 1)</f>
        <v>0</v>
      </c>
      <c r="I1862" s="26" t="b">
        <f t="shared" si="268"/>
        <v>0</v>
      </c>
      <c r="J1862" s="26">
        <v>0</v>
      </c>
      <c r="K1862" s="26" t="b">
        <f t="shared" si="263"/>
        <v>0</v>
      </c>
      <c r="L1862" s="26" t="b">
        <f t="shared" si="264"/>
        <v>0</v>
      </c>
      <c r="M1862" t="b">
        <f t="shared" si="269"/>
        <v>0</v>
      </c>
      <c r="N1862" t="b">
        <f t="shared" si="270"/>
        <v>0</v>
      </c>
    </row>
    <row r="1863" spans="1:14">
      <c r="A1863" s="29">
        <v>46423</v>
      </c>
      <c r="B1863" s="30">
        <f t="shared" si="262"/>
        <v>2</v>
      </c>
      <c r="C1863" s="30">
        <f t="shared" si="265"/>
        <v>5</v>
      </c>
      <c r="D1863" s="26">
        <f>MATCH(WEEKDAY(A1863),そのた定義!A:A,0)</f>
        <v>7</v>
      </c>
      <c r="E1863" s="26" t="str">
        <f t="shared" ca="1" si="266"/>
        <v>金</v>
      </c>
      <c r="F1863" s="26">
        <f t="shared" si="267"/>
        <v>0</v>
      </c>
      <c r="G1863" s="26">
        <f>IF(ISNA(MATCH(A1863,祝日定義!E:E,0)),0,1)</f>
        <v>0</v>
      </c>
      <c r="H1863" s="26">
        <f>IF(ISNA(MATCH(B1863&amp;"/"&amp;C1863,そのた定義!E:E,0)), 0, 1)</f>
        <v>0</v>
      </c>
      <c r="I1863" s="26" t="b">
        <f t="shared" si="268"/>
        <v>0</v>
      </c>
      <c r="J1863" s="26">
        <v>0</v>
      </c>
      <c r="K1863" s="26" t="b">
        <f t="shared" si="263"/>
        <v>0</v>
      </c>
      <c r="L1863" s="26" t="b">
        <f t="shared" si="264"/>
        <v>0</v>
      </c>
      <c r="M1863" t="b">
        <f t="shared" si="269"/>
        <v>0</v>
      </c>
      <c r="N1863" t="b">
        <f t="shared" si="270"/>
        <v>0</v>
      </c>
    </row>
    <row r="1864" spans="1:14">
      <c r="A1864" s="29">
        <v>46424</v>
      </c>
      <c r="B1864" s="30">
        <f t="shared" si="262"/>
        <v>2</v>
      </c>
      <c r="C1864" s="30">
        <f t="shared" si="265"/>
        <v>6</v>
      </c>
      <c r="D1864" s="26">
        <f>MATCH(WEEKDAY(A1864),そのた定義!A:A,0)</f>
        <v>8</v>
      </c>
      <c r="E1864" s="33" t="str">
        <f t="shared" ca="1" si="266"/>
        <v>土</v>
      </c>
      <c r="F1864" s="26">
        <f t="shared" si="267"/>
        <v>1</v>
      </c>
      <c r="G1864" s="26">
        <f>IF(ISNA(MATCH(A1864,祝日定義!E:E,0)),0,1)</f>
        <v>0</v>
      </c>
      <c r="H1864" s="26">
        <f>IF(ISNA(MATCH(B1864&amp;"/"&amp;C1864,そのた定義!E:E,0)), 0, 1)</f>
        <v>0</v>
      </c>
      <c r="I1864" s="23" t="b">
        <f t="shared" si="268"/>
        <v>1</v>
      </c>
      <c r="J1864" s="26">
        <v>0</v>
      </c>
      <c r="K1864" s="26" t="b">
        <f t="shared" si="263"/>
        <v>0</v>
      </c>
      <c r="L1864" s="26" t="b">
        <f t="shared" si="264"/>
        <v>0</v>
      </c>
      <c r="M1864" t="b">
        <f t="shared" si="269"/>
        <v>0</v>
      </c>
      <c r="N1864" t="b">
        <f t="shared" si="270"/>
        <v>0</v>
      </c>
    </row>
    <row r="1865" spans="1:14">
      <c r="A1865" s="29">
        <v>46425</v>
      </c>
      <c r="B1865" s="30">
        <f t="shared" si="262"/>
        <v>2</v>
      </c>
      <c r="C1865" s="30">
        <f t="shared" si="265"/>
        <v>7</v>
      </c>
      <c r="D1865" s="26">
        <f>MATCH(WEEKDAY(A1865),そのた定義!A:A,0)</f>
        <v>2</v>
      </c>
      <c r="E1865" s="32" t="str">
        <f t="shared" ca="1" si="266"/>
        <v>日</v>
      </c>
      <c r="F1865" s="26">
        <f t="shared" si="267"/>
        <v>1</v>
      </c>
      <c r="G1865" s="26">
        <f>IF(ISNA(MATCH(A1865,祝日定義!E:E,0)),0,1)</f>
        <v>0</v>
      </c>
      <c r="H1865" s="26">
        <f>IF(ISNA(MATCH(B1865&amp;"/"&amp;C1865,そのた定義!E:E,0)), 0, 1)</f>
        <v>0</v>
      </c>
      <c r="I1865" s="23" t="b">
        <f t="shared" si="268"/>
        <v>1</v>
      </c>
      <c r="J1865" s="26">
        <v>0</v>
      </c>
      <c r="K1865" s="26" t="b">
        <f t="shared" si="263"/>
        <v>0</v>
      </c>
      <c r="L1865" s="26" t="b">
        <f t="shared" si="264"/>
        <v>0</v>
      </c>
      <c r="M1865" t="b">
        <f t="shared" si="269"/>
        <v>0</v>
      </c>
      <c r="N1865" t="b">
        <f t="shared" si="270"/>
        <v>0</v>
      </c>
    </row>
    <row r="1866" spans="1:14">
      <c r="A1866" s="29">
        <v>46426</v>
      </c>
      <c r="B1866" s="30">
        <f t="shared" si="262"/>
        <v>2</v>
      </c>
      <c r="C1866" s="30">
        <f t="shared" si="265"/>
        <v>8</v>
      </c>
      <c r="D1866" s="26">
        <f>MATCH(WEEKDAY(A1866),そのた定義!A:A,0)</f>
        <v>3</v>
      </c>
      <c r="E1866" s="26" t="str">
        <f t="shared" ca="1" si="266"/>
        <v>月</v>
      </c>
      <c r="F1866" s="26">
        <f t="shared" si="267"/>
        <v>0</v>
      </c>
      <c r="G1866" s="26">
        <f>IF(ISNA(MATCH(A1866,祝日定義!E:E,0)),0,1)</f>
        <v>0</v>
      </c>
      <c r="H1866" s="26">
        <f>IF(ISNA(MATCH(B1866&amp;"/"&amp;C1866,そのた定義!E:E,0)), 0, 1)</f>
        <v>0</v>
      </c>
      <c r="I1866" s="26" t="b">
        <f t="shared" si="268"/>
        <v>0</v>
      </c>
      <c r="J1866" s="26">
        <v>2</v>
      </c>
      <c r="K1866" s="26" t="b">
        <f t="shared" si="263"/>
        <v>0</v>
      </c>
      <c r="L1866" s="26" t="b">
        <f t="shared" si="264"/>
        <v>0</v>
      </c>
      <c r="M1866" t="b">
        <f t="shared" si="269"/>
        <v>0</v>
      </c>
      <c r="N1866" t="b">
        <f t="shared" si="270"/>
        <v>0</v>
      </c>
    </row>
    <row r="1867" spans="1:14">
      <c r="A1867" s="29">
        <v>46427</v>
      </c>
      <c r="B1867" s="30">
        <f t="shared" si="262"/>
        <v>2</v>
      </c>
      <c r="C1867" s="30">
        <f t="shared" si="265"/>
        <v>9</v>
      </c>
      <c r="D1867" s="26">
        <f>MATCH(WEEKDAY(A1867),そのた定義!A:A,0)</f>
        <v>4</v>
      </c>
      <c r="E1867" s="26" t="str">
        <f t="shared" ca="1" si="266"/>
        <v>火</v>
      </c>
      <c r="F1867" s="26">
        <f t="shared" si="267"/>
        <v>0</v>
      </c>
      <c r="G1867" s="26">
        <f>IF(ISNA(MATCH(A1867,祝日定義!E:E,0)),0,1)</f>
        <v>0</v>
      </c>
      <c r="H1867" s="26">
        <f>IF(ISNA(MATCH(B1867&amp;"/"&amp;C1867,そのた定義!E:E,0)), 0, 1)</f>
        <v>0</v>
      </c>
      <c r="I1867" s="26" t="b">
        <f t="shared" si="268"/>
        <v>0</v>
      </c>
      <c r="J1867" s="26">
        <v>0</v>
      </c>
      <c r="K1867" s="26" t="b">
        <f t="shared" si="263"/>
        <v>0</v>
      </c>
      <c r="L1867" s="26" t="b">
        <f t="shared" si="264"/>
        <v>0</v>
      </c>
      <c r="M1867" t="b">
        <f t="shared" si="269"/>
        <v>0</v>
      </c>
      <c r="N1867" t="b">
        <f t="shared" si="270"/>
        <v>0</v>
      </c>
    </row>
    <row r="1868" spans="1:14">
      <c r="A1868" s="29">
        <v>46428</v>
      </c>
      <c r="B1868" s="30">
        <f t="shared" si="262"/>
        <v>2</v>
      </c>
      <c r="C1868" s="30">
        <f t="shared" si="265"/>
        <v>10</v>
      </c>
      <c r="D1868" s="26">
        <f>MATCH(WEEKDAY(A1868),そのた定義!A:A,0)</f>
        <v>5</v>
      </c>
      <c r="E1868" s="26" t="str">
        <f t="shared" ca="1" si="266"/>
        <v>水</v>
      </c>
      <c r="F1868" s="26">
        <f t="shared" si="267"/>
        <v>0</v>
      </c>
      <c r="G1868" s="26">
        <f>IF(ISNA(MATCH(A1868,祝日定義!E:E,0)),0,1)</f>
        <v>0</v>
      </c>
      <c r="H1868" s="26">
        <f>IF(ISNA(MATCH(B1868&amp;"/"&amp;C1868,そのた定義!E:E,0)), 0, 1)</f>
        <v>0</v>
      </c>
      <c r="I1868" s="26" t="b">
        <f t="shared" si="268"/>
        <v>0</v>
      </c>
      <c r="J1868" s="26">
        <v>0</v>
      </c>
      <c r="K1868" s="26" t="b">
        <f t="shared" si="263"/>
        <v>0</v>
      </c>
      <c r="L1868" s="26" t="b">
        <f t="shared" si="264"/>
        <v>0</v>
      </c>
      <c r="M1868" t="b">
        <f t="shared" si="269"/>
        <v>0</v>
      </c>
      <c r="N1868" t="b">
        <f t="shared" si="270"/>
        <v>0</v>
      </c>
    </row>
    <row r="1869" spans="1:14">
      <c r="A1869" s="29">
        <v>46429</v>
      </c>
      <c r="B1869" s="30">
        <f t="shared" si="262"/>
        <v>2</v>
      </c>
      <c r="C1869" s="30">
        <f t="shared" si="265"/>
        <v>11</v>
      </c>
      <c r="D1869" s="26">
        <f>MATCH(WEEKDAY(A1869),そのた定義!A:A,0)</f>
        <v>6</v>
      </c>
      <c r="E1869" s="31" t="str">
        <f t="shared" ca="1" si="266"/>
        <v>木</v>
      </c>
      <c r="F1869" s="26">
        <f t="shared" si="267"/>
        <v>0</v>
      </c>
      <c r="G1869" s="26">
        <f>IF(ISNA(MATCH(A1869,祝日定義!E:E,0)),0,1)</f>
        <v>1</v>
      </c>
      <c r="H1869" s="26">
        <f>IF(ISNA(MATCH(B1869&amp;"/"&amp;C1869,そのた定義!E:E,0)), 0, 1)</f>
        <v>0</v>
      </c>
      <c r="I1869" s="23" t="b">
        <f t="shared" si="268"/>
        <v>1</v>
      </c>
      <c r="J1869" s="26">
        <v>0</v>
      </c>
      <c r="K1869" s="26" t="b">
        <f t="shared" si="263"/>
        <v>0</v>
      </c>
      <c r="L1869" s="26" t="b">
        <f t="shared" si="264"/>
        <v>0</v>
      </c>
      <c r="M1869" t="b">
        <f t="shared" si="269"/>
        <v>0</v>
      </c>
      <c r="N1869" t="b">
        <f t="shared" si="270"/>
        <v>0</v>
      </c>
    </row>
    <row r="1870" spans="1:14">
      <c r="A1870" s="29">
        <v>46430</v>
      </c>
      <c r="B1870" s="30">
        <f t="shared" si="262"/>
        <v>2</v>
      </c>
      <c r="C1870" s="30">
        <f t="shared" si="265"/>
        <v>12</v>
      </c>
      <c r="D1870" s="26">
        <f>MATCH(WEEKDAY(A1870),そのた定義!A:A,0)</f>
        <v>7</v>
      </c>
      <c r="E1870" s="26" t="str">
        <f t="shared" ca="1" si="266"/>
        <v>金</v>
      </c>
      <c r="F1870" s="26">
        <f t="shared" si="267"/>
        <v>0</v>
      </c>
      <c r="G1870" s="26">
        <f>IF(ISNA(MATCH(A1870,祝日定義!E:E,0)),0,1)</f>
        <v>0</v>
      </c>
      <c r="H1870" s="26">
        <f>IF(ISNA(MATCH(B1870&amp;"/"&amp;C1870,そのた定義!E:E,0)), 0, 1)</f>
        <v>0</v>
      </c>
      <c r="I1870" s="26" t="b">
        <f t="shared" si="268"/>
        <v>0</v>
      </c>
      <c r="J1870" s="26">
        <v>1</v>
      </c>
      <c r="K1870" s="26" t="b">
        <f t="shared" si="263"/>
        <v>0</v>
      </c>
      <c r="L1870" s="26" t="b">
        <f t="shared" si="264"/>
        <v>0</v>
      </c>
      <c r="M1870" t="b">
        <f t="shared" si="269"/>
        <v>0</v>
      </c>
      <c r="N1870" t="b">
        <f t="shared" si="270"/>
        <v>0</v>
      </c>
    </row>
    <row r="1871" spans="1:14">
      <c r="A1871" s="29">
        <v>46431</v>
      </c>
      <c r="B1871" s="30">
        <f t="shared" si="262"/>
        <v>2</v>
      </c>
      <c r="C1871" s="30">
        <f t="shared" si="265"/>
        <v>13</v>
      </c>
      <c r="D1871" s="26">
        <f>MATCH(WEEKDAY(A1871),そのた定義!A:A,0)</f>
        <v>8</v>
      </c>
      <c r="E1871" s="33" t="str">
        <f t="shared" ca="1" si="266"/>
        <v>土</v>
      </c>
      <c r="F1871" s="26">
        <f t="shared" si="267"/>
        <v>1</v>
      </c>
      <c r="G1871" s="26">
        <f>IF(ISNA(MATCH(A1871,祝日定義!E:E,0)),0,1)</f>
        <v>0</v>
      </c>
      <c r="H1871" s="26">
        <f>IF(ISNA(MATCH(B1871&amp;"/"&amp;C1871,そのた定義!E:E,0)), 0, 1)</f>
        <v>0</v>
      </c>
      <c r="I1871" s="23" t="b">
        <f t="shared" si="268"/>
        <v>1</v>
      </c>
      <c r="J1871" s="26">
        <v>0</v>
      </c>
      <c r="K1871" s="26" t="b">
        <f t="shared" si="263"/>
        <v>0</v>
      </c>
      <c r="L1871" s="26" t="b">
        <f t="shared" si="264"/>
        <v>0</v>
      </c>
      <c r="M1871" t="b">
        <f t="shared" si="269"/>
        <v>0</v>
      </c>
      <c r="N1871" t="b">
        <f t="shared" si="270"/>
        <v>0</v>
      </c>
    </row>
    <row r="1872" spans="1:14">
      <c r="A1872" s="29">
        <v>46432</v>
      </c>
      <c r="B1872" s="30">
        <f t="shared" si="262"/>
        <v>2</v>
      </c>
      <c r="C1872" s="30">
        <f t="shared" si="265"/>
        <v>14</v>
      </c>
      <c r="D1872" s="26">
        <f>MATCH(WEEKDAY(A1872),そのた定義!A:A,0)</f>
        <v>2</v>
      </c>
      <c r="E1872" s="32" t="str">
        <f t="shared" ca="1" si="266"/>
        <v>日</v>
      </c>
      <c r="F1872" s="26">
        <f t="shared" si="267"/>
        <v>1</v>
      </c>
      <c r="G1872" s="26">
        <f>IF(ISNA(MATCH(A1872,祝日定義!E:E,0)),0,1)</f>
        <v>0</v>
      </c>
      <c r="H1872" s="26">
        <f>IF(ISNA(MATCH(B1872&amp;"/"&amp;C1872,そのた定義!E:E,0)), 0, 1)</f>
        <v>0</v>
      </c>
      <c r="I1872" s="23" t="b">
        <f t="shared" si="268"/>
        <v>1</v>
      </c>
      <c r="J1872" s="26">
        <v>0</v>
      </c>
      <c r="K1872" s="26" t="b">
        <f t="shared" si="263"/>
        <v>0</v>
      </c>
      <c r="L1872" s="26" t="b">
        <f t="shared" si="264"/>
        <v>0</v>
      </c>
      <c r="M1872" t="b">
        <f t="shared" si="269"/>
        <v>0</v>
      </c>
      <c r="N1872" t="b">
        <f t="shared" si="270"/>
        <v>0</v>
      </c>
    </row>
    <row r="1873" spans="1:14">
      <c r="A1873" s="29">
        <v>46433</v>
      </c>
      <c r="B1873" s="30">
        <f t="shared" si="262"/>
        <v>2</v>
      </c>
      <c r="C1873" s="30">
        <f t="shared" si="265"/>
        <v>15</v>
      </c>
      <c r="D1873" s="26">
        <f>MATCH(WEEKDAY(A1873),そのた定義!A:A,0)</f>
        <v>3</v>
      </c>
      <c r="E1873" s="26" t="str">
        <f t="shared" ca="1" si="266"/>
        <v>月</v>
      </c>
      <c r="F1873" s="26">
        <f t="shared" si="267"/>
        <v>0</v>
      </c>
      <c r="G1873" s="26">
        <f>IF(ISNA(MATCH(A1873,祝日定義!E:E,0)),0,1)</f>
        <v>0</v>
      </c>
      <c r="H1873" s="26">
        <f>IF(ISNA(MATCH(B1873&amp;"/"&amp;C1873,そのた定義!E:E,0)), 0, 1)</f>
        <v>0</v>
      </c>
      <c r="I1873" s="26" t="b">
        <f t="shared" si="268"/>
        <v>0</v>
      </c>
      <c r="J1873" s="26">
        <v>2</v>
      </c>
      <c r="K1873" s="26" t="b">
        <f t="shared" si="263"/>
        <v>0</v>
      </c>
      <c r="L1873" s="26" t="b">
        <f t="shared" si="264"/>
        <v>0</v>
      </c>
      <c r="M1873" t="b">
        <f t="shared" si="269"/>
        <v>0</v>
      </c>
      <c r="N1873" t="b">
        <f t="shared" si="270"/>
        <v>0</v>
      </c>
    </row>
    <row r="1874" spans="1:14">
      <c r="A1874" s="29">
        <v>46434</v>
      </c>
      <c r="B1874" s="30">
        <f t="shared" si="262"/>
        <v>2</v>
      </c>
      <c r="C1874" s="30">
        <f t="shared" si="265"/>
        <v>16</v>
      </c>
      <c r="D1874" s="26">
        <f>MATCH(WEEKDAY(A1874),そのた定義!A:A,0)</f>
        <v>4</v>
      </c>
      <c r="E1874" s="26" t="str">
        <f t="shared" ca="1" si="266"/>
        <v>火</v>
      </c>
      <c r="F1874" s="26">
        <f t="shared" si="267"/>
        <v>0</v>
      </c>
      <c r="G1874" s="26">
        <f>IF(ISNA(MATCH(A1874,祝日定義!E:E,0)),0,1)</f>
        <v>0</v>
      </c>
      <c r="H1874" s="26">
        <f>IF(ISNA(MATCH(B1874&amp;"/"&amp;C1874,そのた定義!E:E,0)), 0, 1)</f>
        <v>0</v>
      </c>
      <c r="I1874" s="26" t="b">
        <f t="shared" si="268"/>
        <v>0</v>
      </c>
      <c r="J1874" s="26">
        <v>0</v>
      </c>
      <c r="K1874" s="26" t="b">
        <f t="shared" si="263"/>
        <v>0</v>
      </c>
      <c r="L1874" s="26" t="b">
        <f t="shared" si="264"/>
        <v>0</v>
      </c>
      <c r="M1874" t="b">
        <f t="shared" si="269"/>
        <v>0</v>
      </c>
      <c r="N1874" t="b">
        <f t="shared" si="270"/>
        <v>0</v>
      </c>
    </row>
    <row r="1875" spans="1:14">
      <c r="A1875" s="29">
        <v>46435</v>
      </c>
      <c r="B1875" s="30">
        <f t="shared" si="262"/>
        <v>2</v>
      </c>
      <c r="C1875" s="30">
        <f t="shared" si="265"/>
        <v>17</v>
      </c>
      <c r="D1875" s="26">
        <f>MATCH(WEEKDAY(A1875),そのた定義!A:A,0)</f>
        <v>5</v>
      </c>
      <c r="E1875" s="26" t="str">
        <f t="shared" ca="1" si="266"/>
        <v>水</v>
      </c>
      <c r="F1875" s="26">
        <f t="shared" si="267"/>
        <v>0</v>
      </c>
      <c r="G1875" s="26">
        <f>IF(ISNA(MATCH(A1875,祝日定義!E:E,0)),0,1)</f>
        <v>0</v>
      </c>
      <c r="H1875" s="26">
        <f>IF(ISNA(MATCH(B1875&amp;"/"&amp;C1875,そのた定義!E:E,0)), 0, 1)</f>
        <v>0</v>
      </c>
      <c r="I1875" s="26" t="b">
        <f t="shared" si="268"/>
        <v>0</v>
      </c>
      <c r="J1875" s="26">
        <v>0</v>
      </c>
      <c r="K1875" s="26" t="b">
        <f t="shared" si="263"/>
        <v>0</v>
      </c>
      <c r="L1875" s="26" t="b">
        <f t="shared" si="264"/>
        <v>0</v>
      </c>
      <c r="M1875" t="b">
        <f t="shared" si="269"/>
        <v>0</v>
      </c>
      <c r="N1875" t="b">
        <f t="shared" si="270"/>
        <v>0</v>
      </c>
    </row>
    <row r="1876" spans="1:14">
      <c r="A1876" s="29">
        <v>46436</v>
      </c>
      <c r="B1876" s="30">
        <f t="shared" si="262"/>
        <v>2</v>
      </c>
      <c r="C1876" s="30">
        <f t="shared" si="265"/>
        <v>18</v>
      </c>
      <c r="D1876" s="26">
        <f>MATCH(WEEKDAY(A1876),そのた定義!A:A,0)</f>
        <v>6</v>
      </c>
      <c r="E1876" s="26" t="str">
        <f t="shared" ca="1" si="266"/>
        <v>木</v>
      </c>
      <c r="F1876" s="26">
        <f t="shared" si="267"/>
        <v>0</v>
      </c>
      <c r="G1876" s="26">
        <f>IF(ISNA(MATCH(A1876,祝日定義!E:E,0)),0,1)</f>
        <v>0</v>
      </c>
      <c r="H1876" s="26">
        <f>IF(ISNA(MATCH(B1876&amp;"/"&amp;C1876,そのた定義!E:E,0)), 0, 1)</f>
        <v>0</v>
      </c>
      <c r="I1876" s="26" t="b">
        <f t="shared" si="268"/>
        <v>0</v>
      </c>
      <c r="J1876" s="26">
        <v>0</v>
      </c>
      <c r="K1876" s="26" t="b">
        <f t="shared" si="263"/>
        <v>0</v>
      </c>
      <c r="L1876" s="26" t="b">
        <f t="shared" si="264"/>
        <v>0</v>
      </c>
      <c r="M1876" t="b">
        <f t="shared" si="269"/>
        <v>0</v>
      </c>
      <c r="N1876" t="b">
        <f t="shared" si="270"/>
        <v>0</v>
      </c>
    </row>
    <row r="1877" spans="1:14">
      <c r="A1877" s="29">
        <v>46437</v>
      </c>
      <c r="B1877" s="30">
        <f t="shared" si="262"/>
        <v>2</v>
      </c>
      <c r="C1877" s="30">
        <f t="shared" si="265"/>
        <v>19</v>
      </c>
      <c r="D1877" s="26">
        <f>MATCH(WEEKDAY(A1877),そのた定義!A:A,0)</f>
        <v>7</v>
      </c>
      <c r="E1877" s="26" t="str">
        <f t="shared" ca="1" si="266"/>
        <v>金</v>
      </c>
      <c r="F1877" s="26">
        <f t="shared" si="267"/>
        <v>0</v>
      </c>
      <c r="G1877" s="26">
        <f>IF(ISNA(MATCH(A1877,祝日定義!E:E,0)),0,1)</f>
        <v>0</v>
      </c>
      <c r="H1877" s="26">
        <f>IF(ISNA(MATCH(B1877&amp;"/"&amp;C1877,そのた定義!E:E,0)), 0, 1)</f>
        <v>0</v>
      </c>
      <c r="I1877" s="26" t="b">
        <f t="shared" si="268"/>
        <v>0</v>
      </c>
      <c r="J1877" s="26">
        <v>0</v>
      </c>
      <c r="K1877" s="26" t="b">
        <f t="shared" si="263"/>
        <v>0</v>
      </c>
      <c r="L1877" s="26" t="b">
        <f t="shared" si="264"/>
        <v>0</v>
      </c>
      <c r="M1877" t="b">
        <f t="shared" si="269"/>
        <v>0</v>
      </c>
      <c r="N1877" t="b">
        <f t="shared" si="270"/>
        <v>0</v>
      </c>
    </row>
    <row r="1878" spans="1:14">
      <c r="A1878" s="29">
        <v>46438</v>
      </c>
      <c r="B1878" s="30">
        <f t="shared" si="262"/>
        <v>2</v>
      </c>
      <c r="C1878" s="30">
        <f t="shared" si="265"/>
        <v>20</v>
      </c>
      <c r="D1878" s="26">
        <f>MATCH(WEEKDAY(A1878),そのた定義!A:A,0)</f>
        <v>8</v>
      </c>
      <c r="E1878" s="33" t="str">
        <f t="shared" ca="1" si="266"/>
        <v>土</v>
      </c>
      <c r="F1878" s="26">
        <f t="shared" si="267"/>
        <v>1</v>
      </c>
      <c r="G1878" s="26">
        <f>IF(ISNA(MATCH(A1878,祝日定義!E:E,0)),0,1)</f>
        <v>0</v>
      </c>
      <c r="H1878" s="26">
        <f>IF(ISNA(MATCH(B1878&amp;"/"&amp;C1878,そのた定義!E:E,0)), 0, 1)</f>
        <v>0</v>
      </c>
      <c r="I1878" s="23" t="b">
        <f t="shared" si="268"/>
        <v>1</v>
      </c>
      <c r="J1878" s="26">
        <v>0</v>
      </c>
      <c r="K1878" s="26" t="b">
        <f t="shared" si="263"/>
        <v>0</v>
      </c>
      <c r="L1878" s="26" t="b">
        <f t="shared" si="264"/>
        <v>0</v>
      </c>
      <c r="M1878" t="b">
        <f t="shared" si="269"/>
        <v>0</v>
      </c>
      <c r="N1878" t="b">
        <f t="shared" si="270"/>
        <v>0</v>
      </c>
    </row>
    <row r="1879" spans="1:14">
      <c r="A1879" s="29">
        <v>46439</v>
      </c>
      <c r="B1879" s="30">
        <f t="shared" si="262"/>
        <v>2</v>
      </c>
      <c r="C1879" s="30">
        <f t="shared" si="265"/>
        <v>21</v>
      </c>
      <c r="D1879" s="26">
        <f>MATCH(WEEKDAY(A1879),そのた定義!A:A,0)</f>
        <v>2</v>
      </c>
      <c r="E1879" s="32" t="str">
        <f t="shared" ca="1" si="266"/>
        <v>日</v>
      </c>
      <c r="F1879" s="26">
        <f t="shared" si="267"/>
        <v>1</v>
      </c>
      <c r="G1879" s="26">
        <f>IF(ISNA(MATCH(A1879,祝日定義!E:E,0)),0,1)</f>
        <v>0</v>
      </c>
      <c r="H1879" s="26">
        <f>IF(ISNA(MATCH(B1879&amp;"/"&amp;C1879,そのた定義!E:E,0)), 0, 1)</f>
        <v>0</v>
      </c>
      <c r="I1879" s="23" t="b">
        <f t="shared" si="268"/>
        <v>1</v>
      </c>
      <c r="J1879" s="26">
        <v>0</v>
      </c>
      <c r="K1879" s="26" t="b">
        <f t="shared" si="263"/>
        <v>0</v>
      </c>
      <c r="L1879" s="26" t="b">
        <f t="shared" si="264"/>
        <v>0</v>
      </c>
      <c r="M1879" t="b">
        <f t="shared" si="269"/>
        <v>0</v>
      </c>
      <c r="N1879" t="b">
        <f t="shared" si="270"/>
        <v>0</v>
      </c>
    </row>
    <row r="1880" spans="1:14">
      <c r="A1880" s="29">
        <v>46440</v>
      </c>
      <c r="B1880" s="30">
        <f t="shared" si="262"/>
        <v>2</v>
      </c>
      <c r="C1880" s="30">
        <f t="shared" si="265"/>
        <v>22</v>
      </c>
      <c r="D1880" s="26">
        <f>MATCH(WEEKDAY(A1880),そのた定義!A:A,0)</f>
        <v>3</v>
      </c>
      <c r="E1880" s="26" t="str">
        <f t="shared" ca="1" si="266"/>
        <v>月</v>
      </c>
      <c r="F1880" s="26">
        <f t="shared" si="267"/>
        <v>0</v>
      </c>
      <c r="G1880" s="26">
        <f>IF(ISNA(MATCH(A1880,祝日定義!E:E,0)),0,1)</f>
        <v>0</v>
      </c>
      <c r="H1880" s="26">
        <f>IF(ISNA(MATCH(B1880&amp;"/"&amp;C1880,そのた定義!E:E,0)), 0, 1)</f>
        <v>0</v>
      </c>
      <c r="I1880" s="26" t="b">
        <f t="shared" si="268"/>
        <v>0</v>
      </c>
      <c r="J1880" s="26">
        <v>2</v>
      </c>
      <c r="K1880" s="26" t="b">
        <f t="shared" si="263"/>
        <v>0</v>
      </c>
      <c r="L1880" s="26" t="b">
        <f t="shared" si="264"/>
        <v>0</v>
      </c>
      <c r="M1880" t="b">
        <f t="shared" si="269"/>
        <v>0</v>
      </c>
      <c r="N1880" t="b">
        <f t="shared" si="270"/>
        <v>0</v>
      </c>
    </row>
    <row r="1881" spans="1:14">
      <c r="A1881" s="29">
        <v>46441</v>
      </c>
      <c r="B1881" s="30">
        <f t="shared" si="262"/>
        <v>2</v>
      </c>
      <c r="C1881" s="30">
        <f t="shared" si="265"/>
        <v>23</v>
      </c>
      <c r="D1881" s="26">
        <f>MATCH(WEEKDAY(A1881),そのた定義!A:A,0)</f>
        <v>4</v>
      </c>
      <c r="E1881" s="31" t="str">
        <f t="shared" ca="1" si="266"/>
        <v>火</v>
      </c>
      <c r="F1881" s="26">
        <f t="shared" si="267"/>
        <v>0</v>
      </c>
      <c r="G1881" s="26">
        <f>IF(ISNA(MATCH(A1881,祝日定義!E:E,0)),0,1)</f>
        <v>1</v>
      </c>
      <c r="H1881" s="26">
        <f>IF(ISNA(MATCH(B1881&amp;"/"&amp;C1881,そのた定義!E:E,0)), 0, 1)</f>
        <v>0</v>
      </c>
      <c r="I1881" s="23" t="b">
        <f t="shared" si="268"/>
        <v>1</v>
      </c>
      <c r="J1881" s="26">
        <v>0</v>
      </c>
      <c r="K1881" s="26" t="b">
        <f t="shared" si="263"/>
        <v>0</v>
      </c>
      <c r="L1881" s="26" t="b">
        <f t="shared" si="264"/>
        <v>0</v>
      </c>
      <c r="M1881" t="b">
        <f t="shared" si="269"/>
        <v>0</v>
      </c>
      <c r="N1881" t="b">
        <f t="shared" si="270"/>
        <v>0</v>
      </c>
    </row>
    <row r="1882" spans="1:14">
      <c r="A1882" s="29">
        <v>46442</v>
      </c>
      <c r="B1882" s="30">
        <f t="shared" si="262"/>
        <v>2</v>
      </c>
      <c r="C1882" s="30">
        <f t="shared" si="265"/>
        <v>24</v>
      </c>
      <c r="D1882" s="26">
        <f>MATCH(WEEKDAY(A1882),そのた定義!A:A,0)</f>
        <v>5</v>
      </c>
      <c r="E1882" s="26" t="str">
        <f t="shared" ca="1" si="266"/>
        <v>水</v>
      </c>
      <c r="F1882" s="26">
        <f t="shared" si="267"/>
        <v>0</v>
      </c>
      <c r="G1882" s="26">
        <f>IF(ISNA(MATCH(A1882,祝日定義!E:E,0)),0,1)</f>
        <v>0</v>
      </c>
      <c r="H1882" s="26">
        <f>IF(ISNA(MATCH(B1882&amp;"/"&amp;C1882,そのた定義!E:E,0)), 0, 1)</f>
        <v>0</v>
      </c>
      <c r="I1882" s="26" t="b">
        <f t="shared" si="268"/>
        <v>0</v>
      </c>
      <c r="J1882" s="26">
        <v>1</v>
      </c>
      <c r="K1882" s="26" t="b">
        <f t="shared" si="263"/>
        <v>0</v>
      </c>
      <c r="L1882" s="26" t="b">
        <f t="shared" si="264"/>
        <v>0</v>
      </c>
      <c r="M1882" t="b">
        <f t="shared" si="269"/>
        <v>0</v>
      </c>
      <c r="N1882" t="b">
        <f t="shared" si="270"/>
        <v>0</v>
      </c>
    </row>
    <row r="1883" spans="1:14">
      <c r="A1883" s="29">
        <v>46443</v>
      </c>
      <c r="B1883" s="30">
        <f t="shared" si="262"/>
        <v>2</v>
      </c>
      <c r="C1883" s="30">
        <f t="shared" si="265"/>
        <v>25</v>
      </c>
      <c r="D1883" s="26">
        <f>MATCH(WEEKDAY(A1883),そのた定義!A:A,0)</f>
        <v>6</v>
      </c>
      <c r="E1883" s="26" t="str">
        <f t="shared" ca="1" si="266"/>
        <v>木</v>
      </c>
      <c r="F1883" s="26">
        <f t="shared" si="267"/>
        <v>0</v>
      </c>
      <c r="G1883" s="26">
        <f>IF(ISNA(MATCH(A1883,祝日定義!E:E,0)),0,1)</f>
        <v>0</v>
      </c>
      <c r="H1883" s="26">
        <f>IF(ISNA(MATCH(B1883&amp;"/"&amp;C1883,そのた定義!E:E,0)), 0, 1)</f>
        <v>0</v>
      </c>
      <c r="I1883" s="26" t="b">
        <f t="shared" si="268"/>
        <v>0</v>
      </c>
      <c r="J1883" s="26">
        <v>0</v>
      </c>
      <c r="K1883" s="26" t="b">
        <f t="shared" si="263"/>
        <v>0</v>
      </c>
      <c r="L1883" s="23" t="b">
        <f t="shared" si="264"/>
        <v>1</v>
      </c>
      <c r="M1883" t="b">
        <f t="shared" si="269"/>
        <v>0</v>
      </c>
      <c r="N1883" t="b">
        <f t="shared" si="270"/>
        <v>0</v>
      </c>
    </row>
    <row r="1884" spans="1:14">
      <c r="A1884" s="29">
        <v>46444</v>
      </c>
      <c r="B1884" s="30">
        <f t="shared" si="262"/>
        <v>2</v>
      </c>
      <c r="C1884" s="30">
        <f t="shared" si="265"/>
        <v>26</v>
      </c>
      <c r="D1884" s="26">
        <f>MATCH(WEEKDAY(A1884),そのた定義!A:A,0)</f>
        <v>7</v>
      </c>
      <c r="E1884" s="26" t="str">
        <f t="shared" ca="1" si="266"/>
        <v>金</v>
      </c>
      <c r="F1884" s="26">
        <f t="shared" si="267"/>
        <v>0</v>
      </c>
      <c r="G1884" s="26">
        <f>IF(ISNA(MATCH(A1884,祝日定義!E:E,0)),0,1)</f>
        <v>0</v>
      </c>
      <c r="H1884" s="26">
        <f>IF(ISNA(MATCH(B1884&amp;"/"&amp;C1884,そのた定義!E:E,0)), 0, 1)</f>
        <v>0</v>
      </c>
      <c r="I1884" s="26" t="b">
        <f t="shared" si="268"/>
        <v>0</v>
      </c>
      <c r="J1884" s="26">
        <v>0</v>
      </c>
      <c r="K1884" s="26" t="b">
        <f t="shared" si="263"/>
        <v>0</v>
      </c>
      <c r="L1884" s="26" t="b">
        <f t="shared" si="264"/>
        <v>0</v>
      </c>
      <c r="M1884" t="b">
        <f t="shared" si="269"/>
        <v>0</v>
      </c>
      <c r="N1884" t="b">
        <f t="shared" si="270"/>
        <v>0</v>
      </c>
    </row>
    <row r="1885" spans="1:14">
      <c r="A1885" s="29">
        <v>46445</v>
      </c>
      <c r="B1885" s="30">
        <f t="shared" si="262"/>
        <v>2</v>
      </c>
      <c r="C1885" s="30">
        <f t="shared" si="265"/>
        <v>27</v>
      </c>
      <c r="D1885" s="26">
        <f>MATCH(WEEKDAY(A1885),そのた定義!A:A,0)</f>
        <v>8</v>
      </c>
      <c r="E1885" s="33" t="str">
        <f t="shared" ca="1" si="266"/>
        <v>土</v>
      </c>
      <c r="F1885" s="26">
        <f t="shared" si="267"/>
        <v>1</v>
      </c>
      <c r="G1885" s="26">
        <f>IF(ISNA(MATCH(A1885,祝日定義!E:E,0)),0,1)</f>
        <v>0</v>
      </c>
      <c r="H1885" s="26">
        <f>IF(ISNA(MATCH(B1885&amp;"/"&amp;C1885,そのた定義!E:E,0)), 0, 1)</f>
        <v>0</v>
      </c>
      <c r="I1885" s="23" t="b">
        <f t="shared" si="268"/>
        <v>1</v>
      </c>
      <c r="J1885" s="26">
        <v>0</v>
      </c>
      <c r="K1885" s="26" t="b">
        <f t="shared" si="263"/>
        <v>0</v>
      </c>
      <c r="L1885" s="26" t="b">
        <f t="shared" si="264"/>
        <v>0</v>
      </c>
      <c r="M1885" t="b">
        <f t="shared" si="269"/>
        <v>0</v>
      </c>
      <c r="N1885" t="b">
        <f t="shared" si="270"/>
        <v>0</v>
      </c>
    </row>
    <row r="1886" spans="1:14">
      <c r="A1886" s="29">
        <v>46446</v>
      </c>
      <c r="B1886" s="30">
        <f t="shared" si="262"/>
        <v>2</v>
      </c>
      <c r="C1886" s="30">
        <f t="shared" si="265"/>
        <v>28</v>
      </c>
      <c r="D1886" s="26">
        <f>MATCH(WEEKDAY(A1886),そのた定義!A:A,0)</f>
        <v>2</v>
      </c>
      <c r="E1886" s="32" t="str">
        <f t="shared" ca="1" si="266"/>
        <v>日</v>
      </c>
      <c r="F1886" s="26">
        <f t="shared" si="267"/>
        <v>1</v>
      </c>
      <c r="G1886" s="26">
        <f>IF(ISNA(MATCH(A1886,祝日定義!E:E,0)),0,1)</f>
        <v>0</v>
      </c>
      <c r="H1886" s="26">
        <f>IF(ISNA(MATCH(B1886&amp;"/"&amp;C1886,そのた定義!E:E,0)), 0, 1)</f>
        <v>0</v>
      </c>
      <c r="I1886" s="23" t="b">
        <f t="shared" si="268"/>
        <v>1</v>
      </c>
      <c r="J1886" s="26">
        <v>0</v>
      </c>
      <c r="K1886" s="26" t="b">
        <f t="shared" si="263"/>
        <v>0</v>
      </c>
      <c r="L1886" s="26" t="b">
        <f t="shared" si="264"/>
        <v>0</v>
      </c>
      <c r="M1886" t="b">
        <f t="shared" si="269"/>
        <v>0</v>
      </c>
      <c r="N1886" t="b">
        <f t="shared" si="270"/>
        <v>1</v>
      </c>
    </row>
    <row r="1887" spans="1:14">
      <c r="A1887" s="29">
        <v>46447</v>
      </c>
      <c r="B1887" s="30">
        <f t="shared" si="262"/>
        <v>3</v>
      </c>
      <c r="C1887" s="30">
        <f t="shared" si="265"/>
        <v>1</v>
      </c>
      <c r="D1887" s="26">
        <f>MATCH(WEEKDAY(A1887),そのた定義!A:A,0)</f>
        <v>3</v>
      </c>
      <c r="E1887" s="26" t="str">
        <f t="shared" ca="1" si="266"/>
        <v>月</v>
      </c>
      <c r="F1887" s="26">
        <f t="shared" si="267"/>
        <v>0</v>
      </c>
      <c r="G1887" s="26">
        <f>IF(ISNA(MATCH(A1887,祝日定義!E:E,0)),0,1)</f>
        <v>0</v>
      </c>
      <c r="H1887" s="26">
        <f>IF(ISNA(MATCH(B1887&amp;"/"&amp;C1887,そのた定義!E:E,0)), 0, 1)</f>
        <v>0</v>
      </c>
      <c r="I1887" s="26" t="b">
        <f t="shared" si="268"/>
        <v>0</v>
      </c>
      <c r="J1887" s="26">
        <v>2</v>
      </c>
      <c r="K1887" s="26" t="b">
        <f t="shared" si="263"/>
        <v>0</v>
      </c>
      <c r="L1887" s="26" t="b">
        <f t="shared" si="264"/>
        <v>0</v>
      </c>
      <c r="M1887" t="b">
        <f t="shared" si="269"/>
        <v>1</v>
      </c>
      <c r="N1887" t="b">
        <f t="shared" si="270"/>
        <v>0</v>
      </c>
    </row>
    <row r="1888" spans="1:14">
      <c r="A1888" s="29">
        <v>46448</v>
      </c>
      <c r="B1888" s="30">
        <f t="shared" si="262"/>
        <v>3</v>
      </c>
      <c r="C1888" s="30">
        <f t="shared" si="265"/>
        <v>2</v>
      </c>
      <c r="D1888" s="26">
        <f>MATCH(WEEKDAY(A1888),そのた定義!A:A,0)</f>
        <v>4</v>
      </c>
      <c r="E1888" s="26" t="str">
        <f t="shared" ca="1" si="266"/>
        <v>火</v>
      </c>
      <c r="F1888" s="26">
        <f t="shared" si="267"/>
        <v>0</v>
      </c>
      <c r="G1888" s="26">
        <f>IF(ISNA(MATCH(A1888,祝日定義!E:E,0)),0,1)</f>
        <v>0</v>
      </c>
      <c r="H1888" s="26">
        <f>IF(ISNA(MATCH(B1888&amp;"/"&amp;C1888,そのた定義!E:E,0)), 0, 1)</f>
        <v>0</v>
      </c>
      <c r="I1888" s="26" t="b">
        <f t="shared" si="268"/>
        <v>0</v>
      </c>
      <c r="J1888" s="26">
        <v>0</v>
      </c>
      <c r="K1888" s="26" t="b">
        <f t="shared" si="263"/>
        <v>0</v>
      </c>
      <c r="L1888" s="26" t="b">
        <f t="shared" si="264"/>
        <v>0</v>
      </c>
      <c r="M1888" t="b">
        <f t="shared" si="269"/>
        <v>0</v>
      </c>
      <c r="N1888" t="b">
        <f t="shared" si="270"/>
        <v>0</v>
      </c>
    </row>
    <row r="1889" spans="1:14">
      <c r="A1889" s="29">
        <v>46449</v>
      </c>
      <c r="B1889" s="30">
        <f t="shared" si="262"/>
        <v>3</v>
      </c>
      <c r="C1889" s="30">
        <f t="shared" si="265"/>
        <v>3</v>
      </c>
      <c r="D1889" s="26">
        <f>MATCH(WEEKDAY(A1889),そのた定義!A:A,0)</f>
        <v>5</v>
      </c>
      <c r="E1889" s="26" t="str">
        <f t="shared" ca="1" si="266"/>
        <v>水</v>
      </c>
      <c r="F1889" s="26">
        <f t="shared" si="267"/>
        <v>0</v>
      </c>
      <c r="G1889" s="26">
        <f>IF(ISNA(MATCH(A1889,祝日定義!E:E,0)),0,1)</f>
        <v>0</v>
      </c>
      <c r="H1889" s="26">
        <f>IF(ISNA(MATCH(B1889&amp;"/"&amp;C1889,そのた定義!E:E,0)), 0, 1)</f>
        <v>0</v>
      </c>
      <c r="I1889" s="26" t="b">
        <f t="shared" si="268"/>
        <v>0</v>
      </c>
      <c r="J1889" s="26">
        <v>0</v>
      </c>
      <c r="K1889" s="26" t="b">
        <f t="shared" si="263"/>
        <v>0</v>
      </c>
      <c r="L1889" s="26" t="b">
        <f t="shared" si="264"/>
        <v>0</v>
      </c>
      <c r="M1889" t="b">
        <f t="shared" si="269"/>
        <v>0</v>
      </c>
      <c r="N1889" t="b">
        <f t="shared" si="270"/>
        <v>0</v>
      </c>
    </row>
    <row r="1890" spans="1:14">
      <c r="A1890" s="29">
        <v>46450</v>
      </c>
      <c r="B1890" s="30">
        <f t="shared" si="262"/>
        <v>3</v>
      </c>
      <c r="C1890" s="30">
        <f t="shared" si="265"/>
        <v>4</v>
      </c>
      <c r="D1890" s="26">
        <f>MATCH(WEEKDAY(A1890),そのた定義!A:A,0)</f>
        <v>6</v>
      </c>
      <c r="E1890" s="26" t="str">
        <f t="shared" ca="1" si="266"/>
        <v>木</v>
      </c>
      <c r="F1890" s="26">
        <f t="shared" si="267"/>
        <v>0</v>
      </c>
      <c r="G1890" s="26">
        <f>IF(ISNA(MATCH(A1890,祝日定義!E:E,0)),0,1)</f>
        <v>0</v>
      </c>
      <c r="H1890" s="26">
        <f>IF(ISNA(MATCH(B1890&amp;"/"&amp;C1890,そのた定義!E:E,0)), 0, 1)</f>
        <v>0</v>
      </c>
      <c r="I1890" s="26" t="b">
        <f t="shared" si="268"/>
        <v>0</v>
      </c>
      <c r="J1890" s="26">
        <v>0</v>
      </c>
      <c r="K1890" s="26" t="b">
        <f t="shared" si="263"/>
        <v>0</v>
      </c>
      <c r="L1890" s="26" t="b">
        <f t="shared" si="264"/>
        <v>0</v>
      </c>
      <c r="M1890" t="b">
        <f t="shared" si="269"/>
        <v>0</v>
      </c>
      <c r="N1890" t="b">
        <f t="shared" si="270"/>
        <v>0</v>
      </c>
    </row>
    <row r="1891" spans="1:14">
      <c r="A1891" s="29">
        <v>46451</v>
      </c>
      <c r="B1891" s="30">
        <f t="shared" si="262"/>
        <v>3</v>
      </c>
      <c r="C1891" s="30">
        <f t="shared" si="265"/>
        <v>5</v>
      </c>
      <c r="D1891" s="26">
        <f>MATCH(WEEKDAY(A1891),そのた定義!A:A,0)</f>
        <v>7</v>
      </c>
      <c r="E1891" s="26" t="str">
        <f t="shared" ca="1" si="266"/>
        <v>金</v>
      </c>
      <c r="F1891" s="26">
        <f t="shared" si="267"/>
        <v>0</v>
      </c>
      <c r="G1891" s="26">
        <f>IF(ISNA(MATCH(A1891,祝日定義!E:E,0)),0,1)</f>
        <v>0</v>
      </c>
      <c r="H1891" s="26">
        <f>IF(ISNA(MATCH(B1891&amp;"/"&amp;C1891,そのた定義!E:E,0)), 0, 1)</f>
        <v>0</v>
      </c>
      <c r="I1891" s="26" t="b">
        <f t="shared" si="268"/>
        <v>0</v>
      </c>
      <c r="J1891" s="26">
        <v>0</v>
      </c>
      <c r="K1891" s="26" t="b">
        <f t="shared" si="263"/>
        <v>0</v>
      </c>
      <c r="L1891" s="26" t="b">
        <f t="shared" si="264"/>
        <v>0</v>
      </c>
      <c r="M1891" t="b">
        <f t="shared" si="269"/>
        <v>0</v>
      </c>
      <c r="N1891" t="b">
        <f t="shared" si="270"/>
        <v>0</v>
      </c>
    </row>
    <row r="1892" spans="1:14">
      <c r="A1892" s="29">
        <v>46452</v>
      </c>
      <c r="B1892" s="30">
        <f t="shared" si="262"/>
        <v>3</v>
      </c>
      <c r="C1892" s="30">
        <f t="shared" si="265"/>
        <v>6</v>
      </c>
      <c r="D1892" s="26">
        <f>MATCH(WEEKDAY(A1892),そのた定義!A:A,0)</f>
        <v>8</v>
      </c>
      <c r="E1892" s="33" t="str">
        <f t="shared" ca="1" si="266"/>
        <v>土</v>
      </c>
      <c r="F1892" s="26">
        <f t="shared" si="267"/>
        <v>1</v>
      </c>
      <c r="G1892" s="26">
        <f>IF(ISNA(MATCH(A1892,祝日定義!E:E,0)),0,1)</f>
        <v>0</v>
      </c>
      <c r="H1892" s="26">
        <f>IF(ISNA(MATCH(B1892&amp;"/"&amp;C1892,そのた定義!E:E,0)), 0, 1)</f>
        <v>0</v>
      </c>
      <c r="I1892" s="23" t="b">
        <f t="shared" si="268"/>
        <v>1</v>
      </c>
      <c r="J1892" s="26">
        <v>0</v>
      </c>
      <c r="K1892" s="26" t="b">
        <f t="shared" si="263"/>
        <v>0</v>
      </c>
      <c r="L1892" s="26" t="b">
        <f t="shared" si="264"/>
        <v>0</v>
      </c>
      <c r="M1892" t="b">
        <f t="shared" si="269"/>
        <v>0</v>
      </c>
      <c r="N1892" t="b">
        <f t="shared" si="270"/>
        <v>0</v>
      </c>
    </row>
    <row r="1893" spans="1:14">
      <c r="A1893" s="29">
        <v>46453</v>
      </c>
      <c r="B1893" s="30">
        <f t="shared" si="262"/>
        <v>3</v>
      </c>
      <c r="C1893" s="30">
        <f t="shared" si="265"/>
        <v>7</v>
      </c>
      <c r="D1893" s="26">
        <f>MATCH(WEEKDAY(A1893),そのた定義!A:A,0)</f>
        <v>2</v>
      </c>
      <c r="E1893" s="32" t="str">
        <f t="shared" ca="1" si="266"/>
        <v>日</v>
      </c>
      <c r="F1893" s="26">
        <f t="shared" si="267"/>
        <v>1</v>
      </c>
      <c r="G1893" s="26">
        <f>IF(ISNA(MATCH(A1893,祝日定義!E:E,0)),0,1)</f>
        <v>0</v>
      </c>
      <c r="H1893" s="26">
        <f>IF(ISNA(MATCH(B1893&amp;"/"&amp;C1893,そのた定義!E:E,0)), 0, 1)</f>
        <v>0</v>
      </c>
      <c r="I1893" s="23" t="b">
        <f t="shared" si="268"/>
        <v>1</v>
      </c>
      <c r="J1893" s="26">
        <v>0</v>
      </c>
      <c r="K1893" s="26" t="b">
        <f t="shared" si="263"/>
        <v>0</v>
      </c>
      <c r="L1893" s="26" t="b">
        <f t="shared" si="264"/>
        <v>0</v>
      </c>
      <c r="M1893" t="b">
        <f t="shared" si="269"/>
        <v>0</v>
      </c>
      <c r="N1893" t="b">
        <f t="shared" si="270"/>
        <v>0</v>
      </c>
    </row>
    <row r="1894" spans="1:14">
      <c r="A1894" s="29">
        <v>46454</v>
      </c>
      <c r="B1894" s="30">
        <f t="shared" si="262"/>
        <v>3</v>
      </c>
      <c r="C1894" s="30">
        <f t="shared" si="265"/>
        <v>8</v>
      </c>
      <c r="D1894" s="26">
        <f>MATCH(WEEKDAY(A1894),そのた定義!A:A,0)</f>
        <v>3</v>
      </c>
      <c r="E1894" s="26" t="str">
        <f t="shared" ca="1" si="266"/>
        <v>月</v>
      </c>
      <c r="F1894" s="26">
        <f t="shared" si="267"/>
        <v>0</v>
      </c>
      <c r="G1894" s="26">
        <f>IF(ISNA(MATCH(A1894,祝日定義!E:E,0)),0,1)</f>
        <v>0</v>
      </c>
      <c r="H1894" s="26">
        <f>IF(ISNA(MATCH(B1894&amp;"/"&amp;C1894,そのた定義!E:E,0)), 0, 1)</f>
        <v>0</v>
      </c>
      <c r="I1894" s="26" t="b">
        <f t="shared" si="268"/>
        <v>0</v>
      </c>
      <c r="J1894" s="26">
        <v>2</v>
      </c>
      <c r="K1894" s="26" t="b">
        <f t="shared" si="263"/>
        <v>0</v>
      </c>
      <c r="L1894" s="26" t="b">
        <f t="shared" si="264"/>
        <v>0</v>
      </c>
      <c r="M1894" t="b">
        <f t="shared" si="269"/>
        <v>0</v>
      </c>
      <c r="N1894" t="b">
        <f t="shared" si="270"/>
        <v>0</v>
      </c>
    </row>
    <row r="1895" spans="1:14">
      <c r="A1895" s="29">
        <v>46455</v>
      </c>
      <c r="B1895" s="30">
        <f t="shared" si="262"/>
        <v>3</v>
      </c>
      <c r="C1895" s="30">
        <f t="shared" si="265"/>
        <v>9</v>
      </c>
      <c r="D1895" s="26">
        <f>MATCH(WEEKDAY(A1895),そのた定義!A:A,0)</f>
        <v>4</v>
      </c>
      <c r="E1895" s="26" t="str">
        <f t="shared" ca="1" si="266"/>
        <v>火</v>
      </c>
      <c r="F1895" s="26">
        <f t="shared" si="267"/>
        <v>0</v>
      </c>
      <c r="G1895" s="26">
        <f>IF(ISNA(MATCH(A1895,祝日定義!E:E,0)),0,1)</f>
        <v>0</v>
      </c>
      <c r="H1895" s="26">
        <f>IF(ISNA(MATCH(B1895&amp;"/"&amp;C1895,そのた定義!E:E,0)), 0, 1)</f>
        <v>0</v>
      </c>
      <c r="I1895" s="26" t="b">
        <f t="shared" si="268"/>
        <v>0</v>
      </c>
      <c r="J1895" s="26">
        <v>0</v>
      </c>
      <c r="K1895" s="26" t="b">
        <f t="shared" si="263"/>
        <v>0</v>
      </c>
      <c r="L1895" s="26" t="b">
        <f t="shared" si="264"/>
        <v>0</v>
      </c>
      <c r="M1895" t="b">
        <f t="shared" si="269"/>
        <v>0</v>
      </c>
      <c r="N1895" t="b">
        <f t="shared" si="270"/>
        <v>0</v>
      </c>
    </row>
    <row r="1896" spans="1:14">
      <c r="A1896" s="29">
        <v>46456</v>
      </c>
      <c r="B1896" s="30">
        <f t="shared" si="262"/>
        <v>3</v>
      </c>
      <c r="C1896" s="30">
        <f t="shared" si="265"/>
        <v>10</v>
      </c>
      <c r="D1896" s="26">
        <f>MATCH(WEEKDAY(A1896),そのた定義!A:A,0)</f>
        <v>5</v>
      </c>
      <c r="E1896" s="26" t="str">
        <f t="shared" ca="1" si="266"/>
        <v>水</v>
      </c>
      <c r="F1896" s="26">
        <f t="shared" si="267"/>
        <v>0</v>
      </c>
      <c r="G1896" s="26">
        <f>IF(ISNA(MATCH(A1896,祝日定義!E:E,0)),0,1)</f>
        <v>0</v>
      </c>
      <c r="H1896" s="26">
        <f>IF(ISNA(MATCH(B1896&amp;"/"&amp;C1896,そのた定義!E:E,0)), 0, 1)</f>
        <v>0</v>
      </c>
      <c r="I1896" s="26" t="b">
        <f t="shared" si="268"/>
        <v>0</v>
      </c>
      <c r="J1896" s="26">
        <v>0</v>
      </c>
      <c r="K1896" s="26" t="b">
        <f t="shared" si="263"/>
        <v>0</v>
      </c>
      <c r="L1896" s="26" t="b">
        <f t="shared" si="264"/>
        <v>0</v>
      </c>
      <c r="M1896" t="b">
        <f t="shared" si="269"/>
        <v>0</v>
      </c>
      <c r="N1896" t="b">
        <f t="shared" si="270"/>
        <v>0</v>
      </c>
    </row>
    <row r="1897" spans="1:14">
      <c r="A1897" s="29">
        <v>46457</v>
      </c>
      <c r="B1897" s="30">
        <f t="shared" si="262"/>
        <v>3</v>
      </c>
      <c r="C1897" s="30">
        <f t="shared" si="265"/>
        <v>11</v>
      </c>
      <c r="D1897" s="26">
        <f>MATCH(WEEKDAY(A1897),そのた定義!A:A,0)</f>
        <v>6</v>
      </c>
      <c r="E1897" s="26" t="str">
        <f t="shared" ca="1" si="266"/>
        <v>木</v>
      </c>
      <c r="F1897" s="26">
        <f t="shared" si="267"/>
        <v>0</v>
      </c>
      <c r="G1897" s="26">
        <f>IF(ISNA(MATCH(A1897,祝日定義!E:E,0)),0,1)</f>
        <v>0</v>
      </c>
      <c r="H1897" s="26">
        <f>IF(ISNA(MATCH(B1897&amp;"/"&amp;C1897,そのた定義!E:E,0)), 0, 1)</f>
        <v>0</v>
      </c>
      <c r="I1897" s="26" t="b">
        <f t="shared" si="268"/>
        <v>0</v>
      </c>
      <c r="J1897" s="26">
        <v>0</v>
      </c>
      <c r="K1897" s="26" t="b">
        <f t="shared" si="263"/>
        <v>0</v>
      </c>
      <c r="L1897" s="26" t="b">
        <f t="shared" si="264"/>
        <v>0</v>
      </c>
      <c r="M1897" t="b">
        <f t="shared" si="269"/>
        <v>0</v>
      </c>
      <c r="N1897" t="b">
        <f t="shared" si="270"/>
        <v>0</v>
      </c>
    </row>
    <row r="1898" spans="1:14">
      <c r="A1898" s="29">
        <v>46458</v>
      </c>
      <c r="B1898" s="30">
        <f t="shared" si="262"/>
        <v>3</v>
      </c>
      <c r="C1898" s="30">
        <f t="shared" si="265"/>
        <v>12</v>
      </c>
      <c r="D1898" s="26">
        <f>MATCH(WEEKDAY(A1898),そのた定義!A:A,0)</f>
        <v>7</v>
      </c>
      <c r="E1898" s="26" t="str">
        <f t="shared" ca="1" si="266"/>
        <v>金</v>
      </c>
      <c r="F1898" s="26">
        <f t="shared" si="267"/>
        <v>0</v>
      </c>
      <c r="G1898" s="26">
        <f>IF(ISNA(MATCH(A1898,祝日定義!E:E,0)),0,1)</f>
        <v>0</v>
      </c>
      <c r="H1898" s="26">
        <f>IF(ISNA(MATCH(B1898&amp;"/"&amp;C1898,そのた定義!E:E,0)), 0, 1)</f>
        <v>0</v>
      </c>
      <c r="I1898" s="26" t="b">
        <f t="shared" si="268"/>
        <v>0</v>
      </c>
      <c r="J1898" s="26">
        <v>0</v>
      </c>
      <c r="K1898" s="26" t="b">
        <f t="shared" si="263"/>
        <v>0</v>
      </c>
      <c r="L1898" s="26" t="b">
        <f t="shared" si="264"/>
        <v>0</v>
      </c>
      <c r="M1898" t="b">
        <f t="shared" si="269"/>
        <v>0</v>
      </c>
      <c r="N1898" t="b">
        <f t="shared" si="270"/>
        <v>0</v>
      </c>
    </row>
    <row r="1899" spans="1:14">
      <c r="A1899" s="29">
        <v>46459</v>
      </c>
      <c r="B1899" s="30">
        <f t="shared" si="262"/>
        <v>3</v>
      </c>
      <c r="C1899" s="30">
        <f t="shared" si="265"/>
        <v>13</v>
      </c>
      <c r="D1899" s="26">
        <f>MATCH(WEEKDAY(A1899),そのた定義!A:A,0)</f>
        <v>8</v>
      </c>
      <c r="E1899" s="33" t="str">
        <f t="shared" ca="1" si="266"/>
        <v>土</v>
      </c>
      <c r="F1899" s="26">
        <f t="shared" si="267"/>
        <v>1</v>
      </c>
      <c r="G1899" s="26">
        <f>IF(ISNA(MATCH(A1899,祝日定義!E:E,0)),0,1)</f>
        <v>0</v>
      </c>
      <c r="H1899" s="26">
        <f>IF(ISNA(MATCH(B1899&amp;"/"&amp;C1899,そのた定義!E:E,0)), 0, 1)</f>
        <v>0</v>
      </c>
      <c r="I1899" s="23" t="b">
        <f t="shared" si="268"/>
        <v>1</v>
      </c>
      <c r="J1899" s="26">
        <v>0</v>
      </c>
      <c r="K1899" s="26" t="b">
        <f t="shared" si="263"/>
        <v>0</v>
      </c>
      <c r="L1899" s="26" t="b">
        <f t="shared" si="264"/>
        <v>0</v>
      </c>
      <c r="M1899" t="b">
        <f t="shared" si="269"/>
        <v>0</v>
      </c>
      <c r="N1899" t="b">
        <f t="shared" si="270"/>
        <v>0</v>
      </c>
    </row>
    <row r="1900" spans="1:14">
      <c r="A1900" s="29">
        <v>46460</v>
      </c>
      <c r="B1900" s="30">
        <f t="shared" si="262"/>
        <v>3</v>
      </c>
      <c r="C1900" s="30">
        <f t="shared" si="265"/>
        <v>14</v>
      </c>
      <c r="D1900" s="26">
        <f>MATCH(WEEKDAY(A1900),そのた定義!A:A,0)</f>
        <v>2</v>
      </c>
      <c r="E1900" s="32" t="str">
        <f t="shared" ca="1" si="266"/>
        <v>日</v>
      </c>
      <c r="F1900" s="26">
        <f t="shared" si="267"/>
        <v>1</v>
      </c>
      <c r="G1900" s="26">
        <f>IF(ISNA(MATCH(A1900,祝日定義!E:E,0)),0,1)</f>
        <v>0</v>
      </c>
      <c r="H1900" s="26">
        <f>IF(ISNA(MATCH(B1900&amp;"/"&amp;C1900,そのた定義!E:E,0)), 0, 1)</f>
        <v>0</v>
      </c>
      <c r="I1900" s="23" t="b">
        <f t="shared" si="268"/>
        <v>1</v>
      </c>
      <c r="J1900" s="26">
        <v>0</v>
      </c>
      <c r="K1900" s="26" t="b">
        <f t="shared" si="263"/>
        <v>0</v>
      </c>
      <c r="L1900" s="26" t="b">
        <f t="shared" si="264"/>
        <v>0</v>
      </c>
      <c r="M1900" t="b">
        <f t="shared" si="269"/>
        <v>0</v>
      </c>
      <c r="N1900" t="b">
        <f t="shared" si="270"/>
        <v>0</v>
      </c>
    </row>
    <row r="1901" spans="1:14">
      <c r="A1901" s="29">
        <v>46461</v>
      </c>
      <c r="B1901" s="30">
        <f t="shared" si="262"/>
        <v>3</v>
      </c>
      <c r="C1901" s="30">
        <f t="shared" si="265"/>
        <v>15</v>
      </c>
      <c r="D1901" s="26">
        <f>MATCH(WEEKDAY(A1901),そのた定義!A:A,0)</f>
        <v>3</v>
      </c>
      <c r="E1901" s="26" t="str">
        <f t="shared" ca="1" si="266"/>
        <v>月</v>
      </c>
      <c r="F1901" s="26">
        <f t="shared" si="267"/>
        <v>0</v>
      </c>
      <c r="G1901" s="26">
        <f>IF(ISNA(MATCH(A1901,祝日定義!E:E,0)),0,1)</f>
        <v>0</v>
      </c>
      <c r="H1901" s="26">
        <f>IF(ISNA(MATCH(B1901&amp;"/"&amp;C1901,そのた定義!E:E,0)), 0, 1)</f>
        <v>0</v>
      </c>
      <c r="I1901" s="26" t="b">
        <f t="shared" si="268"/>
        <v>0</v>
      </c>
      <c r="J1901" s="26">
        <v>2</v>
      </c>
      <c r="K1901" s="26" t="b">
        <f t="shared" si="263"/>
        <v>0</v>
      </c>
      <c r="L1901" s="26" t="b">
        <f t="shared" si="264"/>
        <v>0</v>
      </c>
      <c r="M1901" t="b">
        <f t="shared" si="269"/>
        <v>0</v>
      </c>
      <c r="N1901" t="b">
        <f t="shared" si="270"/>
        <v>0</v>
      </c>
    </row>
    <row r="1902" spans="1:14">
      <c r="A1902" s="29">
        <v>46462</v>
      </c>
      <c r="B1902" s="30">
        <f t="shared" si="262"/>
        <v>3</v>
      </c>
      <c r="C1902" s="30">
        <f t="shared" si="265"/>
        <v>16</v>
      </c>
      <c r="D1902" s="26">
        <f>MATCH(WEEKDAY(A1902),そのた定義!A:A,0)</f>
        <v>4</v>
      </c>
      <c r="E1902" s="26" t="str">
        <f t="shared" ca="1" si="266"/>
        <v>火</v>
      </c>
      <c r="F1902" s="26">
        <f t="shared" si="267"/>
        <v>0</v>
      </c>
      <c r="G1902" s="26">
        <f>IF(ISNA(MATCH(A1902,祝日定義!E:E,0)),0,1)</f>
        <v>0</v>
      </c>
      <c r="H1902" s="26">
        <f>IF(ISNA(MATCH(B1902&amp;"/"&amp;C1902,そのた定義!E:E,0)), 0, 1)</f>
        <v>0</v>
      </c>
      <c r="I1902" s="26" t="b">
        <f t="shared" si="268"/>
        <v>0</v>
      </c>
      <c r="J1902" s="26">
        <v>0</v>
      </c>
      <c r="K1902" s="26" t="b">
        <f t="shared" si="263"/>
        <v>0</v>
      </c>
      <c r="L1902" s="26" t="b">
        <f t="shared" si="264"/>
        <v>0</v>
      </c>
      <c r="M1902" t="b">
        <f t="shared" si="269"/>
        <v>0</v>
      </c>
      <c r="N1902" t="b">
        <f t="shared" si="270"/>
        <v>0</v>
      </c>
    </row>
    <row r="1903" spans="1:14">
      <c r="A1903" s="29">
        <v>46463</v>
      </c>
      <c r="B1903" s="30">
        <f t="shared" si="262"/>
        <v>3</v>
      </c>
      <c r="C1903" s="30">
        <f t="shared" si="265"/>
        <v>17</v>
      </c>
      <c r="D1903" s="26">
        <f>MATCH(WEEKDAY(A1903),そのた定義!A:A,0)</f>
        <v>5</v>
      </c>
      <c r="E1903" s="26" t="str">
        <f t="shared" ca="1" si="266"/>
        <v>水</v>
      </c>
      <c r="F1903" s="26">
        <f t="shared" si="267"/>
        <v>0</v>
      </c>
      <c r="G1903" s="26">
        <f>IF(ISNA(MATCH(A1903,祝日定義!E:E,0)),0,1)</f>
        <v>0</v>
      </c>
      <c r="H1903" s="26">
        <f>IF(ISNA(MATCH(B1903&amp;"/"&amp;C1903,そのた定義!E:E,0)), 0, 1)</f>
        <v>0</v>
      </c>
      <c r="I1903" s="26" t="b">
        <f t="shared" si="268"/>
        <v>0</v>
      </c>
      <c r="J1903" s="26">
        <v>0</v>
      </c>
      <c r="K1903" s="26" t="b">
        <f t="shared" si="263"/>
        <v>0</v>
      </c>
      <c r="L1903" s="26" t="b">
        <f t="shared" si="264"/>
        <v>0</v>
      </c>
      <c r="M1903" t="b">
        <f t="shared" si="269"/>
        <v>0</v>
      </c>
      <c r="N1903" t="b">
        <f t="shared" si="270"/>
        <v>0</v>
      </c>
    </row>
    <row r="1904" spans="1:14">
      <c r="A1904" s="29">
        <v>46464</v>
      </c>
      <c r="B1904" s="30">
        <f t="shared" si="262"/>
        <v>3</v>
      </c>
      <c r="C1904" s="30">
        <f t="shared" si="265"/>
        <v>18</v>
      </c>
      <c r="D1904" s="26">
        <f>MATCH(WEEKDAY(A1904),そのた定義!A:A,0)</f>
        <v>6</v>
      </c>
      <c r="E1904" s="26" t="str">
        <f t="shared" ca="1" si="266"/>
        <v>木</v>
      </c>
      <c r="F1904" s="26">
        <f t="shared" si="267"/>
        <v>0</v>
      </c>
      <c r="G1904" s="26">
        <f>IF(ISNA(MATCH(A1904,祝日定義!E:E,0)),0,1)</f>
        <v>0</v>
      </c>
      <c r="H1904" s="26">
        <f>IF(ISNA(MATCH(B1904&amp;"/"&amp;C1904,そのた定義!E:E,0)), 0, 1)</f>
        <v>0</v>
      </c>
      <c r="I1904" s="26" t="b">
        <f t="shared" si="268"/>
        <v>0</v>
      </c>
      <c r="J1904" s="26">
        <v>0</v>
      </c>
      <c r="K1904" s="26" t="b">
        <f t="shared" si="263"/>
        <v>0</v>
      </c>
      <c r="L1904" s="26" t="b">
        <f t="shared" si="264"/>
        <v>0</v>
      </c>
      <c r="M1904" t="b">
        <f t="shared" si="269"/>
        <v>0</v>
      </c>
      <c r="N1904" t="b">
        <f t="shared" si="270"/>
        <v>0</v>
      </c>
    </row>
    <row r="1905" spans="1:14">
      <c r="A1905" s="29">
        <v>46465</v>
      </c>
      <c r="B1905" s="30">
        <f t="shared" si="262"/>
        <v>3</v>
      </c>
      <c r="C1905" s="30">
        <f t="shared" si="265"/>
        <v>19</v>
      </c>
      <c r="D1905" s="26">
        <f>MATCH(WEEKDAY(A1905),そのた定義!A:A,0)</f>
        <v>7</v>
      </c>
      <c r="E1905" s="26" t="str">
        <f t="shared" ca="1" si="266"/>
        <v>金</v>
      </c>
      <c r="F1905" s="26">
        <f t="shared" si="267"/>
        <v>0</v>
      </c>
      <c r="G1905" s="26">
        <f>IF(ISNA(MATCH(A1905,祝日定義!E:E,0)),0,1)</f>
        <v>0</v>
      </c>
      <c r="H1905" s="26">
        <f>IF(ISNA(MATCH(B1905&amp;"/"&amp;C1905,そのた定義!E:E,0)), 0, 1)</f>
        <v>0</v>
      </c>
      <c r="I1905" s="26" t="b">
        <f t="shared" si="268"/>
        <v>0</v>
      </c>
      <c r="J1905" s="26">
        <v>0</v>
      </c>
      <c r="K1905" s="26" t="b">
        <f t="shared" si="263"/>
        <v>0</v>
      </c>
      <c r="L1905" s="26" t="b">
        <f t="shared" si="264"/>
        <v>0</v>
      </c>
      <c r="M1905" t="b">
        <f t="shared" si="269"/>
        <v>0</v>
      </c>
      <c r="N1905" t="b">
        <f t="shared" si="270"/>
        <v>0</v>
      </c>
    </row>
    <row r="1906" spans="1:14">
      <c r="A1906" s="29">
        <v>46466</v>
      </c>
      <c r="B1906" s="30">
        <f t="shared" si="262"/>
        <v>3</v>
      </c>
      <c r="C1906" s="30">
        <f t="shared" si="265"/>
        <v>20</v>
      </c>
      <c r="D1906" s="26">
        <f>MATCH(WEEKDAY(A1906),そのた定義!A:A,0)</f>
        <v>8</v>
      </c>
      <c r="E1906" s="33" t="str">
        <f t="shared" ca="1" si="266"/>
        <v>土</v>
      </c>
      <c r="F1906" s="26">
        <f t="shared" si="267"/>
        <v>1</v>
      </c>
      <c r="G1906" s="26">
        <f>IF(ISNA(MATCH(A1906,祝日定義!E:E,0)),0,1)</f>
        <v>0</v>
      </c>
      <c r="H1906" s="26">
        <f>IF(ISNA(MATCH(B1906&amp;"/"&amp;C1906,そのた定義!E:E,0)), 0, 1)</f>
        <v>0</v>
      </c>
      <c r="I1906" s="23" t="b">
        <f t="shared" si="268"/>
        <v>1</v>
      </c>
      <c r="J1906" s="26">
        <v>0</v>
      </c>
      <c r="K1906" s="26" t="b">
        <f t="shared" si="263"/>
        <v>0</v>
      </c>
      <c r="L1906" s="26" t="b">
        <f t="shared" si="264"/>
        <v>0</v>
      </c>
      <c r="M1906" t="b">
        <f t="shared" si="269"/>
        <v>0</v>
      </c>
      <c r="N1906" t="b">
        <f t="shared" si="270"/>
        <v>0</v>
      </c>
    </row>
    <row r="1907" spans="1:14">
      <c r="A1907" s="29">
        <v>46467</v>
      </c>
      <c r="B1907" s="30">
        <f t="shared" si="262"/>
        <v>3</v>
      </c>
      <c r="C1907" s="30">
        <f t="shared" si="265"/>
        <v>21</v>
      </c>
      <c r="D1907" s="26">
        <f>MATCH(WEEKDAY(A1907),そのた定義!A:A,0)</f>
        <v>2</v>
      </c>
      <c r="E1907" s="32" t="str">
        <f t="shared" ca="1" si="266"/>
        <v>日</v>
      </c>
      <c r="F1907" s="26">
        <f t="shared" si="267"/>
        <v>1</v>
      </c>
      <c r="G1907" s="26">
        <f>IF(ISNA(MATCH(A1907,祝日定義!E:E,0)),0,1)</f>
        <v>1</v>
      </c>
      <c r="H1907" s="26">
        <f>IF(ISNA(MATCH(B1907&amp;"/"&amp;C1907,そのた定義!E:E,0)), 0, 1)</f>
        <v>0</v>
      </c>
      <c r="I1907" s="23" t="b">
        <f t="shared" si="268"/>
        <v>1</v>
      </c>
      <c r="J1907" s="26">
        <v>0</v>
      </c>
      <c r="K1907" s="26" t="b">
        <f t="shared" si="263"/>
        <v>0</v>
      </c>
      <c r="L1907" s="26" t="b">
        <f t="shared" si="264"/>
        <v>0</v>
      </c>
      <c r="M1907" t="b">
        <f t="shared" si="269"/>
        <v>0</v>
      </c>
      <c r="N1907" t="b">
        <f t="shared" si="270"/>
        <v>0</v>
      </c>
    </row>
    <row r="1908" spans="1:14">
      <c r="A1908" s="29">
        <v>46468</v>
      </c>
      <c r="B1908" s="30">
        <f t="shared" si="262"/>
        <v>3</v>
      </c>
      <c r="C1908" s="30">
        <f t="shared" si="265"/>
        <v>22</v>
      </c>
      <c r="D1908" s="26">
        <f>MATCH(WEEKDAY(A1908),そのた定義!A:A,0)</f>
        <v>3</v>
      </c>
      <c r="E1908" s="31" t="str">
        <f t="shared" ca="1" si="266"/>
        <v>月</v>
      </c>
      <c r="F1908" s="26">
        <f t="shared" si="267"/>
        <v>0</v>
      </c>
      <c r="G1908" s="26">
        <f>IF(ISNA(MATCH(A1908,祝日定義!E:E,0)),0,1)</f>
        <v>1</v>
      </c>
      <c r="H1908" s="26">
        <f>IF(ISNA(MATCH(B1908&amp;"/"&amp;C1908,そのた定義!E:E,0)), 0, 1)</f>
        <v>0</v>
      </c>
      <c r="I1908" s="23" t="b">
        <f t="shared" si="268"/>
        <v>1</v>
      </c>
      <c r="J1908" s="26">
        <v>0</v>
      </c>
      <c r="K1908" s="26" t="b">
        <f t="shared" si="263"/>
        <v>0</v>
      </c>
      <c r="L1908" s="26" t="b">
        <f t="shared" si="264"/>
        <v>0</v>
      </c>
      <c r="M1908" t="b">
        <f t="shared" si="269"/>
        <v>0</v>
      </c>
      <c r="N1908" t="b">
        <f t="shared" si="270"/>
        <v>0</v>
      </c>
    </row>
    <row r="1909" spans="1:14">
      <c r="A1909" s="29">
        <v>46469</v>
      </c>
      <c r="B1909" s="30">
        <f t="shared" si="262"/>
        <v>3</v>
      </c>
      <c r="C1909" s="30">
        <f t="shared" si="265"/>
        <v>23</v>
      </c>
      <c r="D1909" s="26">
        <f>MATCH(WEEKDAY(A1909),そのた定義!A:A,0)</f>
        <v>4</v>
      </c>
      <c r="E1909" s="26" t="str">
        <f t="shared" ca="1" si="266"/>
        <v>火</v>
      </c>
      <c r="F1909" s="26">
        <f t="shared" si="267"/>
        <v>0</v>
      </c>
      <c r="G1909" s="26">
        <f>IF(ISNA(MATCH(A1909,祝日定義!E:E,0)),0,1)</f>
        <v>0</v>
      </c>
      <c r="H1909" s="26">
        <f>IF(ISNA(MATCH(B1909&amp;"/"&amp;C1909,そのた定義!E:E,0)), 0, 1)</f>
        <v>0</v>
      </c>
      <c r="I1909" s="26" t="b">
        <f t="shared" si="268"/>
        <v>0</v>
      </c>
      <c r="J1909" s="26">
        <v>3</v>
      </c>
      <c r="K1909" s="26" t="b">
        <f t="shared" si="263"/>
        <v>0</v>
      </c>
      <c r="L1909" s="26" t="b">
        <f t="shared" si="264"/>
        <v>0</v>
      </c>
      <c r="M1909" t="b">
        <f t="shared" si="269"/>
        <v>0</v>
      </c>
      <c r="N1909" t="b">
        <f t="shared" si="270"/>
        <v>0</v>
      </c>
    </row>
    <row r="1910" spans="1:14">
      <c r="A1910" s="29">
        <v>46470</v>
      </c>
      <c r="B1910" s="30">
        <f t="shared" si="262"/>
        <v>3</v>
      </c>
      <c r="C1910" s="30">
        <f t="shared" si="265"/>
        <v>24</v>
      </c>
      <c r="D1910" s="26">
        <f>MATCH(WEEKDAY(A1910),そのた定義!A:A,0)</f>
        <v>5</v>
      </c>
      <c r="E1910" s="26" t="str">
        <f t="shared" ca="1" si="266"/>
        <v>水</v>
      </c>
      <c r="F1910" s="26">
        <f t="shared" si="267"/>
        <v>0</v>
      </c>
      <c r="G1910" s="26">
        <f>IF(ISNA(MATCH(A1910,祝日定義!E:E,0)),0,1)</f>
        <v>0</v>
      </c>
      <c r="H1910" s="26">
        <f>IF(ISNA(MATCH(B1910&amp;"/"&amp;C1910,そのた定義!E:E,0)), 0, 1)</f>
        <v>0</v>
      </c>
      <c r="I1910" s="26" t="b">
        <f t="shared" si="268"/>
        <v>0</v>
      </c>
      <c r="J1910" s="26">
        <v>0</v>
      </c>
      <c r="K1910" s="26" t="b">
        <f t="shared" si="263"/>
        <v>0</v>
      </c>
      <c r="L1910" s="26" t="b">
        <f t="shared" si="264"/>
        <v>0</v>
      </c>
      <c r="M1910" t="b">
        <f t="shared" si="269"/>
        <v>0</v>
      </c>
      <c r="N1910" t="b">
        <f t="shared" si="270"/>
        <v>0</v>
      </c>
    </row>
    <row r="1911" spans="1:14">
      <c r="A1911" s="29">
        <v>46471</v>
      </c>
      <c r="B1911" s="30">
        <f t="shared" si="262"/>
        <v>3</v>
      </c>
      <c r="C1911" s="30">
        <f t="shared" si="265"/>
        <v>25</v>
      </c>
      <c r="D1911" s="26">
        <f>MATCH(WEEKDAY(A1911),そのた定義!A:A,0)</f>
        <v>6</v>
      </c>
      <c r="E1911" s="26" t="str">
        <f t="shared" ca="1" si="266"/>
        <v>木</v>
      </c>
      <c r="F1911" s="26">
        <f t="shared" si="267"/>
        <v>0</v>
      </c>
      <c r="G1911" s="26">
        <f>IF(ISNA(MATCH(A1911,祝日定義!E:E,0)),0,1)</f>
        <v>0</v>
      </c>
      <c r="H1911" s="26">
        <f>IF(ISNA(MATCH(B1911&amp;"/"&amp;C1911,そのた定義!E:E,0)), 0, 1)</f>
        <v>0</v>
      </c>
      <c r="I1911" s="26" t="b">
        <f t="shared" si="268"/>
        <v>0</v>
      </c>
      <c r="J1911" s="26">
        <v>0</v>
      </c>
      <c r="K1911" s="26" t="b">
        <f t="shared" si="263"/>
        <v>0</v>
      </c>
      <c r="L1911" s="23" t="b">
        <f t="shared" si="264"/>
        <v>1</v>
      </c>
      <c r="M1911" t="b">
        <f t="shared" si="269"/>
        <v>0</v>
      </c>
      <c r="N1911" t="b">
        <f t="shared" si="270"/>
        <v>0</v>
      </c>
    </row>
    <row r="1912" spans="1:14">
      <c r="A1912" s="29">
        <v>46472</v>
      </c>
      <c r="B1912" s="30">
        <f t="shared" si="262"/>
        <v>3</v>
      </c>
      <c r="C1912" s="30">
        <f t="shared" si="265"/>
        <v>26</v>
      </c>
      <c r="D1912" s="26">
        <f>MATCH(WEEKDAY(A1912),そのた定義!A:A,0)</f>
        <v>7</v>
      </c>
      <c r="E1912" s="26" t="str">
        <f t="shared" ca="1" si="266"/>
        <v>金</v>
      </c>
      <c r="F1912" s="26">
        <f t="shared" si="267"/>
        <v>0</v>
      </c>
      <c r="G1912" s="26">
        <f>IF(ISNA(MATCH(A1912,祝日定義!E:E,0)),0,1)</f>
        <v>0</v>
      </c>
      <c r="H1912" s="26">
        <f>IF(ISNA(MATCH(B1912&amp;"/"&amp;C1912,そのた定義!E:E,0)), 0, 1)</f>
        <v>0</v>
      </c>
      <c r="I1912" s="26" t="b">
        <f t="shared" si="268"/>
        <v>0</v>
      </c>
      <c r="J1912" s="26">
        <v>0</v>
      </c>
      <c r="K1912" s="26" t="b">
        <f t="shared" si="263"/>
        <v>0</v>
      </c>
      <c r="L1912" s="26" t="b">
        <f t="shared" si="264"/>
        <v>0</v>
      </c>
      <c r="M1912" t="b">
        <f t="shared" si="269"/>
        <v>0</v>
      </c>
      <c r="N1912" t="b">
        <f t="shared" si="270"/>
        <v>0</v>
      </c>
    </row>
    <row r="1913" spans="1:14">
      <c r="A1913" s="29">
        <v>46473</v>
      </c>
      <c r="B1913" s="30">
        <f t="shared" si="262"/>
        <v>3</v>
      </c>
      <c r="C1913" s="30">
        <f t="shared" si="265"/>
        <v>27</v>
      </c>
      <c r="D1913" s="26">
        <f>MATCH(WEEKDAY(A1913),そのた定義!A:A,0)</f>
        <v>8</v>
      </c>
      <c r="E1913" s="33" t="str">
        <f t="shared" ca="1" si="266"/>
        <v>土</v>
      </c>
      <c r="F1913" s="26">
        <f t="shared" si="267"/>
        <v>1</v>
      </c>
      <c r="G1913" s="26">
        <f>IF(ISNA(MATCH(A1913,祝日定義!E:E,0)),0,1)</f>
        <v>0</v>
      </c>
      <c r="H1913" s="26">
        <f>IF(ISNA(MATCH(B1913&amp;"/"&amp;C1913,そのた定義!E:E,0)), 0, 1)</f>
        <v>0</v>
      </c>
      <c r="I1913" s="23" t="b">
        <f t="shared" si="268"/>
        <v>1</v>
      </c>
      <c r="J1913" s="26">
        <v>0</v>
      </c>
      <c r="K1913" s="26" t="b">
        <f t="shared" si="263"/>
        <v>0</v>
      </c>
      <c r="L1913" s="26" t="b">
        <f t="shared" si="264"/>
        <v>0</v>
      </c>
      <c r="M1913" t="b">
        <f t="shared" si="269"/>
        <v>0</v>
      </c>
      <c r="N1913" t="b">
        <f t="shared" si="270"/>
        <v>0</v>
      </c>
    </row>
    <row r="1914" spans="1:14">
      <c r="A1914" s="29">
        <v>46474</v>
      </c>
      <c r="B1914" s="30">
        <f t="shared" si="262"/>
        <v>3</v>
      </c>
      <c r="C1914" s="30">
        <f t="shared" si="265"/>
        <v>28</v>
      </c>
      <c r="D1914" s="26">
        <f>MATCH(WEEKDAY(A1914),そのた定義!A:A,0)</f>
        <v>2</v>
      </c>
      <c r="E1914" s="32" t="str">
        <f t="shared" ca="1" si="266"/>
        <v>日</v>
      </c>
      <c r="F1914" s="26">
        <f t="shared" si="267"/>
        <v>1</v>
      </c>
      <c r="G1914" s="26">
        <f>IF(ISNA(MATCH(A1914,祝日定義!E:E,0)),0,1)</f>
        <v>0</v>
      </c>
      <c r="H1914" s="26">
        <f>IF(ISNA(MATCH(B1914&amp;"/"&amp;C1914,そのた定義!E:E,0)), 0, 1)</f>
        <v>0</v>
      </c>
      <c r="I1914" s="23" t="b">
        <f t="shared" si="268"/>
        <v>1</v>
      </c>
      <c r="J1914" s="26">
        <v>0</v>
      </c>
      <c r="K1914" s="26" t="b">
        <f t="shared" si="263"/>
        <v>0</v>
      </c>
      <c r="L1914" s="26" t="b">
        <f t="shared" si="264"/>
        <v>0</v>
      </c>
      <c r="M1914" t="b">
        <f t="shared" si="269"/>
        <v>0</v>
      </c>
      <c r="N1914" t="b">
        <f t="shared" si="270"/>
        <v>0</v>
      </c>
    </row>
    <row r="1915" spans="1:14">
      <c r="A1915" s="29">
        <v>46475</v>
      </c>
      <c r="B1915" s="30">
        <f t="shared" si="262"/>
        <v>3</v>
      </c>
      <c r="C1915" s="30">
        <f t="shared" si="265"/>
        <v>29</v>
      </c>
      <c r="D1915" s="26">
        <f>MATCH(WEEKDAY(A1915),そのた定義!A:A,0)</f>
        <v>3</v>
      </c>
      <c r="E1915" s="26" t="str">
        <f t="shared" ca="1" si="266"/>
        <v>月</v>
      </c>
      <c r="F1915" s="26">
        <f t="shared" si="267"/>
        <v>0</v>
      </c>
      <c r="G1915" s="26">
        <f>IF(ISNA(MATCH(A1915,祝日定義!E:E,0)),0,1)</f>
        <v>0</v>
      </c>
      <c r="H1915" s="26">
        <f>IF(ISNA(MATCH(B1915&amp;"/"&amp;C1915,そのた定義!E:E,0)), 0, 1)</f>
        <v>0</v>
      </c>
      <c r="I1915" s="26" t="b">
        <f t="shared" si="268"/>
        <v>0</v>
      </c>
      <c r="J1915" s="26">
        <v>2</v>
      </c>
      <c r="K1915" s="26" t="b">
        <f t="shared" si="263"/>
        <v>0</v>
      </c>
      <c r="L1915" s="26" t="b">
        <f t="shared" si="264"/>
        <v>0</v>
      </c>
      <c r="M1915" t="b">
        <f t="shared" si="269"/>
        <v>0</v>
      </c>
      <c r="N1915" t="b">
        <f t="shared" si="270"/>
        <v>0</v>
      </c>
    </row>
    <row r="1916" spans="1:14">
      <c r="A1916" s="29">
        <v>46476</v>
      </c>
      <c r="B1916" s="30">
        <f t="shared" si="262"/>
        <v>3</v>
      </c>
      <c r="C1916" s="30">
        <f t="shared" si="265"/>
        <v>30</v>
      </c>
      <c r="D1916" s="26">
        <f>MATCH(WEEKDAY(A1916),そのた定義!A:A,0)</f>
        <v>4</v>
      </c>
      <c r="E1916" s="26" t="str">
        <f t="shared" ca="1" si="266"/>
        <v>火</v>
      </c>
      <c r="F1916" s="26">
        <f t="shared" si="267"/>
        <v>0</v>
      </c>
      <c r="G1916" s="26">
        <f>IF(ISNA(MATCH(A1916,祝日定義!E:E,0)),0,1)</f>
        <v>0</v>
      </c>
      <c r="H1916" s="26">
        <f>IF(ISNA(MATCH(B1916&amp;"/"&amp;C1916,そのた定義!E:E,0)), 0, 1)</f>
        <v>0</v>
      </c>
      <c r="I1916" s="26" t="b">
        <f t="shared" si="268"/>
        <v>0</v>
      </c>
      <c r="J1916" s="26">
        <v>0</v>
      </c>
      <c r="K1916" s="26" t="b">
        <f t="shared" si="263"/>
        <v>0</v>
      </c>
      <c r="L1916" s="26" t="b">
        <f t="shared" si="264"/>
        <v>0</v>
      </c>
      <c r="M1916" t="b">
        <f t="shared" si="269"/>
        <v>0</v>
      </c>
      <c r="N1916" t="b">
        <f t="shared" si="270"/>
        <v>0</v>
      </c>
    </row>
    <row r="1917" spans="1:14">
      <c r="A1917" s="29">
        <v>46477</v>
      </c>
      <c r="B1917" s="30">
        <f t="shared" si="262"/>
        <v>3</v>
      </c>
      <c r="C1917" s="30">
        <f t="shared" si="265"/>
        <v>31</v>
      </c>
      <c r="D1917" s="26">
        <f>MATCH(WEEKDAY(A1917),そのた定義!A:A,0)</f>
        <v>5</v>
      </c>
      <c r="E1917" s="26" t="str">
        <f t="shared" ca="1" si="266"/>
        <v>水</v>
      </c>
      <c r="F1917" s="26">
        <f t="shared" si="267"/>
        <v>0</v>
      </c>
      <c r="G1917" s="26">
        <f>IF(ISNA(MATCH(A1917,祝日定義!E:E,0)),0,1)</f>
        <v>0</v>
      </c>
      <c r="H1917" s="26">
        <f>IF(ISNA(MATCH(B1917&amp;"/"&amp;C1917,そのた定義!E:E,0)), 0, 1)</f>
        <v>0</v>
      </c>
      <c r="I1917" s="26" t="b">
        <f t="shared" si="268"/>
        <v>0</v>
      </c>
      <c r="J1917" s="26">
        <v>0</v>
      </c>
      <c r="K1917" s="26" t="b">
        <f t="shared" si="263"/>
        <v>0</v>
      </c>
      <c r="L1917" s="26" t="b">
        <f t="shared" si="264"/>
        <v>0</v>
      </c>
      <c r="M1917" t="b">
        <f t="shared" si="269"/>
        <v>0</v>
      </c>
      <c r="N1917" t="b">
        <f t="shared" si="270"/>
        <v>1</v>
      </c>
    </row>
    <row r="1918" spans="1:14">
      <c r="A1918" s="29">
        <v>46478</v>
      </c>
      <c r="B1918" s="30">
        <f t="shared" si="262"/>
        <v>4</v>
      </c>
      <c r="C1918" s="30">
        <f t="shared" si="265"/>
        <v>1</v>
      </c>
      <c r="D1918" s="26">
        <f>MATCH(WEEKDAY(A1918),そのた定義!A:A,0)</f>
        <v>6</v>
      </c>
      <c r="E1918" s="26" t="str">
        <f t="shared" ca="1" si="266"/>
        <v>木</v>
      </c>
      <c r="F1918" s="26">
        <f t="shared" si="267"/>
        <v>0</v>
      </c>
      <c r="G1918" s="26">
        <f>IF(ISNA(MATCH(A1918,祝日定義!E:E,0)),0,1)</f>
        <v>0</v>
      </c>
      <c r="H1918" s="26">
        <f>IF(ISNA(MATCH(B1918&amp;"/"&amp;C1918,そのた定義!E:E,0)), 0, 1)</f>
        <v>0</v>
      </c>
      <c r="I1918" s="26" t="b">
        <f t="shared" si="268"/>
        <v>0</v>
      </c>
      <c r="J1918" s="26">
        <v>0</v>
      </c>
      <c r="K1918" s="26" t="b">
        <f t="shared" si="263"/>
        <v>0</v>
      </c>
      <c r="L1918" s="26" t="b">
        <f t="shared" si="264"/>
        <v>0</v>
      </c>
      <c r="M1918" t="b">
        <f t="shared" si="269"/>
        <v>0</v>
      </c>
      <c r="N1918" t="b">
        <f t="shared" si="270"/>
        <v>0</v>
      </c>
    </row>
    <row r="1919" spans="1:14">
      <c r="A1919" s="29">
        <v>46479</v>
      </c>
      <c r="B1919" s="30">
        <f t="shared" si="262"/>
        <v>4</v>
      </c>
      <c r="C1919" s="30">
        <f t="shared" si="265"/>
        <v>2</v>
      </c>
      <c r="D1919" s="26">
        <f>MATCH(WEEKDAY(A1919),そのた定義!A:A,0)</f>
        <v>7</v>
      </c>
      <c r="E1919" s="26" t="str">
        <f t="shared" ca="1" si="266"/>
        <v>金</v>
      </c>
      <c r="F1919" s="26">
        <f t="shared" si="267"/>
        <v>0</v>
      </c>
      <c r="G1919" s="26">
        <f>IF(ISNA(MATCH(A1919,祝日定義!E:E,0)),0,1)</f>
        <v>0</v>
      </c>
      <c r="H1919" s="26">
        <f>IF(ISNA(MATCH(B1919&amp;"/"&amp;C1919,そのた定義!E:E,0)), 0, 1)</f>
        <v>0</v>
      </c>
      <c r="I1919" s="26" t="b">
        <f t="shared" si="268"/>
        <v>0</v>
      </c>
      <c r="J1919" s="26">
        <v>0</v>
      </c>
      <c r="K1919" s="26" t="b">
        <f t="shared" si="263"/>
        <v>0</v>
      </c>
      <c r="L1919" s="26" t="b">
        <f t="shared" si="264"/>
        <v>0</v>
      </c>
      <c r="M1919" t="b">
        <f t="shared" si="269"/>
        <v>0</v>
      </c>
      <c r="N1919" t="b">
        <f t="shared" si="270"/>
        <v>0</v>
      </c>
    </row>
    <row r="1920" spans="1:14">
      <c r="A1920" s="29">
        <v>46480</v>
      </c>
      <c r="B1920" s="30">
        <f t="shared" si="262"/>
        <v>4</v>
      </c>
      <c r="C1920" s="30">
        <f t="shared" si="265"/>
        <v>3</v>
      </c>
      <c r="D1920" s="26">
        <f>MATCH(WEEKDAY(A1920),そのた定義!A:A,0)</f>
        <v>8</v>
      </c>
      <c r="E1920" s="33" t="str">
        <f t="shared" ca="1" si="266"/>
        <v>土</v>
      </c>
      <c r="F1920" s="26">
        <f t="shared" si="267"/>
        <v>1</v>
      </c>
      <c r="G1920" s="26">
        <f>IF(ISNA(MATCH(A1920,祝日定義!E:E,0)),0,1)</f>
        <v>0</v>
      </c>
      <c r="H1920" s="26">
        <f>IF(ISNA(MATCH(B1920&amp;"/"&amp;C1920,そのた定義!E:E,0)), 0, 1)</f>
        <v>0</v>
      </c>
      <c r="I1920" s="23" t="b">
        <f t="shared" si="268"/>
        <v>1</v>
      </c>
      <c r="J1920" s="26">
        <v>0</v>
      </c>
      <c r="K1920" s="26" t="b">
        <f t="shared" si="263"/>
        <v>0</v>
      </c>
      <c r="L1920" s="26" t="b">
        <f t="shared" si="264"/>
        <v>0</v>
      </c>
      <c r="M1920" t="b">
        <f t="shared" si="269"/>
        <v>0</v>
      </c>
      <c r="N1920" t="b">
        <f t="shared" si="270"/>
        <v>0</v>
      </c>
    </row>
    <row r="1921" spans="1:14">
      <c r="A1921" s="29">
        <v>46481</v>
      </c>
      <c r="B1921" s="30">
        <f t="shared" si="262"/>
        <v>4</v>
      </c>
      <c r="C1921" s="30">
        <f t="shared" si="265"/>
        <v>4</v>
      </c>
      <c r="D1921" s="26">
        <f>MATCH(WEEKDAY(A1921),そのた定義!A:A,0)</f>
        <v>2</v>
      </c>
      <c r="E1921" s="32" t="str">
        <f t="shared" ca="1" si="266"/>
        <v>日</v>
      </c>
      <c r="F1921" s="26">
        <f t="shared" si="267"/>
        <v>1</v>
      </c>
      <c r="G1921" s="26">
        <f>IF(ISNA(MATCH(A1921,祝日定義!E:E,0)),0,1)</f>
        <v>0</v>
      </c>
      <c r="H1921" s="26">
        <f>IF(ISNA(MATCH(B1921&amp;"/"&amp;C1921,そのた定義!E:E,0)), 0, 1)</f>
        <v>0</v>
      </c>
      <c r="I1921" s="23" t="b">
        <f t="shared" si="268"/>
        <v>1</v>
      </c>
      <c r="J1921" s="26">
        <v>0</v>
      </c>
      <c r="K1921" s="26" t="b">
        <f t="shared" si="263"/>
        <v>0</v>
      </c>
      <c r="L1921" s="26" t="b">
        <f t="shared" si="264"/>
        <v>0</v>
      </c>
      <c r="M1921" t="b">
        <f t="shared" si="269"/>
        <v>0</v>
      </c>
      <c r="N1921" t="b">
        <f t="shared" si="270"/>
        <v>0</v>
      </c>
    </row>
    <row r="1922" spans="1:14">
      <c r="A1922" s="29">
        <v>46482</v>
      </c>
      <c r="B1922" s="30">
        <f t="shared" ref="B1922:B1985" si="271">MONTH(A1922)</f>
        <v>4</v>
      </c>
      <c r="C1922" s="30">
        <f t="shared" si="265"/>
        <v>5</v>
      </c>
      <c r="D1922" s="26">
        <f>MATCH(WEEKDAY(A1922),そのた定義!A:A,0)</f>
        <v>3</v>
      </c>
      <c r="E1922" s="26" t="str">
        <f t="shared" ca="1" si="266"/>
        <v>月</v>
      </c>
      <c r="F1922" s="26">
        <f t="shared" si="267"/>
        <v>0</v>
      </c>
      <c r="G1922" s="26">
        <f>IF(ISNA(MATCH(A1922,祝日定義!E:E,0)),0,1)</f>
        <v>0</v>
      </c>
      <c r="H1922" s="26">
        <f>IF(ISNA(MATCH(B1922&amp;"/"&amp;C1922,そのた定義!E:E,0)), 0, 1)</f>
        <v>0</v>
      </c>
      <c r="I1922" s="26" t="b">
        <f t="shared" si="268"/>
        <v>0</v>
      </c>
      <c r="J1922" s="26">
        <v>2</v>
      </c>
      <c r="K1922" s="26" t="b">
        <f t="shared" ref="K1922:K1985" si="272">AND(C1922&gt;25,DAY(A1922-J1922)&lt;=25)</f>
        <v>0</v>
      </c>
      <c r="L1922" s="26" t="b">
        <f t="shared" ref="L1922:L1985" si="273">C1922=25</f>
        <v>0</v>
      </c>
      <c r="M1922" t="b">
        <f t="shared" si="269"/>
        <v>0</v>
      </c>
      <c r="N1922" t="b">
        <f t="shared" si="270"/>
        <v>0</v>
      </c>
    </row>
    <row r="1923" spans="1:14">
      <c r="A1923" s="29">
        <v>46483</v>
      </c>
      <c r="B1923" s="30">
        <f t="shared" si="271"/>
        <v>4</v>
      </c>
      <c r="C1923" s="30">
        <f t="shared" ref="C1923:C1986" si="274">DAY(A1923)</f>
        <v>6</v>
      </c>
      <c r="D1923" s="26">
        <f>MATCH(WEEKDAY(A1923),そのた定義!A:A,0)</f>
        <v>4</v>
      </c>
      <c r="E1923" s="26" t="str">
        <f t="shared" ref="E1923:E1986" ca="1" si="275">INDIRECT("そのた定義!"&amp;"B"&amp;D1923)</f>
        <v>火</v>
      </c>
      <c r="F1923" s="26">
        <f t="shared" ref="F1923:F1986" si="276">IF(OR(D1923=8,D1923=2),1,0)</f>
        <v>0</v>
      </c>
      <c r="G1923" s="26">
        <f>IF(ISNA(MATCH(A1923,祝日定義!E:E,0)),0,1)</f>
        <v>0</v>
      </c>
      <c r="H1923" s="26">
        <f>IF(ISNA(MATCH(B1923&amp;"/"&amp;C1923,そのた定義!E:E,0)), 0, 1)</f>
        <v>0</v>
      </c>
      <c r="I1923" s="26" t="b">
        <f t="shared" ref="I1923:I1986" si="277">SUM(F1923:H1923)&gt;0</f>
        <v>0</v>
      </c>
      <c r="J1923" s="26">
        <v>0</v>
      </c>
      <c r="K1923" s="26" t="b">
        <f t="shared" si="272"/>
        <v>0</v>
      </c>
      <c r="L1923" s="26" t="b">
        <f t="shared" si="273"/>
        <v>0</v>
      </c>
      <c r="M1923" t="b">
        <f t="shared" ref="M1923:M1986" si="278">B1923&lt;&gt;MONTH(A1923-J1923)</f>
        <v>0</v>
      </c>
      <c r="N1923" t="b">
        <f t="shared" ref="N1923:N1986" si="279">B1923&lt;&gt;MONTH(A1923+1)</f>
        <v>0</v>
      </c>
    </row>
    <row r="1924" spans="1:14">
      <c r="A1924" s="29">
        <v>46484</v>
      </c>
      <c r="B1924" s="30">
        <f t="shared" si="271"/>
        <v>4</v>
      </c>
      <c r="C1924" s="30">
        <f t="shared" si="274"/>
        <v>7</v>
      </c>
      <c r="D1924" s="26">
        <f>MATCH(WEEKDAY(A1924),そのた定義!A:A,0)</f>
        <v>5</v>
      </c>
      <c r="E1924" s="26" t="str">
        <f t="shared" ca="1" si="275"/>
        <v>水</v>
      </c>
      <c r="F1924" s="26">
        <f t="shared" si="276"/>
        <v>0</v>
      </c>
      <c r="G1924" s="26">
        <f>IF(ISNA(MATCH(A1924,祝日定義!E:E,0)),0,1)</f>
        <v>0</v>
      </c>
      <c r="H1924" s="26">
        <f>IF(ISNA(MATCH(B1924&amp;"/"&amp;C1924,そのた定義!E:E,0)), 0, 1)</f>
        <v>0</v>
      </c>
      <c r="I1924" s="26" t="b">
        <f t="shared" si="277"/>
        <v>0</v>
      </c>
      <c r="J1924" s="26">
        <v>0</v>
      </c>
      <c r="K1924" s="26" t="b">
        <f t="shared" si="272"/>
        <v>0</v>
      </c>
      <c r="L1924" s="26" t="b">
        <f t="shared" si="273"/>
        <v>0</v>
      </c>
      <c r="M1924" t="b">
        <f t="shared" si="278"/>
        <v>0</v>
      </c>
      <c r="N1924" t="b">
        <f t="shared" si="279"/>
        <v>0</v>
      </c>
    </row>
    <row r="1925" spans="1:14">
      <c r="A1925" s="29">
        <v>46485</v>
      </c>
      <c r="B1925" s="30">
        <f t="shared" si="271"/>
        <v>4</v>
      </c>
      <c r="C1925" s="30">
        <f t="shared" si="274"/>
        <v>8</v>
      </c>
      <c r="D1925" s="26">
        <f>MATCH(WEEKDAY(A1925),そのた定義!A:A,0)</f>
        <v>6</v>
      </c>
      <c r="E1925" s="26" t="str">
        <f t="shared" ca="1" si="275"/>
        <v>木</v>
      </c>
      <c r="F1925" s="26">
        <f t="shared" si="276"/>
        <v>0</v>
      </c>
      <c r="G1925" s="26">
        <f>IF(ISNA(MATCH(A1925,祝日定義!E:E,0)),0,1)</f>
        <v>0</v>
      </c>
      <c r="H1925" s="26">
        <f>IF(ISNA(MATCH(B1925&amp;"/"&amp;C1925,そのた定義!E:E,0)), 0, 1)</f>
        <v>0</v>
      </c>
      <c r="I1925" s="26" t="b">
        <f t="shared" si="277"/>
        <v>0</v>
      </c>
      <c r="J1925" s="26">
        <v>0</v>
      </c>
      <c r="K1925" s="26" t="b">
        <f t="shared" si="272"/>
        <v>0</v>
      </c>
      <c r="L1925" s="26" t="b">
        <f t="shared" si="273"/>
        <v>0</v>
      </c>
      <c r="M1925" t="b">
        <f t="shared" si="278"/>
        <v>0</v>
      </c>
      <c r="N1925" t="b">
        <f t="shared" si="279"/>
        <v>0</v>
      </c>
    </row>
    <row r="1926" spans="1:14">
      <c r="A1926" s="29">
        <v>46486</v>
      </c>
      <c r="B1926" s="30">
        <f t="shared" si="271"/>
        <v>4</v>
      </c>
      <c r="C1926" s="30">
        <f t="shared" si="274"/>
        <v>9</v>
      </c>
      <c r="D1926" s="26">
        <f>MATCH(WEEKDAY(A1926),そのた定義!A:A,0)</f>
        <v>7</v>
      </c>
      <c r="E1926" s="26" t="str">
        <f t="shared" ca="1" si="275"/>
        <v>金</v>
      </c>
      <c r="F1926" s="26">
        <f t="shared" si="276"/>
        <v>0</v>
      </c>
      <c r="G1926" s="26">
        <f>IF(ISNA(MATCH(A1926,祝日定義!E:E,0)),0,1)</f>
        <v>0</v>
      </c>
      <c r="H1926" s="26">
        <f>IF(ISNA(MATCH(B1926&amp;"/"&amp;C1926,そのた定義!E:E,0)), 0, 1)</f>
        <v>0</v>
      </c>
      <c r="I1926" s="26" t="b">
        <f t="shared" si="277"/>
        <v>0</v>
      </c>
      <c r="J1926" s="26">
        <v>0</v>
      </c>
      <c r="K1926" s="26" t="b">
        <f t="shared" si="272"/>
        <v>0</v>
      </c>
      <c r="L1926" s="26" t="b">
        <f t="shared" si="273"/>
        <v>0</v>
      </c>
      <c r="M1926" t="b">
        <f t="shared" si="278"/>
        <v>0</v>
      </c>
      <c r="N1926" t="b">
        <f t="shared" si="279"/>
        <v>0</v>
      </c>
    </row>
    <row r="1927" spans="1:14">
      <c r="A1927" s="29">
        <v>46487</v>
      </c>
      <c r="B1927" s="30">
        <f t="shared" si="271"/>
        <v>4</v>
      </c>
      <c r="C1927" s="30">
        <f t="shared" si="274"/>
        <v>10</v>
      </c>
      <c r="D1927" s="26">
        <f>MATCH(WEEKDAY(A1927),そのた定義!A:A,0)</f>
        <v>8</v>
      </c>
      <c r="E1927" s="33" t="str">
        <f t="shared" ca="1" si="275"/>
        <v>土</v>
      </c>
      <c r="F1927" s="26">
        <f t="shared" si="276"/>
        <v>1</v>
      </c>
      <c r="G1927" s="26">
        <f>IF(ISNA(MATCH(A1927,祝日定義!E:E,0)),0,1)</f>
        <v>0</v>
      </c>
      <c r="H1927" s="26">
        <f>IF(ISNA(MATCH(B1927&amp;"/"&amp;C1927,そのた定義!E:E,0)), 0, 1)</f>
        <v>0</v>
      </c>
      <c r="I1927" s="23" t="b">
        <f t="shared" si="277"/>
        <v>1</v>
      </c>
      <c r="J1927" s="26">
        <v>0</v>
      </c>
      <c r="K1927" s="26" t="b">
        <f t="shared" si="272"/>
        <v>0</v>
      </c>
      <c r="L1927" s="26" t="b">
        <f t="shared" si="273"/>
        <v>0</v>
      </c>
      <c r="M1927" t="b">
        <f t="shared" si="278"/>
        <v>0</v>
      </c>
      <c r="N1927" t="b">
        <f t="shared" si="279"/>
        <v>0</v>
      </c>
    </row>
    <row r="1928" spans="1:14">
      <c r="A1928" s="29">
        <v>46488</v>
      </c>
      <c r="B1928" s="30">
        <f t="shared" si="271"/>
        <v>4</v>
      </c>
      <c r="C1928" s="30">
        <f t="shared" si="274"/>
        <v>11</v>
      </c>
      <c r="D1928" s="26">
        <f>MATCH(WEEKDAY(A1928),そのた定義!A:A,0)</f>
        <v>2</v>
      </c>
      <c r="E1928" s="32" t="str">
        <f t="shared" ca="1" si="275"/>
        <v>日</v>
      </c>
      <c r="F1928" s="26">
        <f t="shared" si="276"/>
        <v>1</v>
      </c>
      <c r="G1928" s="26">
        <f>IF(ISNA(MATCH(A1928,祝日定義!E:E,0)),0,1)</f>
        <v>0</v>
      </c>
      <c r="H1928" s="26">
        <f>IF(ISNA(MATCH(B1928&amp;"/"&amp;C1928,そのた定義!E:E,0)), 0, 1)</f>
        <v>0</v>
      </c>
      <c r="I1928" s="23" t="b">
        <f t="shared" si="277"/>
        <v>1</v>
      </c>
      <c r="J1928" s="26">
        <v>0</v>
      </c>
      <c r="K1928" s="26" t="b">
        <f t="shared" si="272"/>
        <v>0</v>
      </c>
      <c r="L1928" s="26" t="b">
        <f t="shared" si="273"/>
        <v>0</v>
      </c>
      <c r="M1928" t="b">
        <f t="shared" si="278"/>
        <v>0</v>
      </c>
      <c r="N1928" t="b">
        <f t="shared" si="279"/>
        <v>0</v>
      </c>
    </row>
    <row r="1929" spans="1:14">
      <c r="A1929" s="29">
        <v>46489</v>
      </c>
      <c r="B1929" s="30">
        <f t="shared" si="271"/>
        <v>4</v>
      </c>
      <c r="C1929" s="30">
        <f t="shared" si="274"/>
        <v>12</v>
      </c>
      <c r="D1929" s="26">
        <f>MATCH(WEEKDAY(A1929),そのた定義!A:A,0)</f>
        <v>3</v>
      </c>
      <c r="E1929" s="26" t="str">
        <f t="shared" ca="1" si="275"/>
        <v>月</v>
      </c>
      <c r="F1929" s="26">
        <f t="shared" si="276"/>
        <v>0</v>
      </c>
      <c r="G1929" s="26">
        <f>IF(ISNA(MATCH(A1929,祝日定義!E:E,0)),0,1)</f>
        <v>0</v>
      </c>
      <c r="H1929" s="26">
        <f>IF(ISNA(MATCH(B1929&amp;"/"&amp;C1929,そのた定義!E:E,0)), 0, 1)</f>
        <v>0</v>
      </c>
      <c r="I1929" s="26" t="b">
        <f t="shared" si="277"/>
        <v>0</v>
      </c>
      <c r="J1929" s="26">
        <v>2</v>
      </c>
      <c r="K1929" s="26" t="b">
        <f t="shared" si="272"/>
        <v>0</v>
      </c>
      <c r="L1929" s="26" t="b">
        <f t="shared" si="273"/>
        <v>0</v>
      </c>
      <c r="M1929" t="b">
        <f t="shared" si="278"/>
        <v>0</v>
      </c>
      <c r="N1929" t="b">
        <f t="shared" si="279"/>
        <v>0</v>
      </c>
    </row>
    <row r="1930" spans="1:14">
      <c r="A1930" s="29">
        <v>46490</v>
      </c>
      <c r="B1930" s="30">
        <f t="shared" si="271"/>
        <v>4</v>
      </c>
      <c r="C1930" s="30">
        <f t="shared" si="274"/>
        <v>13</v>
      </c>
      <c r="D1930" s="26">
        <f>MATCH(WEEKDAY(A1930),そのた定義!A:A,0)</f>
        <v>4</v>
      </c>
      <c r="E1930" s="26" t="str">
        <f t="shared" ca="1" si="275"/>
        <v>火</v>
      </c>
      <c r="F1930" s="26">
        <f t="shared" si="276"/>
        <v>0</v>
      </c>
      <c r="G1930" s="26">
        <f>IF(ISNA(MATCH(A1930,祝日定義!E:E,0)),0,1)</f>
        <v>0</v>
      </c>
      <c r="H1930" s="26">
        <f>IF(ISNA(MATCH(B1930&amp;"/"&amp;C1930,そのた定義!E:E,0)), 0, 1)</f>
        <v>0</v>
      </c>
      <c r="I1930" s="26" t="b">
        <f t="shared" si="277"/>
        <v>0</v>
      </c>
      <c r="J1930" s="26">
        <v>0</v>
      </c>
      <c r="K1930" s="26" t="b">
        <f t="shared" si="272"/>
        <v>0</v>
      </c>
      <c r="L1930" s="26" t="b">
        <f t="shared" si="273"/>
        <v>0</v>
      </c>
      <c r="M1930" t="b">
        <f t="shared" si="278"/>
        <v>0</v>
      </c>
      <c r="N1930" t="b">
        <f t="shared" si="279"/>
        <v>0</v>
      </c>
    </row>
    <row r="1931" spans="1:14">
      <c r="A1931" s="29">
        <v>46491</v>
      </c>
      <c r="B1931" s="30">
        <f t="shared" si="271"/>
        <v>4</v>
      </c>
      <c r="C1931" s="30">
        <f t="shared" si="274"/>
        <v>14</v>
      </c>
      <c r="D1931" s="26">
        <f>MATCH(WEEKDAY(A1931),そのた定義!A:A,0)</f>
        <v>5</v>
      </c>
      <c r="E1931" s="26" t="str">
        <f t="shared" ca="1" si="275"/>
        <v>水</v>
      </c>
      <c r="F1931" s="26">
        <f t="shared" si="276"/>
        <v>0</v>
      </c>
      <c r="G1931" s="26">
        <f>IF(ISNA(MATCH(A1931,祝日定義!E:E,0)),0,1)</f>
        <v>0</v>
      </c>
      <c r="H1931" s="26">
        <f>IF(ISNA(MATCH(B1931&amp;"/"&amp;C1931,そのた定義!E:E,0)), 0, 1)</f>
        <v>0</v>
      </c>
      <c r="I1931" s="26" t="b">
        <f t="shared" si="277"/>
        <v>0</v>
      </c>
      <c r="J1931" s="26">
        <v>0</v>
      </c>
      <c r="K1931" s="26" t="b">
        <f t="shared" si="272"/>
        <v>0</v>
      </c>
      <c r="L1931" s="26" t="b">
        <f t="shared" si="273"/>
        <v>0</v>
      </c>
      <c r="M1931" t="b">
        <f t="shared" si="278"/>
        <v>0</v>
      </c>
      <c r="N1931" t="b">
        <f t="shared" si="279"/>
        <v>0</v>
      </c>
    </row>
    <row r="1932" spans="1:14">
      <c r="A1932" s="29">
        <v>46492</v>
      </c>
      <c r="B1932" s="30">
        <f t="shared" si="271"/>
        <v>4</v>
      </c>
      <c r="C1932" s="30">
        <f t="shared" si="274"/>
        <v>15</v>
      </c>
      <c r="D1932" s="26">
        <f>MATCH(WEEKDAY(A1932),そのた定義!A:A,0)</f>
        <v>6</v>
      </c>
      <c r="E1932" s="26" t="str">
        <f t="shared" ca="1" si="275"/>
        <v>木</v>
      </c>
      <c r="F1932" s="26">
        <f t="shared" si="276"/>
        <v>0</v>
      </c>
      <c r="G1932" s="26">
        <f>IF(ISNA(MATCH(A1932,祝日定義!E:E,0)),0,1)</f>
        <v>0</v>
      </c>
      <c r="H1932" s="26">
        <f>IF(ISNA(MATCH(B1932&amp;"/"&amp;C1932,そのた定義!E:E,0)), 0, 1)</f>
        <v>0</v>
      </c>
      <c r="I1932" s="26" t="b">
        <f t="shared" si="277"/>
        <v>0</v>
      </c>
      <c r="J1932" s="26">
        <v>0</v>
      </c>
      <c r="K1932" s="26" t="b">
        <f t="shared" si="272"/>
        <v>0</v>
      </c>
      <c r="L1932" s="26" t="b">
        <f t="shared" si="273"/>
        <v>0</v>
      </c>
      <c r="M1932" t="b">
        <f t="shared" si="278"/>
        <v>0</v>
      </c>
      <c r="N1932" t="b">
        <f t="shared" si="279"/>
        <v>0</v>
      </c>
    </row>
    <row r="1933" spans="1:14">
      <c r="A1933" s="29">
        <v>46493</v>
      </c>
      <c r="B1933" s="30">
        <f t="shared" si="271"/>
        <v>4</v>
      </c>
      <c r="C1933" s="30">
        <f t="shared" si="274"/>
        <v>16</v>
      </c>
      <c r="D1933" s="26">
        <f>MATCH(WEEKDAY(A1933),そのた定義!A:A,0)</f>
        <v>7</v>
      </c>
      <c r="E1933" s="26" t="str">
        <f t="shared" ca="1" si="275"/>
        <v>金</v>
      </c>
      <c r="F1933" s="26">
        <f t="shared" si="276"/>
        <v>0</v>
      </c>
      <c r="G1933" s="26">
        <f>IF(ISNA(MATCH(A1933,祝日定義!E:E,0)),0,1)</f>
        <v>0</v>
      </c>
      <c r="H1933" s="26">
        <f>IF(ISNA(MATCH(B1933&amp;"/"&amp;C1933,そのた定義!E:E,0)), 0, 1)</f>
        <v>0</v>
      </c>
      <c r="I1933" s="26" t="b">
        <f t="shared" si="277"/>
        <v>0</v>
      </c>
      <c r="J1933" s="26">
        <v>0</v>
      </c>
      <c r="K1933" s="26" t="b">
        <f t="shared" si="272"/>
        <v>0</v>
      </c>
      <c r="L1933" s="26" t="b">
        <f t="shared" si="273"/>
        <v>0</v>
      </c>
      <c r="M1933" t="b">
        <f t="shared" si="278"/>
        <v>0</v>
      </c>
      <c r="N1933" t="b">
        <f t="shared" si="279"/>
        <v>0</v>
      </c>
    </row>
    <row r="1934" spans="1:14">
      <c r="A1934" s="29">
        <v>46494</v>
      </c>
      <c r="B1934" s="30">
        <f t="shared" si="271"/>
        <v>4</v>
      </c>
      <c r="C1934" s="30">
        <f t="shared" si="274"/>
        <v>17</v>
      </c>
      <c r="D1934" s="26">
        <f>MATCH(WEEKDAY(A1934),そのた定義!A:A,0)</f>
        <v>8</v>
      </c>
      <c r="E1934" s="33" t="str">
        <f t="shared" ca="1" si="275"/>
        <v>土</v>
      </c>
      <c r="F1934" s="26">
        <f t="shared" si="276"/>
        <v>1</v>
      </c>
      <c r="G1934" s="26">
        <f>IF(ISNA(MATCH(A1934,祝日定義!E:E,0)),0,1)</f>
        <v>0</v>
      </c>
      <c r="H1934" s="26">
        <f>IF(ISNA(MATCH(B1934&amp;"/"&amp;C1934,そのた定義!E:E,0)), 0, 1)</f>
        <v>0</v>
      </c>
      <c r="I1934" s="23" t="b">
        <f t="shared" si="277"/>
        <v>1</v>
      </c>
      <c r="J1934" s="26">
        <v>0</v>
      </c>
      <c r="K1934" s="26" t="b">
        <f t="shared" si="272"/>
        <v>0</v>
      </c>
      <c r="L1934" s="26" t="b">
        <f t="shared" si="273"/>
        <v>0</v>
      </c>
      <c r="M1934" t="b">
        <f t="shared" si="278"/>
        <v>0</v>
      </c>
      <c r="N1934" t="b">
        <f t="shared" si="279"/>
        <v>0</v>
      </c>
    </row>
    <row r="1935" spans="1:14">
      <c r="A1935" s="29">
        <v>46495</v>
      </c>
      <c r="B1935" s="30">
        <f t="shared" si="271"/>
        <v>4</v>
      </c>
      <c r="C1935" s="30">
        <f t="shared" si="274"/>
        <v>18</v>
      </c>
      <c r="D1935" s="26">
        <f>MATCH(WEEKDAY(A1935),そのた定義!A:A,0)</f>
        <v>2</v>
      </c>
      <c r="E1935" s="32" t="str">
        <f t="shared" ca="1" si="275"/>
        <v>日</v>
      </c>
      <c r="F1935" s="26">
        <f t="shared" si="276"/>
        <v>1</v>
      </c>
      <c r="G1935" s="26">
        <f>IF(ISNA(MATCH(A1935,祝日定義!E:E,0)),0,1)</f>
        <v>0</v>
      </c>
      <c r="H1935" s="26">
        <f>IF(ISNA(MATCH(B1935&amp;"/"&amp;C1935,そのた定義!E:E,0)), 0, 1)</f>
        <v>0</v>
      </c>
      <c r="I1935" s="23" t="b">
        <f t="shared" si="277"/>
        <v>1</v>
      </c>
      <c r="J1935" s="26">
        <v>0</v>
      </c>
      <c r="K1935" s="26" t="b">
        <f t="shared" si="272"/>
        <v>0</v>
      </c>
      <c r="L1935" s="26" t="b">
        <f t="shared" si="273"/>
        <v>0</v>
      </c>
      <c r="M1935" t="b">
        <f t="shared" si="278"/>
        <v>0</v>
      </c>
      <c r="N1935" t="b">
        <f t="shared" si="279"/>
        <v>0</v>
      </c>
    </row>
    <row r="1936" spans="1:14">
      <c r="A1936" s="29">
        <v>46496</v>
      </c>
      <c r="B1936" s="30">
        <f t="shared" si="271"/>
        <v>4</v>
      </c>
      <c r="C1936" s="30">
        <f t="shared" si="274"/>
        <v>19</v>
      </c>
      <c r="D1936" s="26">
        <f>MATCH(WEEKDAY(A1936),そのた定義!A:A,0)</f>
        <v>3</v>
      </c>
      <c r="E1936" s="26" t="str">
        <f t="shared" ca="1" si="275"/>
        <v>月</v>
      </c>
      <c r="F1936" s="26">
        <f t="shared" si="276"/>
        <v>0</v>
      </c>
      <c r="G1936" s="26">
        <f>IF(ISNA(MATCH(A1936,祝日定義!E:E,0)),0,1)</f>
        <v>0</v>
      </c>
      <c r="H1936" s="26">
        <f>IF(ISNA(MATCH(B1936&amp;"/"&amp;C1936,そのた定義!E:E,0)), 0, 1)</f>
        <v>0</v>
      </c>
      <c r="I1936" s="26" t="b">
        <f t="shared" si="277"/>
        <v>0</v>
      </c>
      <c r="J1936" s="26">
        <v>2</v>
      </c>
      <c r="K1936" s="26" t="b">
        <f t="shared" si="272"/>
        <v>0</v>
      </c>
      <c r="L1936" s="26" t="b">
        <f t="shared" si="273"/>
        <v>0</v>
      </c>
      <c r="M1936" t="b">
        <f t="shared" si="278"/>
        <v>0</v>
      </c>
      <c r="N1936" t="b">
        <f t="shared" si="279"/>
        <v>0</v>
      </c>
    </row>
    <row r="1937" spans="1:14">
      <c r="A1937" s="29">
        <v>46497</v>
      </c>
      <c r="B1937" s="30">
        <f t="shared" si="271"/>
        <v>4</v>
      </c>
      <c r="C1937" s="30">
        <f t="shared" si="274"/>
        <v>20</v>
      </c>
      <c r="D1937" s="26">
        <f>MATCH(WEEKDAY(A1937),そのた定義!A:A,0)</f>
        <v>4</v>
      </c>
      <c r="E1937" s="26" t="str">
        <f t="shared" ca="1" si="275"/>
        <v>火</v>
      </c>
      <c r="F1937" s="26">
        <f t="shared" si="276"/>
        <v>0</v>
      </c>
      <c r="G1937" s="26">
        <f>IF(ISNA(MATCH(A1937,祝日定義!E:E,0)),0,1)</f>
        <v>0</v>
      </c>
      <c r="H1937" s="26">
        <f>IF(ISNA(MATCH(B1937&amp;"/"&amp;C1937,そのた定義!E:E,0)), 0, 1)</f>
        <v>0</v>
      </c>
      <c r="I1937" s="26" t="b">
        <f t="shared" si="277"/>
        <v>0</v>
      </c>
      <c r="J1937" s="26">
        <v>0</v>
      </c>
      <c r="K1937" s="26" t="b">
        <f t="shared" si="272"/>
        <v>0</v>
      </c>
      <c r="L1937" s="26" t="b">
        <f t="shared" si="273"/>
        <v>0</v>
      </c>
      <c r="M1937" t="b">
        <f t="shared" si="278"/>
        <v>0</v>
      </c>
      <c r="N1937" t="b">
        <f t="shared" si="279"/>
        <v>0</v>
      </c>
    </row>
    <row r="1938" spans="1:14">
      <c r="A1938" s="29">
        <v>46498</v>
      </c>
      <c r="B1938" s="30">
        <f t="shared" si="271"/>
        <v>4</v>
      </c>
      <c r="C1938" s="30">
        <f t="shared" si="274"/>
        <v>21</v>
      </c>
      <c r="D1938" s="26">
        <f>MATCH(WEEKDAY(A1938),そのた定義!A:A,0)</f>
        <v>5</v>
      </c>
      <c r="E1938" s="26" t="str">
        <f t="shared" ca="1" si="275"/>
        <v>水</v>
      </c>
      <c r="F1938" s="26">
        <f t="shared" si="276"/>
        <v>0</v>
      </c>
      <c r="G1938" s="26">
        <f>IF(ISNA(MATCH(A1938,祝日定義!E:E,0)),0,1)</f>
        <v>0</v>
      </c>
      <c r="H1938" s="26">
        <f>IF(ISNA(MATCH(B1938&amp;"/"&amp;C1938,そのた定義!E:E,0)), 0, 1)</f>
        <v>0</v>
      </c>
      <c r="I1938" s="26" t="b">
        <f t="shared" si="277"/>
        <v>0</v>
      </c>
      <c r="J1938" s="26">
        <v>0</v>
      </c>
      <c r="K1938" s="26" t="b">
        <f t="shared" si="272"/>
        <v>0</v>
      </c>
      <c r="L1938" s="26" t="b">
        <f t="shared" si="273"/>
        <v>0</v>
      </c>
      <c r="M1938" t="b">
        <f t="shared" si="278"/>
        <v>0</v>
      </c>
      <c r="N1938" t="b">
        <f t="shared" si="279"/>
        <v>0</v>
      </c>
    </row>
    <row r="1939" spans="1:14">
      <c r="A1939" s="29">
        <v>46499</v>
      </c>
      <c r="B1939" s="30">
        <f t="shared" si="271"/>
        <v>4</v>
      </c>
      <c r="C1939" s="30">
        <f t="shared" si="274"/>
        <v>22</v>
      </c>
      <c r="D1939" s="26">
        <f>MATCH(WEEKDAY(A1939),そのた定義!A:A,0)</f>
        <v>6</v>
      </c>
      <c r="E1939" s="26" t="str">
        <f t="shared" ca="1" si="275"/>
        <v>木</v>
      </c>
      <c r="F1939" s="26">
        <f t="shared" si="276"/>
        <v>0</v>
      </c>
      <c r="G1939" s="26">
        <f>IF(ISNA(MATCH(A1939,祝日定義!E:E,0)),0,1)</f>
        <v>0</v>
      </c>
      <c r="H1939" s="26">
        <f>IF(ISNA(MATCH(B1939&amp;"/"&amp;C1939,そのた定義!E:E,0)), 0, 1)</f>
        <v>0</v>
      </c>
      <c r="I1939" s="26" t="b">
        <f t="shared" si="277"/>
        <v>0</v>
      </c>
      <c r="J1939" s="26">
        <v>0</v>
      </c>
      <c r="K1939" s="26" t="b">
        <f t="shared" si="272"/>
        <v>0</v>
      </c>
      <c r="L1939" s="26" t="b">
        <f t="shared" si="273"/>
        <v>0</v>
      </c>
      <c r="M1939" t="b">
        <f t="shared" si="278"/>
        <v>0</v>
      </c>
      <c r="N1939" t="b">
        <f t="shared" si="279"/>
        <v>0</v>
      </c>
    </row>
    <row r="1940" spans="1:14">
      <c r="A1940" s="29">
        <v>46500</v>
      </c>
      <c r="B1940" s="30">
        <f t="shared" si="271"/>
        <v>4</v>
      </c>
      <c r="C1940" s="30">
        <f t="shared" si="274"/>
        <v>23</v>
      </c>
      <c r="D1940" s="26">
        <f>MATCH(WEEKDAY(A1940),そのた定義!A:A,0)</f>
        <v>7</v>
      </c>
      <c r="E1940" s="26" t="str">
        <f t="shared" ca="1" si="275"/>
        <v>金</v>
      </c>
      <c r="F1940" s="26">
        <f t="shared" si="276"/>
        <v>0</v>
      </c>
      <c r="G1940" s="26">
        <f>IF(ISNA(MATCH(A1940,祝日定義!E:E,0)),0,1)</f>
        <v>0</v>
      </c>
      <c r="H1940" s="26">
        <f>IF(ISNA(MATCH(B1940&amp;"/"&amp;C1940,そのた定義!E:E,0)), 0, 1)</f>
        <v>0</v>
      </c>
      <c r="I1940" s="26" t="b">
        <f t="shared" si="277"/>
        <v>0</v>
      </c>
      <c r="J1940" s="26">
        <v>0</v>
      </c>
      <c r="K1940" s="26" t="b">
        <f t="shared" si="272"/>
        <v>0</v>
      </c>
      <c r="L1940" s="26" t="b">
        <f t="shared" si="273"/>
        <v>0</v>
      </c>
      <c r="M1940" t="b">
        <f t="shared" si="278"/>
        <v>0</v>
      </c>
      <c r="N1940" t="b">
        <f t="shared" si="279"/>
        <v>0</v>
      </c>
    </row>
    <row r="1941" spans="1:14">
      <c r="A1941" s="29">
        <v>46501</v>
      </c>
      <c r="B1941" s="30">
        <f t="shared" si="271"/>
        <v>4</v>
      </c>
      <c r="C1941" s="30">
        <f t="shared" si="274"/>
        <v>24</v>
      </c>
      <c r="D1941" s="26">
        <f>MATCH(WEEKDAY(A1941),そのた定義!A:A,0)</f>
        <v>8</v>
      </c>
      <c r="E1941" s="33" t="str">
        <f t="shared" ca="1" si="275"/>
        <v>土</v>
      </c>
      <c r="F1941" s="26">
        <f t="shared" si="276"/>
        <v>1</v>
      </c>
      <c r="G1941" s="26">
        <f>IF(ISNA(MATCH(A1941,祝日定義!E:E,0)),0,1)</f>
        <v>0</v>
      </c>
      <c r="H1941" s="26">
        <f>IF(ISNA(MATCH(B1941&amp;"/"&amp;C1941,そのた定義!E:E,0)), 0, 1)</f>
        <v>0</v>
      </c>
      <c r="I1941" s="23" t="b">
        <f t="shared" si="277"/>
        <v>1</v>
      </c>
      <c r="J1941" s="26">
        <v>0</v>
      </c>
      <c r="K1941" s="26" t="b">
        <f t="shared" si="272"/>
        <v>0</v>
      </c>
      <c r="L1941" s="26" t="b">
        <f t="shared" si="273"/>
        <v>0</v>
      </c>
      <c r="M1941" t="b">
        <f t="shared" si="278"/>
        <v>0</v>
      </c>
      <c r="N1941" t="b">
        <f t="shared" si="279"/>
        <v>0</v>
      </c>
    </row>
    <row r="1942" spans="1:14">
      <c r="A1942" s="29">
        <v>46502</v>
      </c>
      <c r="B1942" s="30">
        <f t="shared" si="271"/>
        <v>4</v>
      </c>
      <c r="C1942" s="30">
        <f t="shared" si="274"/>
        <v>25</v>
      </c>
      <c r="D1942" s="26">
        <f>MATCH(WEEKDAY(A1942),そのた定義!A:A,0)</f>
        <v>2</v>
      </c>
      <c r="E1942" s="32" t="str">
        <f t="shared" ca="1" si="275"/>
        <v>日</v>
      </c>
      <c r="F1942" s="26">
        <f t="shared" si="276"/>
        <v>1</v>
      </c>
      <c r="G1942" s="26">
        <f>IF(ISNA(MATCH(A1942,祝日定義!E:E,0)),0,1)</f>
        <v>0</v>
      </c>
      <c r="H1942" s="26">
        <f>IF(ISNA(MATCH(B1942&amp;"/"&amp;C1942,そのた定義!E:E,0)), 0, 1)</f>
        <v>0</v>
      </c>
      <c r="I1942" s="23" t="b">
        <f t="shared" si="277"/>
        <v>1</v>
      </c>
      <c r="J1942" s="26">
        <v>0</v>
      </c>
      <c r="K1942" s="26" t="b">
        <f t="shared" si="272"/>
        <v>0</v>
      </c>
      <c r="L1942" s="23" t="b">
        <f t="shared" si="273"/>
        <v>1</v>
      </c>
      <c r="M1942" t="b">
        <f t="shared" si="278"/>
        <v>0</v>
      </c>
      <c r="N1942" t="b">
        <f t="shared" si="279"/>
        <v>0</v>
      </c>
    </row>
    <row r="1943" spans="1:14">
      <c r="A1943" s="29">
        <v>46503</v>
      </c>
      <c r="B1943" s="30">
        <f t="shared" si="271"/>
        <v>4</v>
      </c>
      <c r="C1943" s="30">
        <f t="shared" si="274"/>
        <v>26</v>
      </c>
      <c r="D1943" s="26">
        <f>MATCH(WEEKDAY(A1943),そのた定義!A:A,0)</f>
        <v>3</v>
      </c>
      <c r="E1943" s="26" t="str">
        <f t="shared" ca="1" si="275"/>
        <v>月</v>
      </c>
      <c r="F1943" s="26">
        <f t="shared" si="276"/>
        <v>0</v>
      </c>
      <c r="G1943" s="26">
        <f>IF(ISNA(MATCH(A1943,祝日定義!E:E,0)),0,1)</f>
        <v>0</v>
      </c>
      <c r="H1943" s="26">
        <f>IF(ISNA(MATCH(B1943&amp;"/"&amp;C1943,そのた定義!E:E,0)), 0, 1)</f>
        <v>0</v>
      </c>
      <c r="I1943" s="26" t="b">
        <f t="shared" si="277"/>
        <v>0</v>
      </c>
      <c r="J1943" s="26">
        <v>2</v>
      </c>
      <c r="K1943" s="23" t="b">
        <f t="shared" si="272"/>
        <v>1</v>
      </c>
      <c r="L1943" s="26" t="b">
        <f t="shared" si="273"/>
        <v>0</v>
      </c>
      <c r="M1943" t="b">
        <f t="shared" si="278"/>
        <v>0</v>
      </c>
      <c r="N1943" t="b">
        <f t="shared" si="279"/>
        <v>0</v>
      </c>
    </row>
    <row r="1944" spans="1:14">
      <c r="A1944" s="29">
        <v>46504</v>
      </c>
      <c r="B1944" s="30">
        <f t="shared" si="271"/>
        <v>4</v>
      </c>
      <c r="C1944" s="30">
        <f t="shared" si="274"/>
        <v>27</v>
      </c>
      <c r="D1944" s="26">
        <f>MATCH(WEEKDAY(A1944),そのた定義!A:A,0)</f>
        <v>4</v>
      </c>
      <c r="E1944" s="26" t="str">
        <f t="shared" ca="1" si="275"/>
        <v>火</v>
      </c>
      <c r="F1944" s="26">
        <f t="shared" si="276"/>
        <v>0</v>
      </c>
      <c r="G1944" s="26">
        <f>IF(ISNA(MATCH(A1944,祝日定義!E:E,0)),0,1)</f>
        <v>0</v>
      </c>
      <c r="H1944" s="26">
        <f>IF(ISNA(MATCH(B1944&amp;"/"&amp;C1944,そのた定義!E:E,0)), 0, 1)</f>
        <v>0</v>
      </c>
      <c r="I1944" s="26" t="b">
        <f t="shared" si="277"/>
        <v>0</v>
      </c>
      <c r="J1944" s="26">
        <v>0</v>
      </c>
      <c r="K1944" s="26" t="b">
        <f t="shared" si="272"/>
        <v>0</v>
      </c>
      <c r="L1944" s="26" t="b">
        <f t="shared" si="273"/>
        <v>0</v>
      </c>
      <c r="M1944" t="b">
        <f t="shared" si="278"/>
        <v>0</v>
      </c>
      <c r="N1944" t="b">
        <f t="shared" si="279"/>
        <v>0</v>
      </c>
    </row>
    <row r="1945" spans="1:14">
      <c r="A1945" s="29">
        <v>46505</v>
      </c>
      <c r="B1945" s="30">
        <f t="shared" si="271"/>
        <v>4</v>
      </c>
      <c r="C1945" s="30">
        <f t="shared" si="274"/>
        <v>28</v>
      </c>
      <c r="D1945" s="26">
        <f>MATCH(WEEKDAY(A1945),そのた定義!A:A,0)</f>
        <v>5</v>
      </c>
      <c r="E1945" s="26" t="str">
        <f t="shared" ca="1" si="275"/>
        <v>水</v>
      </c>
      <c r="F1945" s="26">
        <f t="shared" si="276"/>
        <v>0</v>
      </c>
      <c r="G1945" s="26">
        <f>IF(ISNA(MATCH(A1945,祝日定義!E:E,0)),0,1)</f>
        <v>0</v>
      </c>
      <c r="H1945" s="26">
        <f>IF(ISNA(MATCH(B1945&amp;"/"&amp;C1945,そのた定義!E:E,0)), 0, 1)</f>
        <v>0</v>
      </c>
      <c r="I1945" s="26" t="b">
        <f t="shared" si="277"/>
        <v>0</v>
      </c>
      <c r="J1945" s="26">
        <v>0</v>
      </c>
      <c r="K1945" s="26" t="b">
        <f t="shared" si="272"/>
        <v>0</v>
      </c>
      <c r="L1945" s="26" t="b">
        <f t="shared" si="273"/>
        <v>0</v>
      </c>
      <c r="M1945" t="b">
        <f t="shared" si="278"/>
        <v>0</v>
      </c>
      <c r="N1945" t="b">
        <f t="shared" si="279"/>
        <v>0</v>
      </c>
    </row>
    <row r="1946" spans="1:14">
      <c r="A1946" s="29">
        <v>46506</v>
      </c>
      <c r="B1946" s="30">
        <f t="shared" si="271"/>
        <v>4</v>
      </c>
      <c r="C1946" s="30">
        <f t="shared" si="274"/>
        <v>29</v>
      </c>
      <c r="D1946" s="26">
        <f>MATCH(WEEKDAY(A1946),そのた定義!A:A,0)</f>
        <v>6</v>
      </c>
      <c r="E1946" s="31" t="str">
        <f t="shared" ca="1" si="275"/>
        <v>木</v>
      </c>
      <c r="F1946" s="26">
        <f t="shared" si="276"/>
        <v>0</v>
      </c>
      <c r="G1946" s="26">
        <f>IF(ISNA(MATCH(A1946,祝日定義!E:E,0)),0,1)</f>
        <v>1</v>
      </c>
      <c r="H1946" s="26">
        <f>IF(ISNA(MATCH(B1946&amp;"/"&amp;C1946,そのた定義!E:E,0)), 0, 1)</f>
        <v>0</v>
      </c>
      <c r="I1946" s="23" t="b">
        <f t="shared" si="277"/>
        <v>1</v>
      </c>
      <c r="J1946" s="26">
        <v>0</v>
      </c>
      <c r="K1946" s="26" t="b">
        <f t="shared" si="272"/>
        <v>0</v>
      </c>
      <c r="L1946" s="26" t="b">
        <f t="shared" si="273"/>
        <v>0</v>
      </c>
      <c r="M1946" t="b">
        <f t="shared" si="278"/>
        <v>0</v>
      </c>
      <c r="N1946" t="b">
        <f t="shared" si="279"/>
        <v>0</v>
      </c>
    </row>
    <row r="1947" spans="1:14">
      <c r="A1947" s="29">
        <v>46507</v>
      </c>
      <c r="B1947" s="30">
        <f t="shared" si="271"/>
        <v>4</v>
      </c>
      <c r="C1947" s="30">
        <f t="shared" si="274"/>
        <v>30</v>
      </c>
      <c r="D1947" s="26">
        <f>MATCH(WEEKDAY(A1947),そのた定義!A:A,0)</f>
        <v>7</v>
      </c>
      <c r="E1947" s="26" t="str">
        <f t="shared" ca="1" si="275"/>
        <v>金</v>
      </c>
      <c r="F1947" s="26">
        <f t="shared" si="276"/>
        <v>0</v>
      </c>
      <c r="G1947" s="26">
        <f>IF(ISNA(MATCH(A1947,祝日定義!E:E,0)),0,1)</f>
        <v>0</v>
      </c>
      <c r="H1947" s="26">
        <f>IF(ISNA(MATCH(B1947&amp;"/"&amp;C1947,そのた定義!E:E,0)), 0, 1)</f>
        <v>0</v>
      </c>
      <c r="I1947" s="26" t="b">
        <f t="shared" si="277"/>
        <v>0</v>
      </c>
      <c r="J1947" s="26">
        <v>1</v>
      </c>
      <c r="K1947" s="26" t="b">
        <f t="shared" si="272"/>
        <v>0</v>
      </c>
      <c r="L1947" s="26" t="b">
        <f t="shared" si="273"/>
        <v>0</v>
      </c>
      <c r="M1947" t="b">
        <f t="shared" si="278"/>
        <v>0</v>
      </c>
      <c r="N1947" t="b">
        <f t="shared" si="279"/>
        <v>1</v>
      </c>
    </row>
    <row r="1948" spans="1:14">
      <c r="A1948" s="29">
        <v>46508</v>
      </c>
      <c r="B1948" s="30">
        <f t="shared" si="271"/>
        <v>5</v>
      </c>
      <c r="C1948" s="30">
        <f t="shared" si="274"/>
        <v>1</v>
      </c>
      <c r="D1948" s="26">
        <f>MATCH(WEEKDAY(A1948),そのた定義!A:A,0)</f>
        <v>8</v>
      </c>
      <c r="E1948" s="33" t="str">
        <f t="shared" ca="1" si="275"/>
        <v>土</v>
      </c>
      <c r="F1948" s="26">
        <f t="shared" si="276"/>
        <v>1</v>
      </c>
      <c r="G1948" s="26">
        <f>IF(ISNA(MATCH(A1948,祝日定義!E:E,0)),0,1)</f>
        <v>0</v>
      </c>
      <c r="H1948" s="26">
        <f>IF(ISNA(MATCH(B1948&amp;"/"&amp;C1948,そのた定義!E:E,0)), 0, 1)</f>
        <v>0</v>
      </c>
      <c r="I1948" s="23" t="b">
        <f t="shared" si="277"/>
        <v>1</v>
      </c>
      <c r="J1948" s="26">
        <v>0</v>
      </c>
      <c r="K1948" s="26" t="b">
        <f t="shared" si="272"/>
        <v>0</v>
      </c>
      <c r="L1948" s="26" t="b">
        <f t="shared" si="273"/>
        <v>0</v>
      </c>
      <c r="M1948" t="b">
        <f t="shared" si="278"/>
        <v>0</v>
      </c>
      <c r="N1948" t="b">
        <f t="shared" si="279"/>
        <v>0</v>
      </c>
    </row>
    <row r="1949" spans="1:14">
      <c r="A1949" s="29">
        <v>46509</v>
      </c>
      <c r="B1949" s="30">
        <f t="shared" si="271"/>
        <v>5</v>
      </c>
      <c r="C1949" s="30">
        <f t="shared" si="274"/>
        <v>2</v>
      </c>
      <c r="D1949" s="26">
        <f>MATCH(WEEKDAY(A1949),そのた定義!A:A,0)</f>
        <v>2</v>
      </c>
      <c r="E1949" s="32" t="str">
        <f t="shared" ca="1" si="275"/>
        <v>日</v>
      </c>
      <c r="F1949" s="26">
        <f t="shared" si="276"/>
        <v>1</v>
      </c>
      <c r="G1949" s="26">
        <f>IF(ISNA(MATCH(A1949,祝日定義!E:E,0)),0,1)</f>
        <v>0</v>
      </c>
      <c r="H1949" s="26">
        <f>IF(ISNA(MATCH(B1949&amp;"/"&amp;C1949,そのた定義!E:E,0)), 0, 1)</f>
        <v>0</v>
      </c>
      <c r="I1949" s="23" t="b">
        <f t="shared" si="277"/>
        <v>1</v>
      </c>
      <c r="J1949" s="26">
        <v>0</v>
      </c>
      <c r="K1949" s="26" t="b">
        <f t="shared" si="272"/>
        <v>0</v>
      </c>
      <c r="L1949" s="26" t="b">
        <f t="shared" si="273"/>
        <v>0</v>
      </c>
      <c r="M1949" t="b">
        <f t="shared" si="278"/>
        <v>0</v>
      </c>
      <c r="N1949" t="b">
        <f t="shared" si="279"/>
        <v>0</v>
      </c>
    </row>
    <row r="1950" spans="1:14">
      <c r="A1950" s="29">
        <v>46510</v>
      </c>
      <c r="B1950" s="30">
        <f t="shared" si="271"/>
        <v>5</v>
      </c>
      <c r="C1950" s="30">
        <f t="shared" si="274"/>
        <v>3</v>
      </c>
      <c r="D1950" s="26">
        <f>MATCH(WEEKDAY(A1950),そのた定義!A:A,0)</f>
        <v>3</v>
      </c>
      <c r="E1950" s="31" t="str">
        <f t="shared" ca="1" si="275"/>
        <v>月</v>
      </c>
      <c r="F1950" s="26">
        <f t="shared" si="276"/>
        <v>0</v>
      </c>
      <c r="G1950" s="26">
        <f>IF(ISNA(MATCH(A1950,祝日定義!E:E,0)),0,1)</f>
        <v>1</v>
      </c>
      <c r="H1950" s="26">
        <f>IF(ISNA(MATCH(B1950&amp;"/"&amp;C1950,そのた定義!E:E,0)), 0, 1)</f>
        <v>0</v>
      </c>
      <c r="I1950" s="23" t="b">
        <f t="shared" si="277"/>
        <v>1</v>
      </c>
      <c r="J1950" s="26">
        <v>0</v>
      </c>
      <c r="K1950" s="26" t="b">
        <f t="shared" si="272"/>
        <v>0</v>
      </c>
      <c r="L1950" s="26" t="b">
        <f t="shared" si="273"/>
        <v>0</v>
      </c>
      <c r="M1950" t="b">
        <f t="shared" si="278"/>
        <v>0</v>
      </c>
      <c r="N1950" t="b">
        <f t="shared" si="279"/>
        <v>0</v>
      </c>
    </row>
    <row r="1951" spans="1:14">
      <c r="A1951" s="29">
        <v>46511</v>
      </c>
      <c r="B1951" s="30">
        <f t="shared" si="271"/>
        <v>5</v>
      </c>
      <c r="C1951" s="30">
        <f t="shared" si="274"/>
        <v>4</v>
      </c>
      <c r="D1951" s="26">
        <f>MATCH(WEEKDAY(A1951),そのた定義!A:A,0)</f>
        <v>4</v>
      </c>
      <c r="E1951" s="31" t="str">
        <f t="shared" ca="1" si="275"/>
        <v>火</v>
      </c>
      <c r="F1951" s="26">
        <f t="shared" si="276"/>
        <v>0</v>
      </c>
      <c r="G1951" s="26">
        <f>IF(ISNA(MATCH(A1951,祝日定義!E:E,0)),0,1)</f>
        <v>1</v>
      </c>
      <c r="H1951" s="26">
        <f>IF(ISNA(MATCH(B1951&amp;"/"&amp;C1951,そのた定義!E:E,0)), 0, 1)</f>
        <v>0</v>
      </c>
      <c r="I1951" s="23" t="b">
        <f t="shared" si="277"/>
        <v>1</v>
      </c>
      <c r="J1951" s="26">
        <v>0</v>
      </c>
      <c r="K1951" s="26" t="b">
        <f t="shared" si="272"/>
        <v>0</v>
      </c>
      <c r="L1951" s="26" t="b">
        <f t="shared" si="273"/>
        <v>0</v>
      </c>
      <c r="M1951" t="b">
        <f t="shared" si="278"/>
        <v>0</v>
      </c>
      <c r="N1951" t="b">
        <f t="shared" si="279"/>
        <v>0</v>
      </c>
    </row>
    <row r="1952" spans="1:14">
      <c r="A1952" s="29">
        <v>46512</v>
      </c>
      <c r="B1952" s="30">
        <f t="shared" si="271"/>
        <v>5</v>
      </c>
      <c r="C1952" s="30">
        <f t="shared" si="274"/>
        <v>5</v>
      </c>
      <c r="D1952" s="26">
        <f>MATCH(WEEKDAY(A1952),そのた定義!A:A,0)</f>
        <v>5</v>
      </c>
      <c r="E1952" s="31" t="str">
        <f t="shared" ca="1" si="275"/>
        <v>水</v>
      </c>
      <c r="F1952" s="26">
        <f t="shared" si="276"/>
        <v>0</v>
      </c>
      <c r="G1952" s="26">
        <f>IF(ISNA(MATCH(A1952,祝日定義!E:E,0)),0,1)</f>
        <v>1</v>
      </c>
      <c r="H1952" s="26">
        <f>IF(ISNA(MATCH(B1952&amp;"/"&amp;C1952,そのた定義!E:E,0)), 0, 1)</f>
        <v>0</v>
      </c>
      <c r="I1952" s="23" t="b">
        <f t="shared" si="277"/>
        <v>1</v>
      </c>
      <c r="J1952" s="26">
        <v>0</v>
      </c>
      <c r="K1952" s="26" t="b">
        <f t="shared" si="272"/>
        <v>0</v>
      </c>
      <c r="L1952" s="26" t="b">
        <f t="shared" si="273"/>
        <v>0</v>
      </c>
      <c r="M1952" t="b">
        <f t="shared" si="278"/>
        <v>0</v>
      </c>
      <c r="N1952" t="b">
        <f t="shared" si="279"/>
        <v>0</v>
      </c>
    </row>
    <row r="1953" spans="1:14">
      <c r="A1953" s="29">
        <v>46513</v>
      </c>
      <c r="B1953" s="30">
        <f t="shared" si="271"/>
        <v>5</v>
      </c>
      <c r="C1953" s="30">
        <f t="shared" si="274"/>
        <v>6</v>
      </c>
      <c r="D1953" s="26">
        <f>MATCH(WEEKDAY(A1953),そのた定義!A:A,0)</f>
        <v>6</v>
      </c>
      <c r="E1953" s="26" t="str">
        <f t="shared" ca="1" si="275"/>
        <v>木</v>
      </c>
      <c r="F1953" s="26">
        <f t="shared" si="276"/>
        <v>0</v>
      </c>
      <c r="G1953" s="26">
        <f>IF(ISNA(MATCH(A1953,祝日定義!E:E,0)),0,1)</f>
        <v>0</v>
      </c>
      <c r="H1953" s="26">
        <f>IF(ISNA(MATCH(B1953&amp;"/"&amp;C1953,そのた定義!E:E,0)), 0, 1)</f>
        <v>0</v>
      </c>
      <c r="I1953" s="26" t="b">
        <f t="shared" si="277"/>
        <v>0</v>
      </c>
      <c r="J1953" s="26">
        <v>5</v>
      </c>
      <c r="K1953" s="26" t="b">
        <f t="shared" si="272"/>
        <v>0</v>
      </c>
      <c r="L1953" s="26" t="b">
        <f t="shared" si="273"/>
        <v>0</v>
      </c>
      <c r="M1953" t="b">
        <f t="shared" si="278"/>
        <v>0</v>
      </c>
      <c r="N1953" t="b">
        <f t="shared" si="279"/>
        <v>0</v>
      </c>
    </row>
    <row r="1954" spans="1:14">
      <c r="A1954" s="29">
        <v>46514</v>
      </c>
      <c r="B1954" s="30">
        <f t="shared" si="271"/>
        <v>5</v>
      </c>
      <c r="C1954" s="30">
        <f t="shared" si="274"/>
        <v>7</v>
      </c>
      <c r="D1954" s="26">
        <f>MATCH(WEEKDAY(A1954),そのた定義!A:A,0)</f>
        <v>7</v>
      </c>
      <c r="E1954" s="26" t="str">
        <f t="shared" ca="1" si="275"/>
        <v>金</v>
      </c>
      <c r="F1954" s="26">
        <f t="shared" si="276"/>
        <v>0</v>
      </c>
      <c r="G1954" s="26">
        <f>IF(ISNA(MATCH(A1954,祝日定義!E:E,0)),0,1)</f>
        <v>0</v>
      </c>
      <c r="H1954" s="26">
        <f>IF(ISNA(MATCH(B1954&amp;"/"&amp;C1954,そのた定義!E:E,0)), 0, 1)</f>
        <v>0</v>
      </c>
      <c r="I1954" s="26" t="b">
        <f t="shared" si="277"/>
        <v>0</v>
      </c>
      <c r="J1954" s="26">
        <v>0</v>
      </c>
      <c r="K1954" s="26" t="b">
        <f t="shared" si="272"/>
        <v>0</v>
      </c>
      <c r="L1954" s="26" t="b">
        <f t="shared" si="273"/>
        <v>0</v>
      </c>
      <c r="M1954" t="b">
        <f t="shared" si="278"/>
        <v>0</v>
      </c>
      <c r="N1954" t="b">
        <f t="shared" si="279"/>
        <v>0</v>
      </c>
    </row>
    <row r="1955" spans="1:14">
      <c r="A1955" s="29">
        <v>46515</v>
      </c>
      <c r="B1955" s="30">
        <f t="shared" si="271"/>
        <v>5</v>
      </c>
      <c r="C1955" s="30">
        <f t="shared" si="274"/>
        <v>8</v>
      </c>
      <c r="D1955" s="26">
        <f>MATCH(WEEKDAY(A1955),そのた定義!A:A,0)</f>
        <v>8</v>
      </c>
      <c r="E1955" s="33" t="str">
        <f t="shared" ca="1" si="275"/>
        <v>土</v>
      </c>
      <c r="F1955" s="26">
        <f t="shared" si="276"/>
        <v>1</v>
      </c>
      <c r="G1955" s="26">
        <f>IF(ISNA(MATCH(A1955,祝日定義!E:E,0)),0,1)</f>
        <v>0</v>
      </c>
      <c r="H1955" s="26">
        <f>IF(ISNA(MATCH(B1955&amp;"/"&amp;C1955,そのた定義!E:E,0)), 0, 1)</f>
        <v>0</v>
      </c>
      <c r="I1955" s="23" t="b">
        <f t="shared" si="277"/>
        <v>1</v>
      </c>
      <c r="J1955" s="26">
        <v>0</v>
      </c>
      <c r="K1955" s="26" t="b">
        <f t="shared" si="272"/>
        <v>0</v>
      </c>
      <c r="L1955" s="26" t="b">
        <f t="shared" si="273"/>
        <v>0</v>
      </c>
      <c r="M1955" t="b">
        <f t="shared" si="278"/>
        <v>0</v>
      </c>
      <c r="N1955" t="b">
        <f t="shared" si="279"/>
        <v>0</v>
      </c>
    </row>
    <row r="1956" spans="1:14">
      <c r="A1956" s="29">
        <v>46516</v>
      </c>
      <c r="B1956" s="30">
        <f t="shared" si="271"/>
        <v>5</v>
      </c>
      <c r="C1956" s="30">
        <f t="shared" si="274"/>
        <v>9</v>
      </c>
      <c r="D1956" s="26">
        <f>MATCH(WEEKDAY(A1956),そのた定義!A:A,0)</f>
        <v>2</v>
      </c>
      <c r="E1956" s="32" t="str">
        <f t="shared" ca="1" si="275"/>
        <v>日</v>
      </c>
      <c r="F1956" s="26">
        <f t="shared" si="276"/>
        <v>1</v>
      </c>
      <c r="G1956" s="26">
        <f>IF(ISNA(MATCH(A1956,祝日定義!E:E,0)),0,1)</f>
        <v>0</v>
      </c>
      <c r="H1956" s="26">
        <f>IF(ISNA(MATCH(B1956&amp;"/"&amp;C1956,そのた定義!E:E,0)), 0, 1)</f>
        <v>0</v>
      </c>
      <c r="I1956" s="23" t="b">
        <f t="shared" si="277"/>
        <v>1</v>
      </c>
      <c r="J1956" s="26">
        <v>0</v>
      </c>
      <c r="K1956" s="26" t="b">
        <f t="shared" si="272"/>
        <v>0</v>
      </c>
      <c r="L1956" s="26" t="b">
        <f t="shared" si="273"/>
        <v>0</v>
      </c>
      <c r="M1956" t="b">
        <f t="shared" si="278"/>
        <v>0</v>
      </c>
      <c r="N1956" t="b">
        <f t="shared" si="279"/>
        <v>0</v>
      </c>
    </row>
    <row r="1957" spans="1:14">
      <c r="A1957" s="29">
        <v>46517</v>
      </c>
      <c r="B1957" s="30">
        <f t="shared" si="271"/>
        <v>5</v>
      </c>
      <c r="C1957" s="30">
        <f t="shared" si="274"/>
        <v>10</v>
      </c>
      <c r="D1957" s="26">
        <f>MATCH(WEEKDAY(A1957),そのた定義!A:A,0)</f>
        <v>3</v>
      </c>
      <c r="E1957" s="26" t="str">
        <f t="shared" ca="1" si="275"/>
        <v>月</v>
      </c>
      <c r="F1957" s="26">
        <f t="shared" si="276"/>
        <v>0</v>
      </c>
      <c r="G1957" s="26">
        <f>IF(ISNA(MATCH(A1957,祝日定義!E:E,0)),0,1)</f>
        <v>0</v>
      </c>
      <c r="H1957" s="26">
        <f>IF(ISNA(MATCH(B1957&amp;"/"&amp;C1957,そのた定義!E:E,0)), 0, 1)</f>
        <v>0</v>
      </c>
      <c r="I1957" s="26" t="b">
        <f t="shared" si="277"/>
        <v>0</v>
      </c>
      <c r="J1957" s="26">
        <v>2</v>
      </c>
      <c r="K1957" s="26" t="b">
        <f t="shared" si="272"/>
        <v>0</v>
      </c>
      <c r="L1957" s="26" t="b">
        <f t="shared" si="273"/>
        <v>0</v>
      </c>
      <c r="M1957" t="b">
        <f t="shared" si="278"/>
        <v>0</v>
      </c>
      <c r="N1957" t="b">
        <f t="shared" si="279"/>
        <v>0</v>
      </c>
    </row>
    <row r="1958" spans="1:14">
      <c r="A1958" s="29">
        <v>46518</v>
      </c>
      <c r="B1958" s="30">
        <f t="shared" si="271"/>
        <v>5</v>
      </c>
      <c r="C1958" s="30">
        <f t="shared" si="274"/>
        <v>11</v>
      </c>
      <c r="D1958" s="26">
        <f>MATCH(WEEKDAY(A1958),そのた定義!A:A,0)</f>
        <v>4</v>
      </c>
      <c r="E1958" s="26" t="str">
        <f t="shared" ca="1" si="275"/>
        <v>火</v>
      </c>
      <c r="F1958" s="26">
        <f t="shared" si="276"/>
        <v>0</v>
      </c>
      <c r="G1958" s="26">
        <f>IF(ISNA(MATCH(A1958,祝日定義!E:E,0)),0,1)</f>
        <v>0</v>
      </c>
      <c r="H1958" s="26">
        <f>IF(ISNA(MATCH(B1958&amp;"/"&amp;C1958,そのた定義!E:E,0)), 0, 1)</f>
        <v>0</v>
      </c>
      <c r="I1958" s="26" t="b">
        <f t="shared" si="277"/>
        <v>0</v>
      </c>
      <c r="J1958" s="26">
        <v>0</v>
      </c>
      <c r="K1958" s="26" t="b">
        <f t="shared" si="272"/>
        <v>0</v>
      </c>
      <c r="L1958" s="26" t="b">
        <f t="shared" si="273"/>
        <v>0</v>
      </c>
      <c r="M1958" t="b">
        <f t="shared" si="278"/>
        <v>0</v>
      </c>
      <c r="N1958" t="b">
        <f t="shared" si="279"/>
        <v>0</v>
      </c>
    </row>
    <row r="1959" spans="1:14">
      <c r="A1959" s="29">
        <v>46519</v>
      </c>
      <c r="B1959" s="30">
        <f t="shared" si="271"/>
        <v>5</v>
      </c>
      <c r="C1959" s="30">
        <f t="shared" si="274"/>
        <v>12</v>
      </c>
      <c r="D1959" s="26">
        <f>MATCH(WEEKDAY(A1959),そのた定義!A:A,0)</f>
        <v>5</v>
      </c>
      <c r="E1959" s="26" t="str">
        <f t="shared" ca="1" si="275"/>
        <v>水</v>
      </c>
      <c r="F1959" s="26">
        <f t="shared" si="276"/>
        <v>0</v>
      </c>
      <c r="G1959" s="26">
        <f>IF(ISNA(MATCH(A1959,祝日定義!E:E,0)),0,1)</f>
        <v>0</v>
      </c>
      <c r="H1959" s="26">
        <f>IF(ISNA(MATCH(B1959&amp;"/"&amp;C1959,そのた定義!E:E,0)), 0, 1)</f>
        <v>0</v>
      </c>
      <c r="I1959" s="26" t="b">
        <f t="shared" si="277"/>
        <v>0</v>
      </c>
      <c r="J1959" s="26">
        <v>0</v>
      </c>
      <c r="K1959" s="26" t="b">
        <f t="shared" si="272"/>
        <v>0</v>
      </c>
      <c r="L1959" s="26" t="b">
        <f t="shared" si="273"/>
        <v>0</v>
      </c>
      <c r="M1959" t="b">
        <f t="shared" si="278"/>
        <v>0</v>
      </c>
      <c r="N1959" t="b">
        <f t="shared" si="279"/>
        <v>0</v>
      </c>
    </row>
    <row r="1960" spans="1:14">
      <c r="A1960" s="29">
        <v>46520</v>
      </c>
      <c r="B1960" s="30">
        <f t="shared" si="271"/>
        <v>5</v>
      </c>
      <c r="C1960" s="30">
        <f t="shared" si="274"/>
        <v>13</v>
      </c>
      <c r="D1960" s="26">
        <f>MATCH(WEEKDAY(A1960),そのた定義!A:A,0)</f>
        <v>6</v>
      </c>
      <c r="E1960" s="26" t="str">
        <f t="shared" ca="1" si="275"/>
        <v>木</v>
      </c>
      <c r="F1960" s="26">
        <f t="shared" si="276"/>
        <v>0</v>
      </c>
      <c r="G1960" s="26">
        <f>IF(ISNA(MATCH(A1960,祝日定義!E:E,0)),0,1)</f>
        <v>0</v>
      </c>
      <c r="H1960" s="26">
        <f>IF(ISNA(MATCH(B1960&amp;"/"&amp;C1960,そのた定義!E:E,0)), 0, 1)</f>
        <v>0</v>
      </c>
      <c r="I1960" s="26" t="b">
        <f t="shared" si="277"/>
        <v>0</v>
      </c>
      <c r="J1960" s="26">
        <v>0</v>
      </c>
      <c r="K1960" s="26" t="b">
        <f t="shared" si="272"/>
        <v>0</v>
      </c>
      <c r="L1960" s="26" t="b">
        <f t="shared" si="273"/>
        <v>0</v>
      </c>
      <c r="M1960" t="b">
        <f t="shared" si="278"/>
        <v>0</v>
      </c>
      <c r="N1960" t="b">
        <f t="shared" si="279"/>
        <v>0</v>
      </c>
    </row>
    <row r="1961" spans="1:14">
      <c r="A1961" s="29">
        <v>46521</v>
      </c>
      <c r="B1961" s="30">
        <f t="shared" si="271"/>
        <v>5</v>
      </c>
      <c r="C1961" s="30">
        <f t="shared" si="274"/>
        <v>14</v>
      </c>
      <c r="D1961" s="26">
        <f>MATCH(WEEKDAY(A1961),そのた定義!A:A,0)</f>
        <v>7</v>
      </c>
      <c r="E1961" s="26" t="str">
        <f t="shared" ca="1" si="275"/>
        <v>金</v>
      </c>
      <c r="F1961" s="26">
        <f t="shared" si="276"/>
        <v>0</v>
      </c>
      <c r="G1961" s="26">
        <f>IF(ISNA(MATCH(A1961,祝日定義!E:E,0)),0,1)</f>
        <v>0</v>
      </c>
      <c r="H1961" s="26">
        <f>IF(ISNA(MATCH(B1961&amp;"/"&amp;C1961,そのた定義!E:E,0)), 0, 1)</f>
        <v>0</v>
      </c>
      <c r="I1961" s="26" t="b">
        <f t="shared" si="277"/>
        <v>0</v>
      </c>
      <c r="J1961" s="26">
        <v>0</v>
      </c>
      <c r="K1961" s="26" t="b">
        <f t="shared" si="272"/>
        <v>0</v>
      </c>
      <c r="L1961" s="26" t="b">
        <f t="shared" si="273"/>
        <v>0</v>
      </c>
      <c r="M1961" t="b">
        <f t="shared" si="278"/>
        <v>0</v>
      </c>
      <c r="N1961" t="b">
        <f t="shared" si="279"/>
        <v>0</v>
      </c>
    </row>
    <row r="1962" spans="1:14">
      <c r="A1962" s="29">
        <v>46522</v>
      </c>
      <c r="B1962" s="30">
        <f t="shared" si="271"/>
        <v>5</v>
      </c>
      <c r="C1962" s="30">
        <f t="shared" si="274"/>
        <v>15</v>
      </c>
      <c r="D1962" s="26">
        <f>MATCH(WEEKDAY(A1962),そのた定義!A:A,0)</f>
        <v>8</v>
      </c>
      <c r="E1962" s="33" t="str">
        <f t="shared" ca="1" si="275"/>
        <v>土</v>
      </c>
      <c r="F1962" s="26">
        <f t="shared" si="276"/>
        <v>1</v>
      </c>
      <c r="G1962" s="26">
        <f>IF(ISNA(MATCH(A1962,祝日定義!E:E,0)),0,1)</f>
        <v>0</v>
      </c>
      <c r="H1962" s="26">
        <f>IF(ISNA(MATCH(B1962&amp;"/"&amp;C1962,そのた定義!E:E,0)), 0, 1)</f>
        <v>0</v>
      </c>
      <c r="I1962" s="23" t="b">
        <f t="shared" si="277"/>
        <v>1</v>
      </c>
      <c r="J1962" s="26">
        <v>0</v>
      </c>
      <c r="K1962" s="26" t="b">
        <f t="shared" si="272"/>
        <v>0</v>
      </c>
      <c r="L1962" s="26" t="b">
        <f t="shared" si="273"/>
        <v>0</v>
      </c>
      <c r="M1962" t="b">
        <f t="shared" si="278"/>
        <v>0</v>
      </c>
      <c r="N1962" t="b">
        <f t="shared" si="279"/>
        <v>0</v>
      </c>
    </row>
    <row r="1963" spans="1:14">
      <c r="A1963" s="29">
        <v>46523</v>
      </c>
      <c r="B1963" s="30">
        <f t="shared" si="271"/>
        <v>5</v>
      </c>
      <c r="C1963" s="30">
        <f t="shared" si="274"/>
        <v>16</v>
      </c>
      <c r="D1963" s="26">
        <f>MATCH(WEEKDAY(A1963),そのた定義!A:A,0)</f>
        <v>2</v>
      </c>
      <c r="E1963" s="32" t="str">
        <f t="shared" ca="1" si="275"/>
        <v>日</v>
      </c>
      <c r="F1963" s="26">
        <f t="shared" si="276"/>
        <v>1</v>
      </c>
      <c r="G1963" s="26">
        <f>IF(ISNA(MATCH(A1963,祝日定義!E:E,0)),0,1)</f>
        <v>0</v>
      </c>
      <c r="H1963" s="26">
        <f>IF(ISNA(MATCH(B1963&amp;"/"&amp;C1963,そのた定義!E:E,0)), 0, 1)</f>
        <v>0</v>
      </c>
      <c r="I1963" s="23" t="b">
        <f t="shared" si="277"/>
        <v>1</v>
      </c>
      <c r="J1963" s="26">
        <v>0</v>
      </c>
      <c r="K1963" s="26" t="b">
        <f t="shared" si="272"/>
        <v>0</v>
      </c>
      <c r="L1963" s="26" t="b">
        <f t="shared" si="273"/>
        <v>0</v>
      </c>
      <c r="M1963" t="b">
        <f t="shared" si="278"/>
        <v>0</v>
      </c>
      <c r="N1963" t="b">
        <f t="shared" si="279"/>
        <v>0</v>
      </c>
    </row>
    <row r="1964" spans="1:14">
      <c r="A1964" s="29">
        <v>46524</v>
      </c>
      <c r="B1964" s="30">
        <f t="shared" si="271"/>
        <v>5</v>
      </c>
      <c r="C1964" s="30">
        <f t="shared" si="274"/>
        <v>17</v>
      </c>
      <c r="D1964" s="26">
        <f>MATCH(WEEKDAY(A1964),そのた定義!A:A,0)</f>
        <v>3</v>
      </c>
      <c r="E1964" s="26" t="str">
        <f t="shared" ca="1" si="275"/>
        <v>月</v>
      </c>
      <c r="F1964" s="26">
        <f t="shared" si="276"/>
        <v>0</v>
      </c>
      <c r="G1964" s="26">
        <f>IF(ISNA(MATCH(A1964,祝日定義!E:E,0)),0,1)</f>
        <v>0</v>
      </c>
      <c r="H1964" s="26">
        <f>IF(ISNA(MATCH(B1964&amp;"/"&amp;C1964,そのた定義!E:E,0)), 0, 1)</f>
        <v>0</v>
      </c>
      <c r="I1964" s="26" t="b">
        <f t="shared" si="277"/>
        <v>0</v>
      </c>
      <c r="J1964" s="26">
        <v>2</v>
      </c>
      <c r="K1964" s="26" t="b">
        <f t="shared" si="272"/>
        <v>0</v>
      </c>
      <c r="L1964" s="26" t="b">
        <f t="shared" si="273"/>
        <v>0</v>
      </c>
      <c r="M1964" t="b">
        <f t="shared" si="278"/>
        <v>0</v>
      </c>
      <c r="N1964" t="b">
        <f t="shared" si="279"/>
        <v>0</v>
      </c>
    </row>
    <row r="1965" spans="1:14">
      <c r="A1965" s="29">
        <v>46525</v>
      </c>
      <c r="B1965" s="30">
        <f t="shared" si="271"/>
        <v>5</v>
      </c>
      <c r="C1965" s="30">
        <f t="shared" si="274"/>
        <v>18</v>
      </c>
      <c r="D1965" s="26">
        <f>MATCH(WEEKDAY(A1965),そのた定義!A:A,0)</f>
        <v>4</v>
      </c>
      <c r="E1965" s="26" t="str">
        <f t="shared" ca="1" si="275"/>
        <v>火</v>
      </c>
      <c r="F1965" s="26">
        <f t="shared" si="276"/>
        <v>0</v>
      </c>
      <c r="G1965" s="26">
        <f>IF(ISNA(MATCH(A1965,祝日定義!E:E,0)),0,1)</f>
        <v>0</v>
      </c>
      <c r="H1965" s="26">
        <f>IF(ISNA(MATCH(B1965&amp;"/"&amp;C1965,そのた定義!E:E,0)), 0, 1)</f>
        <v>0</v>
      </c>
      <c r="I1965" s="26" t="b">
        <f t="shared" si="277"/>
        <v>0</v>
      </c>
      <c r="J1965" s="26">
        <v>0</v>
      </c>
      <c r="K1965" s="26" t="b">
        <f t="shared" si="272"/>
        <v>0</v>
      </c>
      <c r="L1965" s="26" t="b">
        <f t="shared" si="273"/>
        <v>0</v>
      </c>
      <c r="M1965" t="b">
        <f t="shared" si="278"/>
        <v>0</v>
      </c>
      <c r="N1965" t="b">
        <f t="shared" si="279"/>
        <v>0</v>
      </c>
    </row>
    <row r="1966" spans="1:14">
      <c r="A1966" s="29">
        <v>46526</v>
      </c>
      <c r="B1966" s="30">
        <f t="shared" si="271"/>
        <v>5</v>
      </c>
      <c r="C1966" s="30">
        <f t="shared" si="274"/>
        <v>19</v>
      </c>
      <c r="D1966" s="26">
        <f>MATCH(WEEKDAY(A1966),そのた定義!A:A,0)</f>
        <v>5</v>
      </c>
      <c r="E1966" s="26" t="str">
        <f t="shared" ca="1" si="275"/>
        <v>水</v>
      </c>
      <c r="F1966" s="26">
        <f t="shared" si="276"/>
        <v>0</v>
      </c>
      <c r="G1966" s="26">
        <f>IF(ISNA(MATCH(A1966,祝日定義!E:E,0)),0,1)</f>
        <v>0</v>
      </c>
      <c r="H1966" s="26">
        <f>IF(ISNA(MATCH(B1966&amp;"/"&amp;C1966,そのた定義!E:E,0)), 0, 1)</f>
        <v>0</v>
      </c>
      <c r="I1966" s="26" t="b">
        <f t="shared" si="277"/>
        <v>0</v>
      </c>
      <c r="J1966" s="26">
        <v>0</v>
      </c>
      <c r="K1966" s="26" t="b">
        <f t="shared" si="272"/>
        <v>0</v>
      </c>
      <c r="L1966" s="26" t="b">
        <f t="shared" si="273"/>
        <v>0</v>
      </c>
      <c r="M1966" t="b">
        <f t="shared" si="278"/>
        <v>0</v>
      </c>
      <c r="N1966" t="b">
        <f t="shared" si="279"/>
        <v>0</v>
      </c>
    </row>
    <row r="1967" spans="1:14">
      <c r="A1967" s="29">
        <v>46527</v>
      </c>
      <c r="B1967" s="30">
        <f t="shared" si="271"/>
        <v>5</v>
      </c>
      <c r="C1967" s="30">
        <f t="shared" si="274"/>
        <v>20</v>
      </c>
      <c r="D1967" s="26">
        <f>MATCH(WEEKDAY(A1967),そのた定義!A:A,0)</f>
        <v>6</v>
      </c>
      <c r="E1967" s="26" t="str">
        <f t="shared" ca="1" si="275"/>
        <v>木</v>
      </c>
      <c r="F1967" s="26">
        <f t="shared" si="276"/>
        <v>0</v>
      </c>
      <c r="G1967" s="26">
        <f>IF(ISNA(MATCH(A1967,祝日定義!E:E,0)),0,1)</f>
        <v>0</v>
      </c>
      <c r="H1967" s="26">
        <f>IF(ISNA(MATCH(B1967&amp;"/"&amp;C1967,そのた定義!E:E,0)), 0, 1)</f>
        <v>0</v>
      </c>
      <c r="I1967" s="26" t="b">
        <f t="shared" si="277"/>
        <v>0</v>
      </c>
      <c r="J1967" s="26">
        <v>0</v>
      </c>
      <c r="K1967" s="26" t="b">
        <f t="shared" si="272"/>
        <v>0</v>
      </c>
      <c r="L1967" s="26" t="b">
        <f t="shared" si="273"/>
        <v>0</v>
      </c>
      <c r="M1967" t="b">
        <f t="shared" si="278"/>
        <v>0</v>
      </c>
      <c r="N1967" t="b">
        <f t="shared" si="279"/>
        <v>0</v>
      </c>
    </row>
    <row r="1968" spans="1:14">
      <c r="A1968" s="29">
        <v>46528</v>
      </c>
      <c r="B1968" s="30">
        <f t="shared" si="271"/>
        <v>5</v>
      </c>
      <c r="C1968" s="30">
        <f t="shared" si="274"/>
        <v>21</v>
      </c>
      <c r="D1968" s="26">
        <f>MATCH(WEEKDAY(A1968),そのた定義!A:A,0)</f>
        <v>7</v>
      </c>
      <c r="E1968" s="26" t="str">
        <f t="shared" ca="1" si="275"/>
        <v>金</v>
      </c>
      <c r="F1968" s="26">
        <f t="shared" si="276"/>
        <v>0</v>
      </c>
      <c r="G1968" s="26">
        <f>IF(ISNA(MATCH(A1968,祝日定義!E:E,0)),0,1)</f>
        <v>0</v>
      </c>
      <c r="H1968" s="26">
        <f>IF(ISNA(MATCH(B1968&amp;"/"&amp;C1968,そのた定義!E:E,0)), 0, 1)</f>
        <v>0</v>
      </c>
      <c r="I1968" s="26" t="b">
        <f t="shared" si="277"/>
        <v>0</v>
      </c>
      <c r="J1968" s="26">
        <v>0</v>
      </c>
      <c r="K1968" s="26" t="b">
        <f t="shared" si="272"/>
        <v>0</v>
      </c>
      <c r="L1968" s="26" t="b">
        <f t="shared" si="273"/>
        <v>0</v>
      </c>
      <c r="M1968" t="b">
        <f t="shared" si="278"/>
        <v>0</v>
      </c>
      <c r="N1968" t="b">
        <f t="shared" si="279"/>
        <v>0</v>
      </c>
    </row>
    <row r="1969" spans="1:14">
      <c r="A1969" s="29">
        <v>46529</v>
      </c>
      <c r="B1969" s="30">
        <f t="shared" si="271"/>
        <v>5</v>
      </c>
      <c r="C1969" s="30">
        <f t="shared" si="274"/>
        <v>22</v>
      </c>
      <c r="D1969" s="26">
        <f>MATCH(WEEKDAY(A1969),そのた定義!A:A,0)</f>
        <v>8</v>
      </c>
      <c r="E1969" s="33" t="str">
        <f t="shared" ca="1" si="275"/>
        <v>土</v>
      </c>
      <c r="F1969" s="26">
        <f t="shared" si="276"/>
        <v>1</v>
      </c>
      <c r="G1969" s="26">
        <f>IF(ISNA(MATCH(A1969,祝日定義!E:E,0)),0,1)</f>
        <v>0</v>
      </c>
      <c r="H1969" s="26">
        <f>IF(ISNA(MATCH(B1969&amp;"/"&amp;C1969,そのた定義!E:E,0)), 0, 1)</f>
        <v>0</v>
      </c>
      <c r="I1969" s="23" t="b">
        <f t="shared" si="277"/>
        <v>1</v>
      </c>
      <c r="J1969" s="26">
        <v>0</v>
      </c>
      <c r="K1969" s="26" t="b">
        <f t="shared" si="272"/>
        <v>0</v>
      </c>
      <c r="L1969" s="26" t="b">
        <f t="shared" si="273"/>
        <v>0</v>
      </c>
      <c r="M1969" t="b">
        <f t="shared" si="278"/>
        <v>0</v>
      </c>
      <c r="N1969" t="b">
        <f t="shared" si="279"/>
        <v>0</v>
      </c>
    </row>
    <row r="1970" spans="1:14">
      <c r="A1970" s="29">
        <v>46530</v>
      </c>
      <c r="B1970" s="30">
        <f t="shared" si="271"/>
        <v>5</v>
      </c>
      <c r="C1970" s="30">
        <f t="shared" si="274"/>
        <v>23</v>
      </c>
      <c r="D1970" s="26">
        <f>MATCH(WEEKDAY(A1970),そのた定義!A:A,0)</f>
        <v>2</v>
      </c>
      <c r="E1970" s="32" t="str">
        <f t="shared" ca="1" si="275"/>
        <v>日</v>
      </c>
      <c r="F1970" s="26">
        <f t="shared" si="276"/>
        <v>1</v>
      </c>
      <c r="G1970" s="26">
        <f>IF(ISNA(MATCH(A1970,祝日定義!E:E,0)),0,1)</f>
        <v>0</v>
      </c>
      <c r="H1970" s="26">
        <f>IF(ISNA(MATCH(B1970&amp;"/"&amp;C1970,そのた定義!E:E,0)), 0, 1)</f>
        <v>0</v>
      </c>
      <c r="I1970" s="23" t="b">
        <f t="shared" si="277"/>
        <v>1</v>
      </c>
      <c r="J1970" s="26">
        <v>0</v>
      </c>
      <c r="K1970" s="26" t="b">
        <f t="shared" si="272"/>
        <v>0</v>
      </c>
      <c r="L1970" s="26" t="b">
        <f t="shared" si="273"/>
        <v>0</v>
      </c>
      <c r="M1970" t="b">
        <f t="shared" si="278"/>
        <v>0</v>
      </c>
      <c r="N1970" t="b">
        <f t="shared" si="279"/>
        <v>0</v>
      </c>
    </row>
    <row r="1971" spans="1:14">
      <c r="A1971" s="29">
        <v>46531</v>
      </c>
      <c r="B1971" s="30">
        <f t="shared" si="271"/>
        <v>5</v>
      </c>
      <c r="C1971" s="30">
        <f t="shared" si="274"/>
        <v>24</v>
      </c>
      <c r="D1971" s="26">
        <f>MATCH(WEEKDAY(A1971),そのた定義!A:A,0)</f>
        <v>3</v>
      </c>
      <c r="E1971" s="26" t="str">
        <f t="shared" ca="1" si="275"/>
        <v>月</v>
      </c>
      <c r="F1971" s="26">
        <f t="shared" si="276"/>
        <v>0</v>
      </c>
      <c r="G1971" s="26">
        <f>IF(ISNA(MATCH(A1971,祝日定義!E:E,0)),0,1)</f>
        <v>0</v>
      </c>
      <c r="H1971" s="26">
        <f>IF(ISNA(MATCH(B1971&amp;"/"&amp;C1971,そのた定義!E:E,0)), 0, 1)</f>
        <v>0</v>
      </c>
      <c r="I1971" s="26" t="b">
        <f t="shared" si="277"/>
        <v>0</v>
      </c>
      <c r="J1971" s="26">
        <v>2</v>
      </c>
      <c r="K1971" s="26" t="b">
        <f t="shared" si="272"/>
        <v>0</v>
      </c>
      <c r="L1971" s="26" t="b">
        <f t="shared" si="273"/>
        <v>0</v>
      </c>
      <c r="M1971" t="b">
        <f t="shared" si="278"/>
        <v>0</v>
      </c>
      <c r="N1971" t="b">
        <f t="shared" si="279"/>
        <v>0</v>
      </c>
    </row>
    <row r="1972" spans="1:14">
      <c r="A1972" s="29">
        <v>46532</v>
      </c>
      <c r="B1972" s="30">
        <f t="shared" si="271"/>
        <v>5</v>
      </c>
      <c r="C1972" s="30">
        <f t="shared" si="274"/>
        <v>25</v>
      </c>
      <c r="D1972" s="26">
        <f>MATCH(WEEKDAY(A1972),そのた定義!A:A,0)</f>
        <v>4</v>
      </c>
      <c r="E1972" s="26" t="str">
        <f t="shared" ca="1" si="275"/>
        <v>火</v>
      </c>
      <c r="F1972" s="26">
        <f t="shared" si="276"/>
        <v>0</v>
      </c>
      <c r="G1972" s="26">
        <f>IF(ISNA(MATCH(A1972,祝日定義!E:E,0)),0,1)</f>
        <v>0</v>
      </c>
      <c r="H1972" s="26">
        <f>IF(ISNA(MATCH(B1972&amp;"/"&amp;C1972,そのた定義!E:E,0)), 0, 1)</f>
        <v>0</v>
      </c>
      <c r="I1972" s="26" t="b">
        <f t="shared" si="277"/>
        <v>0</v>
      </c>
      <c r="J1972" s="26">
        <v>0</v>
      </c>
      <c r="K1972" s="26" t="b">
        <f t="shared" si="272"/>
        <v>0</v>
      </c>
      <c r="L1972" s="23" t="b">
        <f t="shared" si="273"/>
        <v>1</v>
      </c>
      <c r="M1972" t="b">
        <f t="shared" si="278"/>
        <v>0</v>
      </c>
      <c r="N1972" t="b">
        <f t="shared" si="279"/>
        <v>0</v>
      </c>
    </row>
    <row r="1973" spans="1:14">
      <c r="A1973" s="29">
        <v>46533</v>
      </c>
      <c r="B1973" s="30">
        <f t="shared" si="271"/>
        <v>5</v>
      </c>
      <c r="C1973" s="30">
        <f t="shared" si="274"/>
        <v>26</v>
      </c>
      <c r="D1973" s="26">
        <f>MATCH(WEEKDAY(A1973),そのた定義!A:A,0)</f>
        <v>5</v>
      </c>
      <c r="E1973" s="26" t="str">
        <f t="shared" ca="1" si="275"/>
        <v>水</v>
      </c>
      <c r="F1973" s="26">
        <f t="shared" si="276"/>
        <v>0</v>
      </c>
      <c r="G1973" s="26">
        <f>IF(ISNA(MATCH(A1973,祝日定義!E:E,0)),0,1)</f>
        <v>0</v>
      </c>
      <c r="H1973" s="26">
        <f>IF(ISNA(MATCH(B1973&amp;"/"&amp;C1973,そのた定義!E:E,0)), 0, 1)</f>
        <v>0</v>
      </c>
      <c r="I1973" s="26" t="b">
        <f t="shared" si="277"/>
        <v>0</v>
      </c>
      <c r="J1973" s="26">
        <v>0</v>
      </c>
      <c r="K1973" s="26" t="b">
        <f t="shared" si="272"/>
        <v>0</v>
      </c>
      <c r="L1973" s="26" t="b">
        <f t="shared" si="273"/>
        <v>0</v>
      </c>
      <c r="M1973" t="b">
        <f t="shared" si="278"/>
        <v>0</v>
      </c>
      <c r="N1973" t="b">
        <f t="shared" si="279"/>
        <v>0</v>
      </c>
    </row>
    <row r="1974" spans="1:14">
      <c r="A1974" s="29">
        <v>46534</v>
      </c>
      <c r="B1974" s="30">
        <f t="shared" si="271"/>
        <v>5</v>
      </c>
      <c r="C1974" s="30">
        <f t="shared" si="274"/>
        <v>27</v>
      </c>
      <c r="D1974" s="26">
        <f>MATCH(WEEKDAY(A1974),そのた定義!A:A,0)</f>
        <v>6</v>
      </c>
      <c r="E1974" s="26" t="str">
        <f t="shared" ca="1" si="275"/>
        <v>木</v>
      </c>
      <c r="F1974" s="26">
        <f t="shared" si="276"/>
        <v>0</v>
      </c>
      <c r="G1974" s="26">
        <f>IF(ISNA(MATCH(A1974,祝日定義!E:E,0)),0,1)</f>
        <v>0</v>
      </c>
      <c r="H1974" s="26">
        <f>IF(ISNA(MATCH(B1974&amp;"/"&amp;C1974,そのた定義!E:E,0)), 0, 1)</f>
        <v>0</v>
      </c>
      <c r="I1974" s="26" t="b">
        <f t="shared" si="277"/>
        <v>0</v>
      </c>
      <c r="J1974" s="26">
        <v>0</v>
      </c>
      <c r="K1974" s="26" t="b">
        <f t="shared" si="272"/>
        <v>0</v>
      </c>
      <c r="L1974" s="26" t="b">
        <f t="shared" si="273"/>
        <v>0</v>
      </c>
      <c r="M1974" t="b">
        <f t="shared" si="278"/>
        <v>0</v>
      </c>
      <c r="N1974" t="b">
        <f t="shared" si="279"/>
        <v>0</v>
      </c>
    </row>
    <row r="1975" spans="1:14">
      <c r="A1975" s="29">
        <v>46535</v>
      </c>
      <c r="B1975" s="30">
        <f t="shared" si="271"/>
        <v>5</v>
      </c>
      <c r="C1975" s="30">
        <f t="shared" si="274"/>
        <v>28</v>
      </c>
      <c r="D1975" s="26">
        <f>MATCH(WEEKDAY(A1975),そのた定義!A:A,0)</f>
        <v>7</v>
      </c>
      <c r="E1975" s="26" t="str">
        <f t="shared" ca="1" si="275"/>
        <v>金</v>
      </c>
      <c r="F1975" s="26">
        <f t="shared" si="276"/>
        <v>0</v>
      </c>
      <c r="G1975" s="26">
        <f>IF(ISNA(MATCH(A1975,祝日定義!E:E,0)),0,1)</f>
        <v>0</v>
      </c>
      <c r="H1975" s="26">
        <f>IF(ISNA(MATCH(B1975&amp;"/"&amp;C1975,そのた定義!E:E,0)), 0, 1)</f>
        <v>0</v>
      </c>
      <c r="I1975" s="26" t="b">
        <f t="shared" si="277"/>
        <v>0</v>
      </c>
      <c r="J1975" s="26">
        <v>0</v>
      </c>
      <c r="K1975" s="26" t="b">
        <f t="shared" si="272"/>
        <v>0</v>
      </c>
      <c r="L1975" s="26" t="b">
        <f t="shared" si="273"/>
        <v>0</v>
      </c>
      <c r="M1975" t="b">
        <f t="shared" si="278"/>
        <v>0</v>
      </c>
      <c r="N1975" t="b">
        <f t="shared" si="279"/>
        <v>0</v>
      </c>
    </row>
    <row r="1976" spans="1:14">
      <c r="A1976" s="29">
        <v>46536</v>
      </c>
      <c r="B1976" s="30">
        <f t="shared" si="271"/>
        <v>5</v>
      </c>
      <c r="C1976" s="30">
        <f t="shared" si="274"/>
        <v>29</v>
      </c>
      <c r="D1976" s="26">
        <f>MATCH(WEEKDAY(A1976),そのた定義!A:A,0)</f>
        <v>8</v>
      </c>
      <c r="E1976" s="33" t="str">
        <f t="shared" ca="1" si="275"/>
        <v>土</v>
      </c>
      <c r="F1976" s="26">
        <f t="shared" si="276"/>
        <v>1</v>
      </c>
      <c r="G1976" s="26">
        <f>IF(ISNA(MATCH(A1976,祝日定義!E:E,0)),0,1)</f>
        <v>0</v>
      </c>
      <c r="H1976" s="26">
        <f>IF(ISNA(MATCH(B1976&amp;"/"&amp;C1976,そのた定義!E:E,0)), 0, 1)</f>
        <v>0</v>
      </c>
      <c r="I1976" s="23" t="b">
        <f t="shared" si="277"/>
        <v>1</v>
      </c>
      <c r="J1976" s="26">
        <v>0</v>
      </c>
      <c r="K1976" s="26" t="b">
        <f t="shared" si="272"/>
        <v>0</v>
      </c>
      <c r="L1976" s="26" t="b">
        <f t="shared" si="273"/>
        <v>0</v>
      </c>
      <c r="M1976" t="b">
        <f t="shared" si="278"/>
        <v>0</v>
      </c>
      <c r="N1976" t="b">
        <f t="shared" si="279"/>
        <v>0</v>
      </c>
    </row>
    <row r="1977" spans="1:14">
      <c r="A1977" s="29">
        <v>46537</v>
      </c>
      <c r="B1977" s="30">
        <f t="shared" si="271"/>
        <v>5</v>
      </c>
      <c r="C1977" s="30">
        <f t="shared" si="274"/>
        <v>30</v>
      </c>
      <c r="D1977" s="26">
        <f>MATCH(WEEKDAY(A1977),そのた定義!A:A,0)</f>
        <v>2</v>
      </c>
      <c r="E1977" s="32" t="str">
        <f t="shared" ca="1" si="275"/>
        <v>日</v>
      </c>
      <c r="F1977" s="26">
        <f t="shared" si="276"/>
        <v>1</v>
      </c>
      <c r="G1977" s="26">
        <f>IF(ISNA(MATCH(A1977,祝日定義!E:E,0)),0,1)</f>
        <v>0</v>
      </c>
      <c r="H1977" s="26">
        <f>IF(ISNA(MATCH(B1977&amp;"/"&amp;C1977,そのた定義!E:E,0)), 0, 1)</f>
        <v>0</v>
      </c>
      <c r="I1977" s="23" t="b">
        <f t="shared" si="277"/>
        <v>1</v>
      </c>
      <c r="J1977" s="26">
        <v>0</v>
      </c>
      <c r="K1977" s="26" t="b">
        <f t="shared" si="272"/>
        <v>0</v>
      </c>
      <c r="L1977" s="26" t="b">
        <f t="shared" si="273"/>
        <v>0</v>
      </c>
      <c r="M1977" t="b">
        <f t="shared" si="278"/>
        <v>0</v>
      </c>
      <c r="N1977" t="b">
        <f t="shared" si="279"/>
        <v>0</v>
      </c>
    </row>
    <row r="1978" spans="1:14">
      <c r="A1978" s="29">
        <v>46538</v>
      </c>
      <c r="B1978" s="30">
        <f t="shared" si="271"/>
        <v>5</v>
      </c>
      <c r="C1978" s="30">
        <f t="shared" si="274"/>
        <v>31</v>
      </c>
      <c r="D1978" s="26">
        <f>MATCH(WEEKDAY(A1978),そのた定義!A:A,0)</f>
        <v>3</v>
      </c>
      <c r="E1978" s="26" t="str">
        <f t="shared" ca="1" si="275"/>
        <v>月</v>
      </c>
      <c r="F1978" s="26">
        <f t="shared" si="276"/>
        <v>0</v>
      </c>
      <c r="G1978" s="26">
        <f>IF(ISNA(MATCH(A1978,祝日定義!E:E,0)),0,1)</f>
        <v>0</v>
      </c>
      <c r="H1978" s="26">
        <f>IF(ISNA(MATCH(B1978&amp;"/"&amp;C1978,そのた定義!E:E,0)), 0, 1)</f>
        <v>0</v>
      </c>
      <c r="I1978" s="26" t="b">
        <f t="shared" si="277"/>
        <v>0</v>
      </c>
      <c r="J1978" s="26">
        <v>2</v>
      </c>
      <c r="K1978" s="26" t="b">
        <f t="shared" si="272"/>
        <v>0</v>
      </c>
      <c r="L1978" s="26" t="b">
        <f t="shared" si="273"/>
        <v>0</v>
      </c>
      <c r="M1978" t="b">
        <f t="shared" si="278"/>
        <v>0</v>
      </c>
      <c r="N1978" t="b">
        <f t="shared" si="279"/>
        <v>1</v>
      </c>
    </row>
    <row r="1979" spans="1:14">
      <c r="A1979" s="29">
        <v>46539</v>
      </c>
      <c r="B1979" s="30">
        <f t="shared" si="271"/>
        <v>6</v>
      </c>
      <c r="C1979" s="30">
        <f t="shared" si="274"/>
        <v>1</v>
      </c>
      <c r="D1979" s="26">
        <f>MATCH(WEEKDAY(A1979),そのた定義!A:A,0)</f>
        <v>4</v>
      </c>
      <c r="E1979" s="26" t="str">
        <f t="shared" ca="1" si="275"/>
        <v>火</v>
      </c>
      <c r="F1979" s="26">
        <f t="shared" si="276"/>
        <v>0</v>
      </c>
      <c r="G1979" s="26">
        <f>IF(ISNA(MATCH(A1979,祝日定義!E:E,0)),0,1)</f>
        <v>0</v>
      </c>
      <c r="H1979" s="26">
        <f>IF(ISNA(MATCH(B1979&amp;"/"&amp;C1979,そのた定義!E:E,0)), 0, 1)</f>
        <v>0</v>
      </c>
      <c r="I1979" s="26" t="b">
        <f t="shared" si="277"/>
        <v>0</v>
      </c>
      <c r="J1979" s="26">
        <v>0</v>
      </c>
      <c r="K1979" s="26" t="b">
        <f t="shared" si="272"/>
        <v>0</v>
      </c>
      <c r="L1979" s="26" t="b">
        <f t="shared" si="273"/>
        <v>0</v>
      </c>
      <c r="M1979" t="b">
        <f t="shared" si="278"/>
        <v>0</v>
      </c>
      <c r="N1979" t="b">
        <f t="shared" si="279"/>
        <v>0</v>
      </c>
    </row>
    <row r="1980" spans="1:14">
      <c r="A1980" s="29">
        <v>46540</v>
      </c>
      <c r="B1980" s="30">
        <f t="shared" si="271"/>
        <v>6</v>
      </c>
      <c r="C1980" s="30">
        <f t="shared" si="274"/>
        <v>2</v>
      </c>
      <c r="D1980" s="26">
        <f>MATCH(WEEKDAY(A1980),そのた定義!A:A,0)</f>
        <v>5</v>
      </c>
      <c r="E1980" s="26" t="str">
        <f t="shared" ca="1" si="275"/>
        <v>水</v>
      </c>
      <c r="F1980" s="26">
        <f t="shared" si="276"/>
        <v>0</v>
      </c>
      <c r="G1980" s="26">
        <f>IF(ISNA(MATCH(A1980,祝日定義!E:E,0)),0,1)</f>
        <v>0</v>
      </c>
      <c r="H1980" s="26">
        <f>IF(ISNA(MATCH(B1980&amp;"/"&amp;C1980,そのた定義!E:E,0)), 0, 1)</f>
        <v>0</v>
      </c>
      <c r="I1980" s="26" t="b">
        <f t="shared" si="277"/>
        <v>0</v>
      </c>
      <c r="J1980" s="26">
        <v>0</v>
      </c>
      <c r="K1980" s="26" t="b">
        <f t="shared" si="272"/>
        <v>0</v>
      </c>
      <c r="L1980" s="26" t="b">
        <f t="shared" si="273"/>
        <v>0</v>
      </c>
      <c r="M1980" t="b">
        <f t="shared" si="278"/>
        <v>0</v>
      </c>
      <c r="N1980" t="b">
        <f t="shared" si="279"/>
        <v>0</v>
      </c>
    </row>
    <row r="1981" spans="1:14">
      <c r="A1981" s="29">
        <v>46541</v>
      </c>
      <c r="B1981" s="30">
        <f t="shared" si="271"/>
        <v>6</v>
      </c>
      <c r="C1981" s="30">
        <f t="shared" si="274"/>
        <v>3</v>
      </c>
      <c r="D1981" s="26">
        <f>MATCH(WEEKDAY(A1981),そのた定義!A:A,0)</f>
        <v>6</v>
      </c>
      <c r="E1981" s="26" t="str">
        <f t="shared" ca="1" si="275"/>
        <v>木</v>
      </c>
      <c r="F1981" s="26">
        <f t="shared" si="276"/>
        <v>0</v>
      </c>
      <c r="G1981" s="26">
        <f>IF(ISNA(MATCH(A1981,祝日定義!E:E,0)),0,1)</f>
        <v>0</v>
      </c>
      <c r="H1981" s="26">
        <f>IF(ISNA(MATCH(B1981&amp;"/"&amp;C1981,そのた定義!E:E,0)), 0, 1)</f>
        <v>0</v>
      </c>
      <c r="I1981" s="26" t="b">
        <f t="shared" si="277"/>
        <v>0</v>
      </c>
      <c r="J1981" s="26">
        <v>0</v>
      </c>
      <c r="K1981" s="26" t="b">
        <f t="shared" si="272"/>
        <v>0</v>
      </c>
      <c r="L1981" s="26" t="b">
        <f t="shared" si="273"/>
        <v>0</v>
      </c>
      <c r="M1981" t="b">
        <f t="shared" si="278"/>
        <v>0</v>
      </c>
      <c r="N1981" t="b">
        <f t="shared" si="279"/>
        <v>0</v>
      </c>
    </row>
    <row r="1982" spans="1:14">
      <c r="A1982" s="29">
        <v>46542</v>
      </c>
      <c r="B1982" s="30">
        <f t="shared" si="271"/>
        <v>6</v>
      </c>
      <c r="C1982" s="30">
        <f t="shared" si="274"/>
        <v>4</v>
      </c>
      <c r="D1982" s="26">
        <f>MATCH(WEEKDAY(A1982),そのた定義!A:A,0)</f>
        <v>7</v>
      </c>
      <c r="E1982" s="26" t="str">
        <f t="shared" ca="1" si="275"/>
        <v>金</v>
      </c>
      <c r="F1982" s="26">
        <f t="shared" si="276"/>
        <v>0</v>
      </c>
      <c r="G1982" s="26">
        <f>IF(ISNA(MATCH(A1982,祝日定義!E:E,0)),0,1)</f>
        <v>0</v>
      </c>
      <c r="H1982" s="26">
        <f>IF(ISNA(MATCH(B1982&amp;"/"&amp;C1982,そのた定義!E:E,0)), 0, 1)</f>
        <v>0</v>
      </c>
      <c r="I1982" s="26" t="b">
        <f t="shared" si="277"/>
        <v>0</v>
      </c>
      <c r="J1982" s="26">
        <v>0</v>
      </c>
      <c r="K1982" s="26" t="b">
        <f t="shared" si="272"/>
        <v>0</v>
      </c>
      <c r="L1982" s="26" t="b">
        <f t="shared" si="273"/>
        <v>0</v>
      </c>
      <c r="M1982" t="b">
        <f t="shared" si="278"/>
        <v>0</v>
      </c>
      <c r="N1982" t="b">
        <f t="shared" si="279"/>
        <v>0</v>
      </c>
    </row>
    <row r="1983" spans="1:14">
      <c r="A1983" s="29">
        <v>46543</v>
      </c>
      <c r="B1983" s="30">
        <f t="shared" si="271"/>
        <v>6</v>
      </c>
      <c r="C1983" s="30">
        <f t="shared" si="274"/>
        <v>5</v>
      </c>
      <c r="D1983" s="26">
        <f>MATCH(WEEKDAY(A1983),そのた定義!A:A,0)</f>
        <v>8</v>
      </c>
      <c r="E1983" s="33" t="str">
        <f t="shared" ca="1" si="275"/>
        <v>土</v>
      </c>
      <c r="F1983" s="26">
        <f t="shared" si="276"/>
        <v>1</v>
      </c>
      <c r="G1983" s="26">
        <f>IF(ISNA(MATCH(A1983,祝日定義!E:E,0)),0,1)</f>
        <v>0</v>
      </c>
      <c r="H1983" s="26">
        <f>IF(ISNA(MATCH(B1983&amp;"/"&amp;C1983,そのた定義!E:E,0)), 0, 1)</f>
        <v>0</v>
      </c>
      <c r="I1983" s="23" t="b">
        <f t="shared" si="277"/>
        <v>1</v>
      </c>
      <c r="J1983" s="26">
        <v>0</v>
      </c>
      <c r="K1983" s="26" t="b">
        <f t="shared" si="272"/>
        <v>0</v>
      </c>
      <c r="L1983" s="26" t="b">
        <f t="shared" si="273"/>
        <v>0</v>
      </c>
      <c r="M1983" t="b">
        <f t="shared" si="278"/>
        <v>0</v>
      </c>
      <c r="N1983" t="b">
        <f t="shared" si="279"/>
        <v>0</v>
      </c>
    </row>
    <row r="1984" spans="1:14">
      <c r="A1984" s="29">
        <v>46544</v>
      </c>
      <c r="B1984" s="30">
        <f t="shared" si="271"/>
        <v>6</v>
      </c>
      <c r="C1984" s="30">
        <f t="shared" si="274"/>
        <v>6</v>
      </c>
      <c r="D1984" s="26">
        <f>MATCH(WEEKDAY(A1984),そのた定義!A:A,0)</f>
        <v>2</v>
      </c>
      <c r="E1984" s="32" t="str">
        <f t="shared" ca="1" si="275"/>
        <v>日</v>
      </c>
      <c r="F1984" s="26">
        <f t="shared" si="276"/>
        <v>1</v>
      </c>
      <c r="G1984" s="26">
        <f>IF(ISNA(MATCH(A1984,祝日定義!E:E,0)),0,1)</f>
        <v>0</v>
      </c>
      <c r="H1984" s="26">
        <f>IF(ISNA(MATCH(B1984&amp;"/"&amp;C1984,そのた定義!E:E,0)), 0, 1)</f>
        <v>0</v>
      </c>
      <c r="I1984" s="23" t="b">
        <f t="shared" si="277"/>
        <v>1</v>
      </c>
      <c r="J1984" s="26">
        <v>0</v>
      </c>
      <c r="K1984" s="26" t="b">
        <f t="shared" si="272"/>
        <v>0</v>
      </c>
      <c r="L1984" s="26" t="b">
        <f t="shared" si="273"/>
        <v>0</v>
      </c>
      <c r="M1984" t="b">
        <f t="shared" si="278"/>
        <v>0</v>
      </c>
      <c r="N1984" t="b">
        <f t="shared" si="279"/>
        <v>0</v>
      </c>
    </row>
    <row r="1985" spans="1:14">
      <c r="A1985" s="29">
        <v>46545</v>
      </c>
      <c r="B1985" s="30">
        <f t="shared" si="271"/>
        <v>6</v>
      </c>
      <c r="C1985" s="30">
        <f t="shared" si="274"/>
        <v>7</v>
      </c>
      <c r="D1985" s="26">
        <f>MATCH(WEEKDAY(A1985),そのた定義!A:A,0)</f>
        <v>3</v>
      </c>
      <c r="E1985" s="26" t="str">
        <f t="shared" ca="1" si="275"/>
        <v>月</v>
      </c>
      <c r="F1985" s="26">
        <f t="shared" si="276"/>
        <v>0</v>
      </c>
      <c r="G1985" s="26">
        <f>IF(ISNA(MATCH(A1985,祝日定義!E:E,0)),0,1)</f>
        <v>0</v>
      </c>
      <c r="H1985" s="26">
        <f>IF(ISNA(MATCH(B1985&amp;"/"&amp;C1985,そのた定義!E:E,0)), 0, 1)</f>
        <v>0</v>
      </c>
      <c r="I1985" s="26" t="b">
        <f t="shared" si="277"/>
        <v>0</v>
      </c>
      <c r="J1985" s="26">
        <v>2</v>
      </c>
      <c r="K1985" s="26" t="b">
        <f t="shared" si="272"/>
        <v>0</v>
      </c>
      <c r="L1985" s="26" t="b">
        <f t="shared" si="273"/>
        <v>0</v>
      </c>
      <c r="M1985" t="b">
        <f t="shared" si="278"/>
        <v>0</v>
      </c>
      <c r="N1985" t="b">
        <f t="shared" si="279"/>
        <v>0</v>
      </c>
    </row>
    <row r="1986" spans="1:14">
      <c r="A1986" s="29">
        <v>46546</v>
      </c>
      <c r="B1986" s="30">
        <f t="shared" ref="B1986:B2049" si="280">MONTH(A1986)</f>
        <v>6</v>
      </c>
      <c r="C1986" s="30">
        <f t="shared" si="274"/>
        <v>8</v>
      </c>
      <c r="D1986" s="26">
        <f>MATCH(WEEKDAY(A1986),そのた定義!A:A,0)</f>
        <v>4</v>
      </c>
      <c r="E1986" s="26" t="str">
        <f t="shared" ca="1" si="275"/>
        <v>火</v>
      </c>
      <c r="F1986" s="26">
        <f t="shared" si="276"/>
        <v>0</v>
      </c>
      <c r="G1986" s="26">
        <f>IF(ISNA(MATCH(A1986,祝日定義!E:E,0)),0,1)</f>
        <v>0</v>
      </c>
      <c r="H1986" s="26">
        <f>IF(ISNA(MATCH(B1986&amp;"/"&amp;C1986,そのた定義!E:E,0)), 0, 1)</f>
        <v>0</v>
      </c>
      <c r="I1986" s="26" t="b">
        <f t="shared" si="277"/>
        <v>0</v>
      </c>
      <c r="J1986" s="26">
        <v>0</v>
      </c>
      <c r="K1986" s="26" t="b">
        <f t="shared" ref="K1986:K2049" si="281">AND(C1986&gt;25,DAY(A1986-J1986)&lt;=25)</f>
        <v>0</v>
      </c>
      <c r="L1986" s="26" t="b">
        <f t="shared" ref="L1986:L2049" si="282">C1986=25</f>
        <v>0</v>
      </c>
      <c r="M1986" t="b">
        <f t="shared" si="278"/>
        <v>0</v>
      </c>
      <c r="N1986" t="b">
        <f t="shared" si="279"/>
        <v>0</v>
      </c>
    </row>
    <row r="1987" spans="1:14">
      <c r="A1987" s="29">
        <v>46547</v>
      </c>
      <c r="B1987" s="30">
        <f t="shared" si="280"/>
        <v>6</v>
      </c>
      <c r="C1987" s="30">
        <f t="shared" ref="C1987:C2050" si="283">DAY(A1987)</f>
        <v>9</v>
      </c>
      <c r="D1987" s="26">
        <f>MATCH(WEEKDAY(A1987),そのた定義!A:A,0)</f>
        <v>5</v>
      </c>
      <c r="E1987" s="26" t="str">
        <f t="shared" ref="E1987:E2050" ca="1" si="284">INDIRECT("そのた定義!"&amp;"B"&amp;D1987)</f>
        <v>水</v>
      </c>
      <c r="F1987" s="26">
        <f t="shared" ref="F1987:F2050" si="285">IF(OR(D1987=8,D1987=2),1,0)</f>
        <v>0</v>
      </c>
      <c r="G1987" s="26">
        <f>IF(ISNA(MATCH(A1987,祝日定義!E:E,0)),0,1)</f>
        <v>0</v>
      </c>
      <c r="H1987" s="26">
        <f>IF(ISNA(MATCH(B1987&amp;"/"&amp;C1987,そのた定義!E:E,0)), 0, 1)</f>
        <v>0</v>
      </c>
      <c r="I1987" s="26" t="b">
        <f t="shared" ref="I1987:I2050" si="286">SUM(F1987:H1987)&gt;0</f>
        <v>0</v>
      </c>
      <c r="J1987" s="26">
        <v>0</v>
      </c>
      <c r="K1987" s="26" t="b">
        <f t="shared" si="281"/>
        <v>0</v>
      </c>
      <c r="L1987" s="26" t="b">
        <f t="shared" si="282"/>
        <v>0</v>
      </c>
      <c r="M1987" t="b">
        <f t="shared" ref="M1987:M2050" si="287">B1987&lt;&gt;MONTH(A1987-J1987)</f>
        <v>0</v>
      </c>
      <c r="N1987" t="b">
        <f t="shared" ref="N1987:N2050" si="288">B1987&lt;&gt;MONTH(A1987+1)</f>
        <v>0</v>
      </c>
    </row>
    <row r="1988" spans="1:14">
      <c r="A1988" s="29">
        <v>46548</v>
      </c>
      <c r="B1988" s="30">
        <f t="shared" si="280"/>
        <v>6</v>
      </c>
      <c r="C1988" s="30">
        <f t="shared" si="283"/>
        <v>10</v>
      </c>
      <c r="D1988" s="26">
        <f>MATCH(WEEKDAY(A1988),そのた定義!A:A,0)</f>
        <v>6</v>
      </c>
      <c r="E1988" s="26" t="str">
        <f t="shared" ca="1" si="284"/>
        <v>木</v>
      </c>
      <c r="F1988" s="26">
        <f t="shared" si="285"/>
        <v>0</v>
      </c>
      <c r="G1988" s="26">
        <f>IF(ISNA(MATCH(A1988,祝日定義!E:E,0)),0,1)</f>
        <v>0</v>
      </c>
      <c r="H1988" s="26">
        <f>IF(ISNA(MATCH(B1988&amp;"/"&amp;C1988,そのた定義!E:E,0)), 0, 1)</f>
        <v>0</v>
      </c>
      <c r="I1988" s="26" t="b">
        <f t="shared" si="286"/>
        <v>0</v>
      </c>
      <c r="J1988" s="26">
        <v>0</v>
      </c>
      <c r="K1988" s="26" t="b">
        <f t="shared" si="281"/>
        <v>0</v>
      </c>
      <c r="L1988" s="26" t="b">
        <f t="shared" si="282"/>
        <v>0</v>
      </c>
      <c r="M1988" t="b">
        <f t="shared" si="287"/>
        <v>0</v>
      </c>
      <c r="N1988" t="b">
        <f t="shared" si="288"/>
        <v>0</v>
      </c>
    </row>
    <row r="1989" spans="1:14">
      <c r="A1989" s="29">
        <v>46549</v>
      </c>
      <c r="B1989" s="30">
        <f t="shared" si="280"/>
        <v>6</v>
      </c>
      <c r="C1989" s="30">
        <f t="shared" si="283"/>
        <v>11</v>
      </c>
      <c r="D1989" s="26">
        <f>MATCH(WEEKDAY(A1989),そのた定義!A:A,0)</f>
        <v>7</v>
      </c>
      <c r="E1989" s="26" t="str">
        <f t="shared" ca="1" si="284"/>
        <v>金</v>
      </c>
      <c r="F1989" s="26">
        <f t="shared" si="285"/>
        <v>0</v>
      </c>
      <c r="G1989" s="26">
        <f>IF(ISNA(MATCH(A1989,祝日定義!E:E,0)),0,1)</f>
        <v>0</v>
      </c>
      <c r="H1989" s="26">
        <f>IF(ISNA(MATCH(B1989&amp;"/"&amp;C1989,そのた定義!E:E,0)), 0, 1)</f>
        <v>0</v>
      </c>
      <c r="I1989" s="26" t="b">
        <f t="shared" si="286"/>
        <v>0</v>
      </c>
      <c r="J1989" s="26">
        <v>0</v>
      </c>
      <c r="K1989" s="26" t="b">
        <f t="shared" si="281"/>
        <v>0</v>
      </c>
      <c r="L1989" s="26" t="b">
        <f t="shared" si="282"/>
        <v>0</v>
      </c>
      <c r="M1989" t="b">
        <f t="shared" si="287"/>
        <v>0</v>
      </c>
      <c r="N1989" t="b">
        <f t="shared" si="288"/>
        <v>0</v>
      </c>
    </row>
    <row r="1990" spans="1:14">
      <c r="A1990" s="29">
        <v>46550</v>
      </c>
      <c r="B1990" s="30">
        <f t="shared" si="280"/>
        <v>6</v>
      </c>
      <c r="C1990" s="30">
        <f t="shared" si="283"/>
        <v>12</v>
      </c>
      <c r="D1990" s="26">
        <f>MATCH(WEEKDAY(A1990),そのた定義!A:A,0)</f>
        <v>8</v>
      </c>
      <c r="E1990" s="33" t="str">
        <f t="shared" ca="1" si="284"/>
        <v>土</v>
      </c>
      <c r="F1990" s="26">
        <f t="shared" si="285"/>
        <v>1</v>
      </c>
      <c r="G1990" s="26">
        <f>IF(ISNA(MATCH(A1990,祝日定義!E:E,0)),0,1)</f>
        <v>0</v>
      </c>
      <c r="H1990" s="26">
        <f>IF(ISNA(MATCH(B1990&amp;"/"&amp;C1990,そのた定義!E:E,0)), 0, 1)</f>
        <v>0</v>
      </c>
      <c r="I1990" s="23" t="b">
        <f t="shared" si="286"/>
        <v>1</v>
      </c>
      <c r="J1990" s="26">
        <v>0</v>
      </c>
      <c r="K1990" s="26" t="b">
        <f t="shared" si="281"/>
        <v>0</v>
      </c>
      <c r="L1990" s="26" t="b">
        <f t="shared" si="282"/>
        <v>0</v>
      </c>
      <c r="M1990" t="b">
        <f t="shared" si="287"/>
        <v>0</v>
      </c>
      <c r="N1990" t="b">
        <f t="shared" si="288"/>
        <v>0</v>
      </c>
    </row>
    <row r="1991" spans="1:14">
      <c r="A1991" s="29">
        <v>46551</v>
      </c>
      <c r="B1991" s="30">
        <f t="shared" si="280"/>
        <v>6</v>
      </c>
      <c r="C1991" s="30">
        <f t="shared" si="283"/>
        <v>13</v>
      </c>
      <c r="D1991" s="26">
        <f>MATCH(WEEKDAY(A1991),そのた定義!A:A,0)</f>
        <v>2</v>
      </c>
      <c r="E1991" s="32" t="str">
        <f t="shared" ca="1" si="284"/>
        <v>日</v>
      </c>
      <c r="F1991" s="26">
        <f t="shared" si="285"/>
        <v>1</v>
      </c>
      <c r="G1991" s="26">
        <f>IF(ISNA(MATCH(A1991,祝日定義!E:E,0)),0,1)</f>
        <v>0</v>
      </c>
      <c r="H1991" s="26">
        <f>IF(ISNA(MATCH(B1991&amp;"/"&amp;C1991,そのた定義!E:E,0)), 0, 1)</f>
        <v>0</v>
      </c>
      <c r="I1991" s="23" t="b">
        <f t="shared" si="286"/>
        <v>1</v>
      </c>
      <c r="J1991" s="26">
        <v>0</v>
      </c>
      <c r="K1991" s="26" t="b">
        <f t="shared" si="281"/>
        <v>0</v>
      </c>
      <c r="L1991" s="26" t="b">
        <f t="shared" si="282"/>
        <v>0</v>
      </c>
      <c r="M1991" t="b">
        <f t="shared" si="287"/>
        <v>0</v>
      </c>
      <c r="N1991" t="b">
        <f t="shared" si="288"/>
        <v>0</v>
      </c>
    </row>
    <row r="1992" spans="1:14">
      <c r="A1992" s="29">
        <v>46552</v>
      </c>
      <c r="B1992" s="30">
        <f t="shared" si="280"/>
        <v>6</v>
      </c>
      <c r="C1992" s="30">
        <f t="shared" si="283"/>
        <v>14</v>
      </c>
      <c r="D1992" s="26">
        <f>MATCH(WEEKDAY(A1992),そのた定義!A:A,0)</f>
        <v>3</v>
      </c>
      <c r="E1992" s="26" t="str">
        <f t="shared" ca="1" si="284"/>
        <v>月</v>
      </c>
      <c r="F1992" s="26">
        <f t="shared" si="285"/>
        <v>0</v>
      </c>
      <c r="G1992" s="26">
        <f>IF(ISNA(MATCH(A1992,祝日定義!E:E,0)),0,1)</f>
        <v>0</v>
      </c>
      <c r="H1992" s="26">
        <f>IF(ISNA(MATCH(B1992&amp;"/"&amp;C1992,そのた定義!E:E,0)), 0, 1)</f>
        <v>0</v>
      </c>
      <c r="I1992" s="26" t="b">
        <f t="shared" si="286"/>
        <v>0</v>
      </c>
      <c r="J1992" s="26">
        <v>2</v>
      </c>
      <c r="K1992" s="26" t="b">
        <f t="shared" si="281"/>
        <v>0</v>
      </c>
      <c r="L1992" s="26" t="b">
        <f t="shared" si="282"/>
        <v>0</v>
      </c>
      <c r="M1992" t="b">
        <f t="shared" si="287"/>
        <v>0</v>
      </c>
      <c r="N1992" t="b">
        <f t="shared" si="288"/>
        <v>0</v>
      </c>
    </row>
    <row r="1993" spans="1:14">
      <c r="A1993" s="29">
        <v>46553</v>
      </c>
      <c r="B1993" s="30">
        <f t="shared" si="280"/>
        <v>6</v>
      </c>
      <c r="C1993" s="30">
        <f t="shared" si="283"/>
        <v>15</v>
      </c>
      <c r="D1993" s="26">
        <f>MATCH(WEEKDAY(A1993),そのた定義!A:A,0)</f>
        <v>4</v>
      </c>
      <c r="E1993" s="26" t="str">
        <f t="shared" ca="1" si="284"/>
        <v>火</v>
      </c>
      <c r="F1993" s="26">
        <f t="shared" si="285"/>
        <v>0</v>
      </c>
      <c r="G1993" s="26">
        <f>IF(ISNA(MATCH(A1993,祝日定義!E:E,0)),0,1)</f>
        <v>0</v>
      </c>
      <c r="H1993" s="26">
        <f>IF(ISNA(MATCH(B1993&amp;"/"&amp;C1993,そのた定義!E:E,0)), 0, 1)</f>
        <v>0</v>
      </c>
      <c r="I1993" s="26" t="b">
        <f t="shared" si="286"/>
        <v>0</v>
      </c>
      <c r="J1993" s="26">
        <v>0</v>
      </c>
      <c r="K1993" s="26" t="b">
        <f t="shared" si="281"/>
        <v>0</v>
      </c>
      <c r="L1993" s="26" t="b">
        <f t="shared" si="282"/>
        <v>0</v>
      </c>
      <c r="M1993" t="b">
        <f t="shared" si="287"/>
        <v>0</v>
      </c>
      <c r="N1993" t="b">
        <f t="shared" si="288"/>
        <v>0</v>
      </c>
    </row>
    <row r="1994" spans="1:14">
      <c r="A1994" s="29">
        <v>46554</v>
      </c>
      <c r="B1994" s="30">
        <f t="shared" si="280"/>
        <v>6</v>
      </c>
      <c r="C1994" s="30">
        <f t="shared" si="283"/>
        <v>16</v>
      </c>
      <c r="D1994" s="26">
        <f>MATCH(WEEKDAY(A1994),そのた定義!A:A,0)</f>
        <v>5</v>
      </c>
      <c r="E1994" s="26" t="str">
        <f t="shared" ca="1" si="284"/>
        <v>水</v>
      </c>
      <c r="F1994" s="26">
        <f t="shared" si="285"/>
        <v>0</v>
      </c>
      <c r="G1994" s="26">
        <f>IF(ISNA(MATCH(A1994,祝日定義!E:E,0)),0,1)</f>
        <v>0</v>
      </c>
      <c r="H1994" s="26">
        <f>IF(ISNA(MATCH(B1994&amp;"/"&amp;C1994,そのた定義!E:E,0)), 0, 1)</f>
        <v>0</v>
      </c>
      <c r="I1994" s="26" t="b">
        <f t="shared" si="286"/>
        <v>0</v>
      </c>
      <c r="J1994" s="26">
        <v>0</v>
      </c>
      <c r="K1994" s="26" t="b">
        <f t="shared" si="281"/>
        <v>0</v>
      </c>
      <c r="L1994" s="26" t="b">
        <f t="shared" si="282"/>
        <v>0</v>
      </c>
      <c r="M1994" t="b">
        <f t="shared" si="287"/>
        <v>0</v>
      </c>
      <c r="N1994" t="b">
        <f t="shared" si="288"/>
        <v>0</v>
      </c>
    </row>
    <row r="1995" spans="1:14">
      <c r="A1995" s="29">
        <v>46555</v>
      </c>
      <c r="B1995" s="30">
        <f t="shared" si="280"/>
        <v>6</v>
      </c>
      <c r="C1995" s="30">
        <f t="shared" si="283"/>
        <v>17</v>
      </c>
      <c r="D1995" s="26">
        <f>MATCH(WEEKDAY(A1995),そのた定義!A:A,0)</f>
        <v>6</v>
      </c>
      <c r="E1995" s="26" t="str">
        <f t="shared" ca="1" si="284"/>
        <v>木</v>
      </c>
      <c r="F1995" s="26">
        <f t="shared" si="285"/>
        <v>0</v>
      </c>
      <c r="G1995" s="26">
        <f>IF(ISNA(MATCH(A1995,祝日定義!E:E,0)),0,1)</f>
        <v>0</v>
      </c>
      <c r="H1995" s="26">
        <f>IF(ISNA(MATCH(B1995&amp;"/"&amp;C1995,そのた定義!E:E,0)), 0, 1)</f>
        <v>0</v>
      </c>
      <c r="I1995" s="26" t="b">
        <f t="shared" si="286"/>
        <v>0</v>
      </c>
      <c r="J1995" s="26">
        <v>0</v>
      </c>
      <c r="K1995" s="26" t="b">
        <f t="shared" si="281"/>
        <v>0</v>
      </c>
      <c r="L1995" s="26" t="b">
        <f t="shared" si="282"/>
        <v>0</v>
      </c>
      <c r="M1995" t="b">
        <f t="shared" si="287"/>
        <v>0</v>
      </c>
      <c r="N1995" t="b">
        <f t="shared" si="288"/>
        <v>0</v>
      </c>
    </row>
    <row r="1996" spans="1:14">
      <c r="A1996" s="29">
        <v>46556</v>
      </c>
      <c r="B1996" s="30">
        <f t="shared" si="280"/>
        <v>6</v>
      </c>
      <c r="C1996" s="30">
        <f t="shared" si="283"/>
        <v>18</v>
      </c>
      <c r="D1996" s="26">
        <f>MATCH(WEEKDAY(A1996),そのた定義!A:A,0)</f>
        <v>7</v>
      </c>
      <c r="E1996" s="26" t="str">
        <f t="shared" ca="1" si="284"/>
        <v>金</v>
      </c>
      <c r="F1996" s="26">
        <f t="shared" si="285"/>
        <v>0</v>
      </c>
      <c r="G1996" s="26">
        <f>IF(ISNA(MATCH(A1996,祝日定義!E:E,0)),0,1)</f>
        <v>0</v>
      </c>
      <c r="H1996" s="26">
        <f>IF(ISNA(MATCH(B1996&amp;"/"&amp;C1996,そのた定義!E:E,0)), 0, 1)</f>
        <v>0</v>
      </c>
      <c r="I1996" s="26" t="b">
        <f t="shared" si="286"/>
        <v>0</v>
      </c>
      <c r="J1996" s="26">
        <v>0</v>
      </c>
      <c r="K1996" s="26" t="b">
        <f t="shared" si="281"/>
        <v>0</v>
      </c>
      <c r="L1996" s="26" t="b">
        <f t="shared" si="282"/>
        <v>0</v>
      </c>
      <c r="M1996" t="b">
        <f t="shared" si="287"/>
        <v>0</v>
      </c>
      <c r="N1996" t="b">
        <f t="shared" si="288"/>
        <v>0</v>
      </c>
    </row>
    <row r="1997" spans="1:14">
      <c r="A1997" s="29">
        <v>46557</v>
      </c>
      <c r="B1997" s="30">
        <f t="shared" si="280"/>
        <v>6</v>
      </c>
      <c r="C1997" s="30">
        <f t="shared" si="283"/>
        <v>19</v>
      </c>
      <c r="D1997" s="26">
        <f>MATCH(WEEKDAY(A1997),そのた定義!A:A,0)</f>
        <v>8</v>
      </c>
      <c r="E1997" s="33" t="str">
        <f t="shared" ca="1" si="284"/>
        <v>土</v>
      </c>
      <c r="F1997" s="26">
        <f t="shared" si="285"/>
        <v>1</v>
      </c>
      <c r="G1997" s="26">
        <f>IF(ISNA(MATCH(A1997,祝日定義!E:E,0)),0,1)</f>
        <v>0</v>
      </c>
      <c r="H1997" s="26">
        <f>IF(ISNA(MATCH(B1997&amp;"/"&amp;C1997,そのた定義!E:E,0)), 0, 1)</f>
        <v>0</v>
      </c>
      <c r="I1997" s="23" t="b">
        <f t="shared" si="286"/>
        <v>1</v>
      </c>
      <c r="J1997" s="26">
        <v>0</v>
      </c>
      <c r="K1997" s="26" t="b">
        <f t="shared" si="281"/>
        <v>0</v>
      </c>
      <c r="L1997" s="26" t="b">
        <f t="shared" si="282"/>
        <v>0</v>
      </c>
      <c r="M1997" t="b">
        <f t="shared" si="287"/>
        <v>0</v>
      </c>
      <c r="N1997" t="b">
        <f t="shared" si="288"/>
        <v>0</v>
      </c>
    </row>
    <row r="1998" spans="1:14">
      <c r="A1998" s="29">
        <v>46558</v>
      </c>
      <c r="B1998" s="30">
        <f t="shared" si="280"/>
        <v>6</v>
      </c>
      <c r="C1998" s="30">
        <f t="shared" si="283"/>
        <v>20</v>
      </c>
      <c r="D1998" s="26">
        <f>MATCH(WEEKDAY(A1998),そのた定義!A:A,0)</f>
        <v>2</v>
      </c>
      <c r="E1998" s="32" t="str">
        <f t="shared" ca="1" si="284"/>
        <v>日</v>
      </c>
      <c r="F1998" s="26">
        <f t="shared" si="285"/>
        <v>1</v>
      </c>
      <c r="G1998" s="26">
        <f>IF(ISNA(MATCH(A1998,祝日定義!E:E,0)),0,1)</f>
        <v>0</v>
      </c>
      <c r="H1998" s="26">
        <f>IF(ISNA(MATCH(B1998&amp;"/"&amp;C1998,そのた定義!E:E,0)), 0, 1)</f>
        <v>0</v>
      </c>
      <c r="I1998" s="23" t="b">
        <f t="shared" si="286"/>
        <v>1</v>
      </c>
      <c r="J1998" s="26">
        <v>0</v>
      </c>
      <c r="K1998" s="26" t="b">
        <f t="shared" si="281"/>
        <v>0</v>
      </c>
      <c r="L1998" s="26" t="b">
        <f t="shared" si="282"/>
        <v>0</v>
      </c>
      <c r="M1998" t="b">
        <f t="shared" si="287"/>
        <v>0</v>
      </c>
      <c r="N1998" t="b">
        <f t="shared" si="288"/>
        <v>0</v>
      </c>
    </row>
    <row r="1999" spans="1:14">
      <c r="A1999" s="29">
        <v>46559</v>
      </c>
      <c r="B1999" s="30">
        <f t="shared" si="280"/>
        <v>6</v>
      </c>
      <c r="C1999" s="30">
        <f t="shared" si="283"/>
        <v>21</v>
      </c>
      <c r="D1999" s="26">
        <f>MATCH(WEEKDAY(A1999),そのた定義!A:A,0)</f>
        <v>3</v>
      </c>
      <c r="E1999" s="26" t="str">
        <f t="shared" ca="1" si="284"/>
        <v>月</v>
      </c>
      <c r="F1999" s="26">
        <f t="shared" si="285"/>
        <v>0</v>
      </c>
      <c r="G1999" s="26">
        <f>IF(ISNA(MATCH(A1999,祝日定義!E:E,0)),0,1)</f>
        <v>0</v>
      </c>
      <c r="H1999" s="26">
        <f>IF(ISNA(MATCH(B1999&amp;"/"&amp;C1999,そのた定義!E:E,0)), 0, 1)</f>
        <v>0</v>
      </c>
      <c r="I1999" s="26" t="b">
        <f t="shared" si="286"/>
        <v>0</v>
      </c>
      <c r="J1999" s="26">
        <v>2</v>
      </c>
      <c r="K1999" s="26" t="b">
        <f t="shared" si="281"/>
        <v>0</v>
      </c>
      <c r="L1999" s="26" t="b">
        <f t="shared" si="282"/>
        <v>0</v>
      </c>
      <c r="M1999" t="b">
        <f t="shared" si="287"/>
        <v>0</v>
      </c>
      <c r="N1999" t="b">
        <f t="shared" si="288"/>
        <v>0</v>
      </c>
    </row>
    <row r="2000" spans="1:14">
      <c r="A2000" s="29">
        <v>46560</v>
      </c>
      <c r="B2000" s="30">
        <f t="shared" si="280"/>
        <v>6</v>
      </c>
      <c r="C2000" s="30">
        <f t="shared" si="283"/>
        <v>22</v>
      </c>
      <c r="D2000" s="26">
        <f>MATCH(WEEKDAY(A2000),そのた定義!A:A,0)</f>
        <v>4</v>
      </c>
      <c r="E2000" s="26" t="str">
        <f t="shared" ca="1" si="284"/>
        <v>火</v>
      </c>
      <c r="F2000" s="26">
        <f t="shared" si="285"/>
        <v>0</v>
      </c>
      <c r="G2000" s="26">
        <f>IF(ISNA(MATCH(A2000,祝日定義!E:E,0)),0,1)</f>
        <v>0</v>
      </c>
      <c r="H2000" s="26">
        <f>IF(ISNA(MATCH(B2000&amp;"/"&amp;C2000,そのた定義!E:E,0)), 0, 1)</f>
        <v>0</v>
      </c>
      <c r="I2000" s="26" t="b">
        <f t="shared" si="286"/>
        <v>0</v>
      </c>
      <c r="J2000" s="26">
        <v>0</v>
      </c>
      <c r="K2000" s="26" t="b">
        <f t="shared" si="281"/>
        <v>0</v>
      </c>
      <c r="L2000" s="26" t="b">
        <f t="shared" si="282"/>
        <v>0</v>
      </c>
      <c r="M2000" t="b">
        <f t="shared" si="287"/>
        <v>0</v>
      </c>
      <c r="N2000" t="b">
        <f t="shared" si="288"/>
        <v>0</v>
      </c>
    </row>
    <row r="2001" spans="1:14">
      <c r="A2001" s="29">
        <v>46561</v>
      </c>
      <c r="B2001" s="30">
        <f t="shared" si="280"/>
        <v>6</v>
      </c>
      <c r="C2001" s="30">
        <f t="shared" si="283"/>
        <v>23</v>
      </c>
      <c r="D2001" s="26">
        <f>MATCH(WEEKDAY(A2001),そのた定義!A:A,0)</f>
        <v>5</v>
      </c>
      <c r="E2001" s="26" t="str">
        <f t="shared" ca="1" si="284"/>
        <v>水</v>
      </c>
      <c r="F2001" s="26">
        <f t="shared" si="285"/>
        <v>0</v>
      </c>
      <c r="G2001" s="26">
        <f>IF(ISNA(MATCH(A2001,祝日定義!E:E,0)),0,1)</f>
        <v>0</v>
      </c>
      <c r="H2001" s="26">
        <f>IF(ISNA(MATCH(B2001&amp;"/"&amp;C2001,そのた定義!E:E,0)), 0, 1)</f>
        <v>0</v>
      </c>
      <c r="I2001" s="26" t="b">
        <f t="shared" si="286"/>
        <v>0</v>
      </c>
      <c r="J2001" s="26">
        <v>0</v>
      </c>
      <c r="K2001" s="26" t="b">
        <f t="shared" si="281"/>
        <v>0</v>
      </c>
      <c r="L2001" s="26" t="b">
        <f t="shared" si="282"/>
        <v>0</v>
      </c>
      <c r="M2001" t="b">
        <f t="shared" si="287"/>
        <v>0</v>
      </c>
      <c r="N2001" t="b">
        <f t="shared" si="288"/>
        <v>0</v>
      </c>
    </row>
    <row r="2002" spans="1:14">
      <c r="A2002" s="29">
        <v>46562</v>
      </c>
      <c r="B2002" s="30">
        <f t="shared" si="280"/>
        <v>6</v>
      </c>
      <c r="C2002" s="30">
        <f t="shared" si="283"/>
        <v>24</v>
      </c>
      <c r="D2002" s="26">
        <f>MATCH(WEEKDAY(A2002),そのた定義!A:A,0)</f>
        <v>6</v>
      </c>
      <c r="E2002" s="26" t="str">
        <f t="shared" ca="1" si="284"/>
        <v>木</v>
      </c>
      <c r="F2002" s="26">
        <f t="shared" si="285"/>
        <v>0</v>
      </c>
      <c r="G2002" s="26">
        <f>IF(ISNA(MATCH(A2002,祝日定義!E:E,0)),0,1)</f>
        <v>0</v>
      </c>
      <c r="H2002" s="26">
        <f>IF(ISNA(MATCH(B2002&amp;"/"&amp;C2002,そのた定義!E:E,0)), 0, 1)</f>
        <v>0</v>
      </c>
      <c r="I2002" s="26" t="b">
        <f t="shared" si="286"/>
        <v>0</v>
      </c>
      <c r="J2002" s="26">
        <v>0</v>
      </c>
      <c r="K2002" s="26" t="b">
        <f t="shared" si="281"/>
        <v>0</v>
      </c>
      <c r="L2002" s="26" t="b">
        <f t="shared" si="282"/>
        <v>0</v>
      </c>
      <c r="M2002" t="b">
        <f t="shared" si="287"/>
        <v>0</v>
      </c>
      <c r="N2002" t="b">
        <f t="shared" si="288"/>
        <v>0</v>
      </c>
    </row>
    <row r="2003" spans="1:14">
      <c r="A2003" s="29">
        <v>46563</v>
      </c>
      <c r="B2003" s="30">
        <f t="shared" si="280"/>
        <v>6</v>
      </c>
      <c r="C2003" s="30">
        <f t="shared" si="283"/>
        <v>25</v>
      </c>
      <c r="D2003" s="26">
        <f>MATCH(WEEKDAY(A2003),そのた定義!A:A,0)</f>
        <v>7</v>
      </c>
      <c r="E2003" s="26" t="str">
        <f t="shared" ca="1" si="284"/>
        <v>金</v>
      </c>
      <c r="F2003" s="26">
        <f t="shared" si="285"/>
        <v>0</v>
      </c>
      <c r="G2003" s="26">
        <f>IF(ISNA(MATCH(A2003,祝日定義!E:E,0)),0,1)</f>
        <v>0</v>
      </c>
      <c r="H2003" s="26">
        <f>IF(ISNA(MATCH(B2003&amp;"/"&amp;C2003,そのた定義!E:E,0)), 0, 1)</f>
        <v>0</v>
      </c>
      <c r="I2003" s="26" t="b">
        <f t="shared" si="286"/>
        <v>0</v>
      </c>
      <c r="J2003" s="26">
        <v>0</v>
      </c>
      <c r="K2003" s="26" t="b">
        <f t="shared" si="281"/>
        <v>0</v>
      </c>
      <c r="L2003" s="23" t="b">
        <f t="shared" si="282"/>
        <v>1</v>
      </c>
      <c r="M2003" t="b">
        <f t="shared" si="287"/>
        <v>0</v>
      </c>
      <c r="N2003" t="b">
        <f t="shared" si="288"/>
        <v>0</v>
      </c>
    </row>
    <row r="2004" spans="1:14">
      <c r="A2004" s="29">
        <v>46564</v>
      </c>
      <c r="B2004" s="30">
        <f t="shared" si="280"/>
        <v>6</v>
      </c>
      <c r="C2004" s="30">
        <f t="shared" si="283"/>
        <v>26</v>
      </c>
      <c r="D2004" s="26">
        <f>MATCH(WEEKDAY(A2004),そのた定義!A:A,0)</f>
        <v>8</v>
      </c>
      <c r="E2004" s="33" t="str">
        <f t="shared" ca="1" si="284"/>
        <v>土</v>
      </c>
      <c r="F2004" s="26">
        <f t="shared" si="285"/>
        <v>1</v>
      </c>
      <c r="G2004" s="26">
        <f>IF(ISNA(MATCH(A2004,祝日定義!E:E,0)),0,1)</f>
        <v>0</v>
      </c>
      <c r="H2004" s="26">
        <f>IF(ISNA(MATCH(B2004&amp;"/"&amp;C2004,そのた定義!E:E,0)), 0, 1)</f>
        <v>0</v>
      </c>
      <c r="I2004" s="23" t="b">
        <f t="shared" si="286"/>
        <v>1</v>
      </c>
      <c r="J2004" s="26">
        <v>0</v>
      </c>
      <c r="K2004" s="26" t="b">
        <f t="shared" si="281"/>
        <v>0</v>
      </c>
      <c r="L2004" s="26" t="b">
        <f t="shared" si="282"/>
        <v>0</v>
      </c>
      <c r="M2004" t="b">
        <f t="shared" si="287"/>
        <v>0</v>
      </c>
      <c r="N2004" t="b">
        <f t="shared" si="288"/>
        <v>0</v>
      </c>
    </row>
    <row r="2005" spans="1:14">
      <c r="A2005" s="29">
        <v>46565</v>
      </c>
      <c r="B2005" s="30">
        <f t="shared" si="280"/>
        <v>6</v>
      </c>
      <c r="C2005" s="30">
        <f t="shared" si="283"/>
        <v>27</v>
      </c>
      <c r="D2005" s="26">
        <f>MATCH(WEEKDAY(A2005),そのた定義!A:A,0)</f>
        <v>2</v>
      </c>
      <c r="E2005" s="32" t="str">
        <f t="shared" ca="1" si="284"/>
        <v>日</v>
      </c>
      <c r="F2005" s="26">
        <f t="shared" si="285"/>
        <v>1</v>
      </c>
      <c r="G2005" s="26">
        <f>IF(ISNA(MATCH(A2005,祝日定義!E:E,0)),0,1)</f>
        <v>0</v>
      </c>
      <c r="H2005" s="26">
        <f>IF(ISNA(MATCH(B2005&amp;"/"&amp;C2005,そのた定義!E:E,0)), 0, 1)</f>
        <v>0</v>
      </c>
      <c r="I2005" s="23" t="b">
        <f t="shared" si="286"/>
        <v>1</v>
      </c>
      <c r="J2005" s="26">
        <v>0</v>
      </c>
      <c r="K2005" s="26" t="b">
        <f t="shared" si="281"/>
        <v>0</v>
      </c>
      <c r="L2005" s="26" t="b">
        <f t="shared" si="282"/>
        <v>0</v>
      </c>
      <c r="M2005" t="b">
        <f t="shared" si="287"/>
        <v>0</v>
      </c>
      <c r="N2005" t="b">
        <f t="shared" si="288"/>
        <v>0</v>
      </c>
    </row>
    <row r="2006" spans="1:14">
      <c r="A2006" s="29">
        <v>46566</v>
      </c>
      <c r="B2006" s="30">
        <f t="shared" si="280"/>
        <v>6</v>
      </c>
      <c r="C2006" s="30">
        <f t="shared" si="283"/>
        <v>28</v>
      </c>
      <c r="D2006" s="26">
        <f>MATCH(WEEKDAY(A2006),そのた定義!A:A,0)</f>
        <v>3</v>
      </c>
      <c r="E2006" s="26" t="str">
        <f t="shared" ca="1" si="284"/>
        <v>月</v>
      </c>
      <c r="F2006" s="26">
        <f t="shared" si="285"/>
        <v>0</v>
      </c>
      <c r="G2006" s="26">
        <f>IF(ISNA(MATCH(A2006,祝日定義!E:E,0)),0,1)</f>
        <v>0</v>
      </c>
      <c r="H2006" s="26">
        <f>IF(ISNA(MATCH(B2006&amp;"/"&amp;C2006,そのた定義!E:E,0)), 0, 1)</f>
        <v>0</v>
      </c>
      <c r="I2006" s="26" t="b">
        <f t="shared" si="286"/>
        <v>0</v>
      </c>
      <c r="J2006" s="26">
        <v>2</v>
      </c>
      <c r="K2006" s="26" t="b">
        <f t="shared" si="281"/>
        <v>0</v>
      </c>
      <c r="L2006" s="26" t="b">
        <f t="shared" si="282"/>
        <v>0</v>
      </c>
      <c r="M2006" t="b">
        <f t="shared" si="287"/>
        <v>0</v>
      </c>
      <c r="N2006" t="b">
        <f t="shared" si="288"/>
        <v>0</v>
      </c>
    </row>
    <row r="2007" spans="1:14">
      <c r="A2007" s="29">
        <v>46567</v>
      </c>
      <c r="B2007" s="30">
        <f t="shared" si="280"/>
        <v>6</v>
      </c>
      <c r="C2007" s="30">
        <f t="shared" si="283"/>
        <v>29</v>
      </c>
      <c r="D2007" s="26">
        <f>MATCH(WEEKDAY(A2007),そのた定義!A:A,0)</f>
        <v>4</v>
      </c>
      <c r="E2007" s="26" t="str">
        <f t="shared" ca="1" si="284"/>
        <v>火</v>
      </c>
      <c r="F2007" s="26">
        <f t="shared" si="285"/>
        <v>0</v>
      </c>
      <c r="G2007" s="26">
        <f>IF(ISNA(MATCH(A2007,祝日定義!E:E,0)),0,1)</f>
        <v>0</v>
      </c>
      <c r="H2007" s="26">
        <f>IF(ISNA(MATCH(B2007&amp;"/"&amp;C2007,そのた定義!E:E,0)), 0, 1)</f>
        <v>0</v>
      </c>
      <c r="I2007" s="26" t="b">
        <f t="shared" si="286"/>
        <v>0</v>
      </c>
      <c r="J2007" s="26">
        <v>0</v>
      </c>
      <c r="K2007" s="26" t="b">
        <f t="shared" si="281"/>
        <v>0</v>
      </c>
      <c r="L2007" s="26" t="b">
        <f t="shared" si="282"/>
        <v>0</v>
      </c>
      <c r="M2007" t="b">
        <f t="shared" si="287"/>
        <v>0</v>
      </c>
      <c r="N2007" t="b">
        <f t="shared" si="288"/>
        <v>0</v>
      </c>
    </row>
    <row r="2008" spans="1:14">
      <c r="A2008" s="29">
        <v>46568</v>
      </c>
      <c r="B2008" s="30">
        <f t="shared" si="280"/>
        <v>6</v>
      </c>
      <c r="C2008" s="30">
        <f t="shared" si="283"/>
        <v>30</v>
      </c>
      <c r="D2008" s="26">
        <f>MATCH(WEEKDAY(A2008),そのた定義!A:A,0)</f>
        <v>5</v>
      </c>
      <c r="E2008" s="26" t="str">
        <f t="shared" ca="1" si="284"/>
        <v>水</v>
      </c>
      <c r="F2008" s="26">
        <f t="shared" si="285"/>
        <v>0</v>
      </c>
      <c r="G2008" s="26">
        <f>IF(ISNA(MATCH(A2008,祝日定義!E:E,0)),0,1)</f>
        <v>0</v>
      </c>
      <c r="H2008" s="26">
        <f>IF(ISNA(MATCH(B2008&amp;"/"&amp;C2008,そのた定義!E:E,0)), 0, 1)</f>
        <v>0</v>
      </c>
      <c r="I2008" s="26" t="b">
        <f t="shared" si="286"/>
        <v>0</v>
      </c>
      <c r="J2008" s="26">
        <v>0</v>
      </c>
      <c r="K2008" s="26" t="b">
        <f t="shared" si="281"/>
        <v>0</v>
      </c>
      <c r="L2008" s="26" t="b">
        <f t="shared" si="282"/>
        <v>0</v>
      </c>
      <c r="M2008" t="b">
        <f t="shared" si="287"/>
        <v>0</v>
      </c>
      <c r="N2008" t="b">
        <f t="shared" si="288"/>
        <v>1</v>
      </c>
    </row>
    <row r="2009" spans="1:14">
      <c r="A2009" s="29">
        <v>46569</v>
      </c>
      <c r="B2009" s="30">
        <f t="shared" si="280"/>
        <v>7</v>
      </c>
      <c r="C2009" s="30">
        <f t="shared" si="283"/>
        <v>1</v>
      </c>
      <c r="D2009" s="26">
        <f>MATCH(WEEKDAY(A2009),そのた定義!A:A,0)</f>
        <v>6</v>
      </c>
      <c r="E2009" s="26" t="str">
        <f t="shared" ca="1" si="284"/>
        <v>木</v>
      </c>
      <c r="F2009" s="26">
        <f t="shared" si="285"/>
        <v>0</v>
      </c>
      <c r="G2009" s="26">
        <f>IF(ISNA(MATCH(A2009,祝日定義!E:E,0)),0,1)</f>
        <v>0</v>
      </c>
      <c r="H2009" s="26">
        <f>IF(ISNA(MATCH(B2009&amp;"/"&amp;C2009,そのた定義!E:E,0)), 0, 1)</f>
        <v>0</v>
      </c>
      <c r="I2009" s="26" t="b">
        <f t="shared" si="286"/>
        <v>0</v>
      </c>
      <c r="J2009" s="26">
        <v>0</v>
      </c>
      <c r="K2009" s="26" t="b">
        <f t="shared" si="281"/>
        <v>0</v>
      </c>
      <c r="L2009" s="26" t="b">
        <f t="shared" si="282"/>
        <v>0</v>
      </c>
      <c r="M2009" t="b">
        <f t="shared" si="287"/>
        <v>0</v>
      </c>
      <c r="N2009" t="b">
        <f t="shared" si="288"/>
        <v>0</v>
      </c>
    </row>
    <row r="2010" spans="1:14">
      <c r="A2010" s="29">
        <v>46570</v>
      </c>
      <c r="B2010" s="30">
        <f t="shared" si="280"/>
        <v>7</v>
      </c>
      <c r="C2010" s="30">
        <f t="shared" si="283"/>
        <v>2</v>
      </c>
      <c r="D2010" s="26">
        <f>MATCH(WEEKDAY(A2010),そのた定義!A:A,0)</f>
        <v>7</v>
      </c>
      <c r="E2010" s="26" t="str">
        <f t="shared" ca="1" si="284"/>
        <v>金</v>
      </c>
      <c r="F2010" s="26">
        <f t="shared" si="285"/>
        <v>0</v>
      </c>
      <c r="G2010" s="26">
        <f>IF(ISNA(MATCH(A2010,祝日定義!E:E,0)),0,1)</f>
        <v>0</v>
      </c>
      <c r="H2010" s="26">
        <f>IF(ISNA(MATCH(B2010&amp;"/"&amp;C2010,そのた定義!E:E,0)), 0, 1)</f>
        <v>0</v>
      </c>
      <c r="I2010" s="26" t="b">
        <f t="shared" si="286"/>
        <v>0</v>
      </c>
      <c r="J2010" s="26">
        <v>0</v>
      </c>
      <c r="K2010" s="26" t="b">
        <f t="shared" si="281"/>
        <v>0</v>
      </c>
      <c r="L2010" s="26" t="b">
        <f t="shared" si="282"/>
        <v>0</v>
      </c>
      <c r="M2010" t="b">
        <f t="shared" si="287"/>
        <v>0</v>
      </c>
      <c r="N2010" t="b">
        <f t="shared" si="288"/>
        <v>0</v>
      </c>
    </row>
    <row r="2011" spans="1:14">
      <c r="A2011" s="29">
        <v>46571</v>
      </c>
      <c r="B2011" s="30">
        <f t="shared" si="280"/>
        <v>7</v>
      </c>
      <c r="C2011" s="30">
        <f t="shared" si="283"/>
        <v>3</v>
      </c>
      <c r="D2011" s="26">
        <f>MATCH(WEEKDAY(A2011),そのた定義!A:A,0)</f>
        <v>8</v>
      </c>
      <c r="E2011" s="33" t="str">
        <f t="shared" ca="1" si="284"/>
        <v>土</v>
      </c>
      <c r="F2011" s="26">
        <f t="shared" si="285"/>
        <v>1</v>
      </c>
      <c r="G2011" s="26">
        <f>IF(ISNA(MATCH(A2011,祝日定義!E:E,0)),0,1)</f>
        <v>0</v>
      </c>
      <c r="H2011" s="26">
        <f>IF(ISNA(MATCH(B2011&amp;"/"&amp;C2011,そのた定義!E:E,0)), 0, 1)</f>
        <v>0</v>
      </c>
      <c r="I2011" s="23" t="b">
        <f t="shared" si="286"/>
        <v>1</v>
      </c>
      <c r="J2011" s="26">
        <v>0</v>
      </c>
      <c r="K2011" s="26" t="b">
        <f t="shared" si="281"/>
        <v>0</v>
      </c>
      <c r="L2011" s="26" t="b">
        <f t="shared" si="282"/>
        <v>0</v>
      </c>
      <c r="M2011" t="b">
        <f t="shared" si="287"/>
        <v>0</v>
      </c>
      <c r="N2011" t="b">
        <f t="shared" si="288"/>
        <v>0</v>
      </c>
    </row>
    <row r="2012" spans="1:14">
      <c r="A2012" s="29">
        <v>46572</v>
      </c>
      <c r="B2012" s="30">
        <f t="shared" si="280"/>
        <v>7</v>
      </c>
      <c r="C2012" s="30">
        <f t="shared" si="283"/>
        <v>4</v>
      </c>
      <c r="D2012" s="26">
        <f>MATCH(WEEKDAY(A2012),そのた定義!A:A,0)</f>
        <v>2</v>
      </c>
      <c r="E2012" s="32" t="str">
        <f t="shared" ca="1" si="284"/>
        <v>日</v>
      </c>
      <c r="F2012" s="26">
        <f t="shared" si="285"/>
        <v>1</v>
      </c>
      <c r="G2012" s="26">
        <f>IF(ISNA(MATCH(A2012,祝日定義!E:E,0)),0,1)</f>
        <v>0</v>
      </c>
      <c r="H2012" s="26">
        <f>IF(ISNA(MATCH(B2012&amp;"/"&amp;C2012,そのた定義!E:E,0)), 0, 1)</f>
        <v>0</v>
      </c>
      <c r="I2012" s="23" t="b">
        <f t="shared" si="286"/>
        <v>1</v>
      </c>
      <c r="J2012" s="26">
        <v>0</v>
      </c>
      <c r="K2012" s="26" t="b">
        <f t="shared" si="281"/>
        <v>0</v>
      </c>
      <c r="L2012" s="26" t="b">
        <f t="shared" si="282"/>
        <v>0</v>
      </c>
      <c r="M2012" t="b">
        <f t="shared" si="287"/>
        <v>0</v>
      </c>
      <c r="N2012" t="b">
        <f t="shared" si="288"/>
        <v>0</v>
      </c>
    </row>
    <row r="2013" spans="1:14">
      <c r="A2013" s="29">
        <v>46573</v>
      </c>
      <c r="B2013" s="30">
        <f t="shared" si="280"/>
        <v>7</v>
      </c>
      <c r="C2013" s="30">
        <f t="shared" si="283"/>
        <v>5</v>
      </c>
      <c r="D2013" s="26">
        <f>MATCH(WEEKDAY(A2013),そのた定義!A:A,0)</f>
        <v>3</v>
      </c>
      <c r="E2013" s="26" t="str">
        <f t="shared" ca="1" si="284"/>
        <v>月</v>
      </c>
      <c r="F2013" s="26">
        <f t="shared" si="285"/>
        <v>0</v>
      </c>
      <c r="G2013" s="26">
        <f>IF(ISNA(MATCH(A2013,祝日定義!E:E,0)),0,1)</f>
        <v>0</v>
      </c>
      <c r="H2013" s="26">
        <f>IF(ISNA(MATCH(B2013&amp;"/"&amp;C2013,そのた定義!E:E,0)), 0, 1)</f>
        <v>0</v>
      </c>
      <c r="I2013" s="26" t="b">
        <f t="shared" si="286"/>
        <v>0</v>
      </c>
      <c r="J2013" s="26">
        <v>2</v>
      </c>
      <c r="K2013" s="26" t="b">
        <f t="shared" si="281"/>
        <v>0</v>
      </c>
      <c r="L2013" s="26" t="b">
        <f t="shared" si="282"/>
        <v>0</v>
      </c>
      <c r="M2013" t="b">
        <f t="shared" si="287"/>
        <v>0</v>
      </c>
      <c r="N2013" t="b">
        <f t="shared" si="288"/>
        <v>0</v>
      </c>
    </row>
    <row r="2014" spans="1:14">
      <c r="A2014" s="29">
        <v>46574</v>
      </c>
      <c r="B2014" s="30">
        <f t="shared" si="280"/>
        <v>7</v>
      </c>
      <c r="C2014" s="30">
        <f t="shared" si="283"/>
        <v>6</v>
      </c>
      <c r="D2014" s="26">
        <f>MATCH(WEEKDAY(A2014),そのた定義!A:A,0)</f>
        <v>4</v>
      </c>
      <c r="E2014" s="26" t="str">
        <f t="shared" ca="1" si="284"/>
        <v>火</v>
      </c>
      <c r="F2014" s="26">
        <f t="shared" si="285"/>
        <v>0</v>
      </c>
      <c r="G2014" s="26">
        <f>IF(ISNA(MATCH(A2014,祝日定義!E:E,0)),0,1)</f>
        <v>0</v>
      </c>
      <c r="H2014" s="26">
        <f>IF(ISNA(MATCH(B2014&amp;"/"&amp;C2014,そのた定義!E:E,0)), 0, 1)</f>
        <v>0</v>
      </c>
      <c r="I2014" s="26" t="b">
        <f t="shared" si="286"/>
        <v>0</v>
      </c>
      <c r="J2014" s="26">
        <v>0</v>
      </c>
      <c r="K2014" s="26" t="b">
        <f t="shared" si="281"/>
        <v>0</v>
      </c>
      <c r="L2014" s="26" t="b">
        <f t="shared" si="282"/>
        <v>0</v>
      </c>
      <c r="M2014" t="b">
        <f t="shared" si="287"/>
        <v>0</v>
      </c>
      <c r="N2014" t="b">
        <f t="shared" si="288"/>
        <v>0</v>
      </c>
    </row>
    <row r="2015" spans="1:14">
      <c r="A2015" s="29">
        <v>46575</v>
      </c>
      <c r="B2015" s="30">
        <f t="shared" si="280"/>
        <v>7</v>
      </c>
      <c r="C2015" s="30">
        <f t="shared" si="283"/>
        <v>7</v>
      </c>
      <c r="D2015" s="26">
        <f>MATCH(WEEKDAY(A2015),そのた定義!A:A,0)</f>
        <v>5</v>
      </c>
      <c r="E2015" s="26" t="str">
        <f t="shared" ca="1" si="284"/>
        <v>水</v>
      </c>
      <c r="F2015" s="26">
        <f t="shared" si="285"/>
        <v>0</v>
      </c>
      <c r="G2015" s="26">
        <f>IF(ISNA(MATCH(A2015,祝日定義!E:E,0)),0,1)</f>
        <v>0</v>
      </c>
      <c r="H2015" s="26">
        <f>IF(ISNA(MATCH(B2015&amp;"/"&amp;C2015,そのた定義!E:E,0)), 0, 1)</f>
        <v>0</v>
      </c>
      <c r="I2015" s="26" t="b">
        <f t="shared" si="286"/>
        <v>0</v>
      </c>
      <c r="J2015" s="26">
        <v>0</v>
      </c>
      <c r="K2015" s="26" t="b">
        <f t="shared" si="281"/>
        <v>0</v>
      </c>
      <c r="L2015" s="26" t="b">
        <f t="shared" si="282"/>
        <v>0</v>
      </c>
      <c r="M2015" t="b">
        <f t="shared" si="287"/>
        <v>0</v>
      </c>
      <c r="N2015" t="b">
        <f t="shared" si="288"/>
        <v>0</v>
      </c>
    </row>
    <row r="2016" spans="1:14">
      <c r="A2016" s="29">
        <v>46576</v>
      </c>
      <c r="B2016" s="30">
        <f t="shared" si="280"/>
        <v>7</v>
      </c>
      <c r="C2016" s="30">
        <f t="shared" si="283"/>
        <v>8</v>
      </c>
      <c r="D2016" s="26">
        <f>MATCH(WEEKDAY(A2016),そのた定義!A:A,0)</f>
        <v>6</v>
      </c>
      <c r="E2016" s="26" t="str">
        <f t="shared" ca="1" si="284"/>
        <v>木</v>
      </c>
      <c r="F2016" s="26">
        <f t="shared" si="285"/>
        <v>0</v>
      </c>
      <c r="G2016" s="26">
        <f>IF(ISNA(MATCH(A2016,祝日定義!E:E,0)),0,1)</f>
        <v>0</v>
      </c>
      <c r="H2016" s="26">
        <f>IF(ISNA(MATCH(B2016&amp;"/"&amp;C2016,そのた定義!E:E,0)), 0, 1)</f>
        <v>0</v>
      </c>
      <c r="I2016" s="26" t="b">
        <f t="shared" si="286"/>
        <v>0</v>
      </c>
      <c r="J2016" s="26">
        <v>0</v>
      </c>
      <c r="K2016" s="26" t="b">
        <f t="shared" si="281"/>
        <v>0</v>
      </c>
      <c r="L2016" s="26" t="b">
        <f t="shared" si="282"/>
        <v>0</v>
      </c>
      <c r="M2016" t="b">
        <f t="shared" si="287"/>
        <v>0</v>
      </c>
      <c r="N2016" t="b">
        <f t="shared" si="288"/>
        <v>0</v>
      </c>
    </row>
    <row r="2017" spans="1:14">
      <c r="A2017" s="29">
        <v>46577</v>
      </c>
      <c r="B2017" s="30">
        <f t="shared" si="280"/>
        <v>7</v>
      </c>
      <c r="C2017" s="30">
        <f t="shared" si="283"/>
        <v>9</v>
      </c>
      <c r="D2017" s="26">
        <f>MATCH(WEEKDAY(A2017),そのた定義!A:A,0)</f>
        <v>7</v>
      </c>
      <c r="E2017" s="26" t="str">
        <f t="shared" ca="1" si="284"/>
        <v>金</v>
      </c>
      <c r="F2017" s="26">
        <f t="shared" si="285"/>
        <v>0</v>
      </c>
      <c r="G2017" s="26">
        <f>IF(ISNA(MATCH(A2017,祝日定義!E:E,0)),0,1)</f>
        <v>0</v>
      </c>
      <c r="H2017" s="26">
        <f>IF(ISNA(MATCH(B2017&amp;"/"&amp;C2017,そのた定義!E:E,0)), 0, 1)</f>
        <v>0</v>
      </c>
      <c r="I2017" s="26" t="b">
        <f t="shared" si="286"/>
        <v>0</v>
      </c>
      <c r="J2017" s="26">
        <v>0</v>
      </c>
      <c r="K2017" s="26" t="b">
        <f t="shared" si="281"/>
        <v>0</v>
      </c>
      <c r="L2017" s="26" t="b">
        <f t="shared" si="282"/>
        <v>0</v>
      </c>
      <c r="M2017" t="b">
        <f t="shared" si="287"/>
        <v>0</v>
      </c>
      <c r="N2017" t="b">
        <f t="shared" si="288"/>
        <v>0</v>
      </c>
    </row>
    <row r="2018" spans="1:14">
      <c r="A2018" s="29">
        <v>46578</v>
      </c>
      <c r="B2018" s="30">
        <f t="shared" si="280"/>
        <v>7</v>
      </c>
      <c r="C2018" s="30">
        <f t="shared" si="283"/>
        <v>10</v>
      </c>
      <c r="D2018" s="26">
        <f>MATCH(WEEKDAY(A2018),そのた定義!A:A,0)</f>
        <v>8</v>
      </c>
      <c r="E2018" s="33" t="str">
        <f t="shared" ca="1" si="284"/>
        <v>土</v>
      </c>
      <c r="F2018" s="26">
        <f t="shared" si="285"/>
        <v>1</v>
      </c>
      <c r="G2018" s="26">
        <f>IF(ISNA(MATCH(A2018,祝日定義!E:E,0)),0,1)</f>
        <v>0</v>
      </c>
      <c r="H2018" s="26">
        <f>IF(ISNA(MATCH(B2018&amp;"/"&amp;C2018,そのた定義!E:E,0)), 0, 1)</f>
        <v>0</v>
      </c>
      <c r="I2018" s="23" t="b">
        <f t="shared" si="286"/>
        <v>1</v>
      </c>
      <c r="J2018" s="26">
        <v>0</v>
      </c>
      <c r="K2018" s="26" t="b">
        <f t="shared" si="281"/>
        <v>0</v>
      </c>
      <c r="L2018" s="26" t="b">
        <f t="shared" si="282"/>
        <v>0</v>
      </c>
      <c r="M2018" t="b">
        <f t="shared" si="287"/>
        <v>0</v>
      </c>
      <c r="N2018" t="b">
        <f t="shared" si="288"/>
        <v>0</v>
      </c>
    </row>
    <row r="2019" spans="1:14">
      <c r="A2019" s="29">
        <v>46579</v>
      </c>
      <c r="B2019" s="30">
        <f t="shared" si="280"/>
        <v>7</v>
      </c>
      <c r="C2019" s="30">
        <f t="shared" si="283"/>
        <v>11</v>
      </c>
      <c r="D2019" s="26">
        <f>MATCH(WEEKDAY(A2019),そのた定義!A:A,0)</f>
        <v>2</v>
      </c>
      <c r="E2019" s="32" t="str">
        <f t="shared" ca="1" si="284"/>
        <v>日</v>
      </c>
      <c r="F2019" s="26">
        <f t="shared" si="285"/>
        <v>1</v>
      </c>
      <c r="G2019" s="26">
        <f>IF(ISNA(MATCH(A2019,祝日定義!E:E,0)),0,1)</f>
        <v>0</v>
      </c>
      <c r="H2019" s="26">
        <f>IF(ISNA(MATCH(B2019&amp;"/"&amp;C2019,そのた定義!E:E,0)), 0, 1)</f>
        <v>0</v>
      </c>
      <c r="I2019" s="23" t="b">
        <f t="shared" si="286"/>
        <v>1</v>
      </c>
      <c r="J2019" s="26">
        <v>0</v>
      </c>
      <c r="K2019" s="26" t="b">
        <f t="shared" si="281"/>
        <v>0</v>
      </c>
      <c r="L2019" s="26" t="b">
        <f t="shared" si="282"/>
        <v>0</v>
      </c>
      <c r="M2019" t="b">
        <f t="shared" si="287"/>
        <v>0</v>
      </c>
      <c r="N2019" t="b">
        <f t="shared" si="288"/>
        <v>0</v>
      </c>
    </row>
    <row r="2020" spans="1:14">
      <c r="A2020" s="29">
        <v>46580</v>
      </c>
      <c r="B2020" s="30">
        <f t="shared" si="280"/>
        <v>7</v>
      </c>
      <c r="C2020" s="30">
        <f t="shared" si="283"/>
        <v>12</v>
      </c>
      <c r="D2020" s="26">
        <f>MATCH(WEEKDAY(A2020),そのた定義!A:A,0)</f>
        <v>3</v>
      </c>
      <c r="E2020" s="26" t="str">
        <f t="shared" ca="1" si="284"/>
        <v>月</v>
      </c>
      <c r="F2020" s="26">
        <f t="shared" si="285"/>
        <v>0</v>
      </c>
      <c r="G2020" s="26">
        <f>IF(ISNA(MATCH(A2020,祝日定義!E:E,0)),0,1)</f>
        <v>0</v>
      </c>
      <c r="H2020" s="26">
        <f>IF(ISNA(MATCH(B2020&amp;"/"&amp;C2020,そのた定義!E:E,0)), 0, 1)</f>
        <v>0</v>
      </c>
      <c r="I2020" s="26" t="b">
        <f t="shared" si="286"/>
        <v>0</v>
      </c>
      <c r="J2020" s="26">
        <v>2</v>
      </c>
      <c r="K2020" s="26" t="b">
        <f t="shared" si="281"/>
        <v>0</v>
      </c>
      <c r="L2020" s="26" t="b">
        <f t="shared" si="282"/>
        <v>0</v>
      </c>
      <c r="M2020" t="b">
        <f t="shared" si="287"/>
        <v>0</v>
      </c>
      <c r="N2020" t="b">
        <f t="shared" si="288"/>
        <v>0</v>
      </c>
    </row>
    <row r="2021" spans="1:14">
      <c r="A2021" s="29">
        <v>46581</v>
      </c>
      <c r="B2021" s="30">
        <f t="shared" si="280"/>
        <v>7</v>
      </c>
      <c r="C2021" s="30">
        <f t="shared" si="283"/>
        <v>13</v>
      </c>
      <c r="D2021" s="26">
        <f>MATCH(WEEKDAY(A2021),そのた定義!A:A,0)</f>
        <v>4</v>
      </c>
      <c r="E2021" s="26" t="str">
        <f t="shared" ca="1" si="284"/>
        <v>火</v>
      </c>
      <c r="F2021" s="26">
        <f t="shared" si="285"/>
        <v>0</v>
      </c>
      <c r="G2021" s="26">
        <f>IF(ISNA(MATCH(A2021,祝日定義!E:E,0)),0,1)</f>
        <v>0</v>
      </c>
      <c r="H2021" s="26">
        <f>IF(ISNA(MATCH(B2021&amp;"/"&amp;C2021,そのた定義!E:E,0)), 0, 1)</f>
        <v>0</v>
      </c>
      <c r="I2021" s="26" t="b">
        <f t="shared" si="286"/>
        <v>0</v>
      </c>
      <c r="J2021" s="26">
        <v>0</v>
      </c>
      <c r="K2021" s="26" t="b">
        <f t="shared" si="281"/>
        <v>0</v>
      </c>
      <c r="L2021" s="26" t="b">
        <f t="shared" si="282"/>
        <v>0</v>
      </c>
      <c r="M2021" t="b">
        <f t="shared" si="287"/>
        <v>0</v>
      </c>
      <c r="N2021" t="b">
        <f t="shared" si="288"/>
        <v>0</v>
      </c>
    </row>
    <row r="2022" spans="1:14">
      <c r="A2022" s="29">
        <v>46582</v>
      </c>
      <c r="B2022" s="30">
        <f t="shared" si="280"/>
        <v>7</v>
      </c>
      <c r="C2022" s="30">
        <f t="shared" si="283"/>
        <v>14</v>
      </c>
      <c r="D2022" s="26">
        <f>MATCH(WEEKDAY(A2022),そのた定義!A:A,0)</f>
        <v>5</v>
      </c>
      <c r="E2022" s="26" t="str">
        <f t="shared" ca="1" si="284"/>
        <v>水</v>
      </c>
      <c r="F2022" s="26">
        <f t="shared" si="285"/>
        <v>0</v>
      </c>
      <c r="G2022" s="26">
        <f>IF(ISNA(MATCH(A2022,祝日定義!E:E,0)),0,1)</f>
        <v>0</v>
      </c>
      <c r="H2022" s="26">
        <f>IF(ISNA(MATCH(B2022&amp;"/"&amp;C2022,そのた定義!E:E,0)), 0, 1)</f>
        <v>0</v>
      </c>
      <c r="I2022" s="26" t="b">
        <f t="shared" si="286"/>
        <v>0</v>
      </c>
      <c r="J2022" s="26">
        <v>0</v>
      </c>
      <c r="K2022" s="26" t="b">
        <f t="shared" si="281"/>
        <v>0</v>
      </c>
      <c r="L2022" s="26" t="b">
        <f t="shared" si="282"/>
        <v>0</v>
      </c>
      <c r="M2022" t="b">
        <f t="shared" si="287"/>
        <v>0</v>
      </c>
      <c r="N2022" t="b">
        <f t="shared" si="288"/>
        <v>0</v>
      </c>
    </row>
    <row r="2023" spans="1:14">
      <c r="A2023" s="29">
        <v>46583</v>
      </c>
      <c r="B2023" s="30">
        <f t="shared" si="280"/>
        <v>7</v>
      </c>
      <c r="C2023" s="30">
        <f t="shared" si="283"/>
        <v>15</v>
      </c>
      <c r="D2023" s="26">
        <f>MATCH(WEEKDAY(A2023),そのた定義!A:A,0)</f>
        <v>6</v>
      </c>
      <c r="E2023" s="26" t="str">
        <f t="shared" ca="1" si="284"/>
        <v>木</v>
      </c>
      <c r="F2023" s="26">
        <f t="shared" si="285"/>
        <v>0</v>
      </c>
      <c r="G2023" s="26">
        <f>IF(ISNA(MATCH(A2023,祝日定義!E:E,0)),0,1)</f>
        <v>0</v>
      </c>
      <c r="H2023" s="26">
        <f>IF(ISNA(MATCH(B2023&amp;"/"&amp;C2023,そのた定義!E:E,0)), 0, 1)</f>
        <v>0</v>
      </c>
      <c r="I2023" s="26" t="b">
        <f t="shared" si="286"/>
        <v>0</v>
      </c>
      <c r="J2023" s="26">
        <v>0</v>
      </c>
      <c r="K2023" s="26" t="b">
        <f t="shared" si="281"/>
        <v>0</v>
      </c>
      <c r="L2023" s="26" t="b">
        <f t="shared" si="282"/>
        <v>0</v>
      </c>
      <c r="M2023" t="b">
        <f t="shared" si="287"/>
        <v>0</v>
      </c>
      <c r="N2023" t="b">
        <f t="shared" si="288"/>
        <v>0</v>
      </c>
    </row>
    <row r="2024" spans="1:14">
      <c r="A2024" s="29">
        <v>46584</v>
      </c>
      <c r="B2024" s="30">
        <f t="shared" si="280"/>
        <v>7</v>
      </c>
      <c r="C2024" s="30">
        <f t="shared" si="283"/>
        <v>16</v>
      </c>
      <c r="D2024" s="26">
        <f>MATCH(WEEKDAY(A2024),そのた定義!A:A,0)</f>
        <v>7</v>
      </c>
      <c r="E2024" s="26" t="str">
        <f t="shared" ca="1" si="284"/>
        <v>金</v>
      </c>
      <c r="F2024" s="26">
        <f t="shared" si="285"/>
        <v>0</v>
      </c>
      <c r="G2024" s="26">
        <f>IF(ISNA(MATCH(A2024,祝日定義!E:E,0)),0,1)</f>
        <v>0</v>
      </c>
      <c r="H2024" s="26">
        <f>IF(ISNA(MATCH(B2024&amp;"/"&amp;C2024,そのた定義!E:E,0)), 0, 1)</f>
        <v>0</v>
      </c>
      <c r="I2024" s="26" t="b">
        <f t="shared" si="286"/>
        <v>0</v>
      </c>
      <c r="J2024" s="26">
        <v>0</v>
      </c>
      <c r="K2024" s="26" t="b">
        <f t="shared" si="281"/>
        <v>0</v>
      </c>
      <c r="L2024" s="26" t="b">
        <f t="shared" si="282"/>
        <v>0</v>
      </c>
      <c r="M2024" t="b">
        <f t="shared" si="287"/>
        <v>0</v>
      </c>
      <c r="N2024" t="b">
        <f t="shared" si="288"/>
        <v>0</v>
      </c>
    </row>
    <row r="2025" spans="1:14">
      <c r="A2025" s="29">
        <v>46585</v>
      </c>
      <c r="B2025" s="30">
        <f t="shared" si="280"/>
        <v>7</v>
      </c>
      <c r="C2025" s="30">
        <f t="shared" si="283"/>
        <v>17</v>
      </c>
      <c r="D2025" s="26">
        <f>MATCH(WEEKDAY(A2025),そのた定義!A:A,0)</f>
        <v>8</v>
      </c>
      <c r="E2025" s="33" t="str">
        <f t="shared" ca="1" si="284"/>
        <v>土</v>
      </c>
      <c r="F2025" s="26">
        <f t="shared" si="285"/>
        <v>1</v>
      </c>
      <c r="G2025" s="26">
        <f>IF(ISNA(MATCH(A2025,祝日定義!E:E,0)),0,1)</f>
        <v>0</v>
      </c>
      <c r="H2025" s="26">
        <f>IF(ISNA(MATCH(B2025&amp;"/"&amp;C2025,そのた定義!E:E,0)), 0, 1)</f>
        <v>0</v>
      </c>
      <c r="I2025" s="23" t="b">
        <f t="shared" si="286"/>
        <v>1</v>
      </c>
      <c r="J2025" s="26">
        <v>0</v>
      </c>
      <c r="K2025" s="26" t="b">
        <f t="shared" si="281"/>
        <v>0</v>
      </c>
      <c r="L2025" s="26" t="b">
        <f t="shared" si="282"/>
        <v>0</v>
      </c>
      <c r="M2025" t="b">
        <f t="shared" si="287"/>
        <v>0</v>
      </c>
      <c r="N2025" t="b">
        <f t="shared" si="288"/>
        <v>0</v>
      </c>
    </row>
    <row r="2026" spans="1:14">
      <c r="A2026" s="29">
        <v>46586</v>
      </c>
      <c r="B2026" s="30">
        <f t="shared" si="280"/>
        <v>7</v>
      </c>
      <c r="C2026" s="30">
        <f t="shared" si="283"/>
        <v>18</v>
      </c>
      <c r="D2026" s="26">
        <f>MATCH(WEEKDAY(A2026),そのた定義!A:A,0)</f>
        <v>2</v>
      </c>
      <c r="E2026" s="32" t="str">
        <f t="shared" ca="1" si="284"/>
        <v>日</v>
      </c>
      <c r="F2026" s="26">
        <f t="shared" si="285"/>
        <v>1</v>
      </c>
      <c r="G2026" s="26">
        <f>IF(ISNA(MATCH(A2026,祝日定義!E:E,0)),0,1)</f>
        <v>0</v>
      </c>
      <c r="H2026" s="26">
        <f>IF(ISNA(MATCH(B2026&amp;"/"&amp;C2026,そのた定義!E:E,0)), 0, 1)</f>
        <v>0</v>
      </c>
      <c r="I2026" s="23" t="b">
        <f t="shared" si="286"/>
        <v>1</v>
      </c>
      <c r="J2026" s="26">
        <v>0</v>
      </c>
      <c r="K2026" s="26" t="b">
        <f t="shared" si="281"/>
        <v>0</v>
      </c>
      <c r="L2026" s="26" t="b">
        <f t="shared" si="282"/>
        <v>0</v>
      </c>
      <c r="M2026" t="b">
        <f t="shared" si="287"/>
        <v>0</v>
      </c>
      <c r="N2026" t="b">
        <f t="shared" si="288"/>
        <v>0</v>
      </c>
    </row>
    <row r="2027" spans="1:14">
      <c r="A2027" s="29">
        <v>46587</v>
      </c>
      <c r="B2027" s="30">
        <f t="shared" si="280"/>
        <v>7</v>
      </c>
      <c r="C2027" s="30">
        <f t="shared" si="283"/>
        <v>19</v>
      </c>
      <c r="D2027" s="26">
        <f>MATCH(WEEKDAY(A2027),そのた定義!A:A,0)</f>
        <v>3</v>
      </c>
      <c r="E2027" s="31" t="str">
        <f t="shared" ca="1" si="284"/>
        <v>月</v>
      </c>
      <c r="F2027" s="26">
        <f t="shared" si="285"/>
        <v>0</v>
      </c>
      <c r="G2027" s="26">
        <f>IF(ISNA(MATCH(A2027,祝日定義!E:E,0)),0,1)</f>
        <v>1</v>
      </c>
      <c r="H2027" s="26">
        <f>IF(ISNA(MATCH(B2027&amp;"/"&amp;C2027,そのた定義!E:E,0)), 0, 1)</f>
        <v>0</v>
      </c>
      <c r="I2027" s="23" t="b">
        <f t="shared" si="286"/>
        <v>1</v>
      </c>
      <c r="J2027" s="26">
        <v>0</v>
      </c>
      <c r="K2027" s="26" t="b">
        <f t="shared" si="281"/>
        <v>0</v>
      </c>
      <c r="L2027" s="26" t="b">
        <f t="shared" si="282"/>
        <v>0</v>
      </c>
      <c r="M2027" t="b">
        <f t="shared" si="287"/>
        <v>0</v>
      </c>
      <c r="N2027" t="b">
        <f t="shared" si="288"/>
        <v>0</v>
      </c>
    </row>
    <row r="2028" spans="1:14">
      <c r="A2028" s="29">
        <v>46588</v>
      </c>
      <c r="B2028" s="30">
        <f t="shared" si="280"/>
        <v>7</v>
      </c>
      <c r="C2028" s="30">
        <f t="shared" si="283"/>
        <v>20</v>
      </c>
      <c r="D2028" s="26">
        <f>MATCH(WEEKDAY(A2028),そのた定義!A:A,0)</f>
        <v>4</v>
      </c>
      <c r="E2028" s="26" t="str">
        <f t="shared" ca="1" si="284"/>
        <v>火</v>
      </c>
      <c r="F2028" s="26">
        <f t="shared" si="285"/>
        <v>0</v>
      </c>
      <c r="G2028" s="26">
        <f>IF(ISNA(MATCH(A2028,祝日定義!E:E,0)),0,1)</f>
        <v>0</v>
      </c>
      <c r="H2028" s="26">
        <f>IF(ISNA(MATCH(B2028&amp;"/"&amp;C2028,そのた定義!E:E,0)), 0, 1)</f>
        <v>0</v>
      </c>
      <c r="I2028" s="26" t="b">
        <f t="shared" si="286"/>
        <v>0</v>
      </c>
      <c r="J2028" s="26">
        <v>3</v>
      </c>
      <c r="K2028" s="26" t="b">
        <f t="shared" si="281"/>
        <v>0</v>
      </c>
      <c r="L2028" s="26" t="b">
        <f t="shared" si="282"/>
        <v>0</v>
      </c>
      <c r="M2028" t="b">
        <f t="shared" si="287"/>
        <v>0</v>
      </c>
      <c r="N2028" t="b">
        <f t="shared" si="288"/>
        <v>0</v>
      </c>
    </row>
    <row r="2029" spans="1:14">
      <c r="A2029" s="29">
        <v>46589</v>
      </c>
      <c r="B2029" s="30">
        <f t="shared" si="280"/>
        <v>7</v>
      </c>
      <c r="C2029" s="30">
        <f t="shared" si="283"/>
        <v>21</v>
      </c>
      <c r="D2029" s="26">
        <f>MATCH(WEEKDAY(A2029),そのた定義!A:A,0)</f>
        <v>5</v>
      </c>
      <c r="E2029" s="26" t="str">
        <f t="shared" ca="1" si="284"/>
        <v>水</v>
      </c>
      <c r="F2029" s="26">
        <f t="shared" si="285"/>
        <v>0</v>
      </c>
      <c r="G2029" s="26">
        <f>IF(ISNA(MATCH(A2029,祝日定義!E:E,0)),0,1)</f>
        <v>0</v>
      </c>
      <c r="H2029" s="26">
        <f>IF(ISNA(MATCH(B2029&amp;"/"&amp;C2029,そのた定義!E:E,0)), 0, 1)</f>
        <v>0</v>
      </c>
      <c r="I2029" s="26" t="b">
        <f t="shared" si="286"/>
        <v>0</v>
      </c>
      <c r="J2029" s="26">
        <v>0</v>
      </c>
      <c r="K2029" s="26" t="b">
        <f t="shared" si="281"/>
        <v>0</v>
      </c>
      <c r="L2029" s="26" t="b">
        <f t="shared" si="282"/>
        <v>0</v>
      </c>
      <c r="M2029" t="b">
        <f t="shared" si="287"/>
        <v>0</v>
      </c>
      <c r="N2029" t="b">
        <f t="shared" si="288"/>
        <v>0</v>
      </c>
    </row>
    <row r="2030" spans="1:14">
      <c r="A2030" s="29">
        <v>46590</v>
      </c>
      <c r="B2030" s="30">
        <f t="shared" si="280"/>
        <v>7</v>
      </c>
      <c r="C2030" s="30">
        <f t="shared" si="283"/>
        <v>22</v>
      </c>
      <c r="D2030" s="26">
        <f>MATCH(WEEKDAY(A2030),そのた定義!A:A,0)</f>
        <v>6</v>
      </c>
      <c r="E2030" s="26" t="str">
        <f t="shared" ca="1" si="284"/>
        <v>木</v>
      </c>
      <c r="F2030" s="26">
        <f t="shared" si="285"/>
        <v>0</v>
      </c>
      <c r="G2030" s="26">
        <f>IF(ISNA(MATCH(A2030,祝日定義!E:E,0)),0,1)</f>
        <v>0</v>
      </c>
      <c r="H2030" s="26">
        <f>IF(ISNA(MATCH(B2030&amp;"/"&amp;C2030,そのた定義!E:E,0)), 0, 1)</f>
        <v>0</v>
      </c>
      <c r="I2030" s="26" t="b">
        <f t="shared" si="286"/>
        <v>0</v>
      </c>
      <c r="J2030" s="26">
        <v>0</v>
      </c>
      <c r="K2030" s="26" t="b">
        <f t="shared" si="281"/>
        <v>0</v>
      </c>
      <c r="L2030" s="26" t="b">
        <f t="shared" si="282"/>
        <v>0</v>
      </c>
      <c r="M2030" t="b">
        <f t="shared" si="287"/>
        <v>0</v>
      </c>
      <c r="N2030" t="b">
        <f t="shared" si="288"/>
        <v>0</v>
      </c>
    </row>
    <row r="2031" spans="1:14">
      <c r="A2031" s="29">
        <v>46591</v>
      </c>
      <c r="B2031" s="30">
        <f t="shared" si="280"/>
        <v>7</v>
      </c>
      <c r="C2031" s="30">
        <f t="shared" si="283"/>
        <v>23</v>
      </c>
      <c r="D2031" s="26">
        <f>MATCH(WEEKDAY(A2031),そのた定義!A:A,0)</f>
        <v>7</v>
      </c>
      <c r="E2031" s="26" t="str">
        <f t="shared" ca="1" si="284"/>
        <v>金</v>
      </c>
      <c r="F2031" s="26">
        <f t="shared" si="285"/>
        <v>0</v>
      </c>
      <c r="G2031" s="26">
        <f>IF(ISNA(MATCH(A2031,祝日定義!E:E,0)),0,1)</f>
        <v>0</v>
      </c>
      <c r="H2031" s="26">
        <f>IF(ISNA(MATCH(B2031&amp;"/"&amp;C2031,そのた定義!E:E,0)), 0, 1)</f>
        <v>0</v>
      </c>
      <c r="I2031" s="26" t="b">
        <f t="shared" si="286"/>
        <v>0</v>
      </c>
      <c r="J2031" s="26">
        <v>0</v>
      </c>
      <c r="K2031" s="26" t="b">
        <f t="shared" si="281"/>
        <v>0</v>
      </c>
      <c r="L2031" s="26" t="b">
        <f t="shared" si="282"/>
        <v>0</v>
      </c>
      <c r="M2031" t="b">
        <f t="shared" si="287"/>
        <v>0</v>
      </c>
      <c r="N2031" t="b">
        <f t="shared" si="288"/>
        <v>0</v>
      </c>
    </row>
    <row r="2032" spans="1:14">
      <c r="A2032" s="29">
        <v>46592</v>
      </c>
      <c r="B2032" s="30">
        <f t="shared" si="280"/>
        <v>7</v>
      </c>
      <c r="C2032" s="30">
        <f t="shared" si="283"/>
        <v>24</v>
      </c>
      <c r="D2032" s="26">
        <f>MATCH(WEEKDAY(A2032),そのた定義!A:A,0)</f>
        <v>8</v>
      </c>
      <c r="E2032" s="33" t="str">
        <f t="shared" ca="1" si="284"/>
        <v>土</v>
      </c>
      <c r="F2032" s="26">
        <f t="shared" si="285"/>
        <v>1</v>
      </c>
      <c r="G2032" s="26">
        <f>IF(ISNA(MATCH(A2032,祝日定義!E:E,0)),0,1)</f>
        <v>0</v>
      </c>
      <c r="H2032" s="26">
        <f>IF(ISNA(MATCH(B2032&amp;"/"&amp;C2032,そのた定義!E:E,0)), 0, 1)</f>
        <v>0</v>
      </c>
      <c r="I2032" s="23" t="b">
        <f t="shared" si="286"/>
        <v>1</v>
      </c>
      <c r="J2032" s="26">
        <v>0</v>
      </c>
      <c r="K2032" s="26" t="b">
        <f t="shared" si="281"/>
        <v>0</v>
      </c>
      <c r="L2032" s="26" t="b">
        <f t="shared" si="282"/>
        <v>0</v>
      </c>
      <c r="M2032" t="b">
        <f t="shared" si="287"/>
        <v>0</v>
      </c>
      <c r="N2032" t="b">
        <f t="shared" si="288"/>
        <v>0</v>
      </c>
    </row>
    <row r="2033" spans="1:14">
      <c r="A2033" s="29">
        <v>46593</v>
      </c>
      <c r="B2033" s="30">
        <f t="shared" si="280"/>
        <v>7</v>
      </c>
      <c r="C2033" s="30">
        <f t="shared" si="283"/>
        <v>25</v>
      </c>
      <c r="D2033" s="26">
        <f>MATCH(WEEKDAY(A2033),そのた定義!A:A,0)</f>
        <v>2</v>
      </c>
      <c r="E2033" s="32" t="str">
        <f t="shared" ca="1" si="284"/>
        <v>日</v>
      </c>
      <c r="F2033" s="26">
        <f t="shared" si="285"/>
        <v>1</v>
      </c>
      <c r="G2033" s="26">
        <f>IF(ISNA(MATCH(A2033,祝日定義!E:E,0)),0,1)</f>
        <v>0</v>
      </c>
      <c r="H2033" s="26">
        <f>IF(ISNA(MATCH(B2033&amp;"/"&amp;C2033,そのた定義!E:E,0)), 0, 1)</f>
        <v>0</v>
      </c>
      <c r="I2033" s="23" t="b">
        <f t="shared" si="286"/>
        <v>1</v>
      </c>
      <c r="J2033" s="26">
        <v>0</v>
      </c>
      <c r="K2033" s="26" t="b">
        <f t="shared" si="281"/>
        <v>0</v>
      </c>
      <c r="L2033" s="23" t="b">
        <f t="shared" si="282"/>
        <v>1</v>
      </c>
      <c r="M2033" t="b">
        <f t="shared" si="287"/>
        <v>0</v>
      </c>
      <c r="N2033" t="b">
        <f t="shared" si="288"/>
        <v>0</v>
      </c>
    </row>
    <row r="2034" spans="1:14">
      <c r="A2034" s="29">
        <v>46594</v>
      </c>
      <c r="B2034" s="30">
        <f t="shared" si="280"/>
        <v>7</v>
      </c>
      <c r="C2034" s="30">
        <f t="shared" si="283"/>
        <v>26</v>
      </c>
      <c r="D2034" s="26">
        <f>MATCH(WEEKDAY(A2034),そのた定義!A:A,0)</f>
        <v>3</v>
      </c>
      <c r="E2034" s="26" t="str">
        <f t="shared" ca="1" si="284"/>
        <v>月</v>
      </c>
      <c r="F2034" s="26">
        <f t="shared" si="285"/>
        <v>0</v>
      </c>
      <c r="G2034" s="26">
        <f>IF(ISNA(MATCH(A2034,祝日定義!E:E,0)),0,1)</f>
        <v>0</v>
      </c>
      <c r="H2034" s="26">
        <f>IF(ISNA(MATCH(B2034&amp;"/"&amp;C2034,そのた定義!E:E,0)), 0, 1)</f>
        <v>0</v>
      </c>
      <c r="I2034" s="26" t="b">
        <f t="shared" si="286"/>
        <v>0</v>
      </c>
      <c r="J2034" s="26">
        <v>2</v>
      </c>
      <c r="K2034" s="23" t="b">
        <f t="shared" si="281"/>
        <v>1</v>
      </c>
      <c r="L2034" s="26" t="b">
        <f t="shared" si="282"/>
        <v>0</v>
      </c>
      <c r="M2034" t="b">
        <f t="shared" si="287"/>
        <v>0</v>
      </c>
      <c r="N2034" t="b">
        <f t="shared" si="288"/>
        <v>0</v>
      </c>
    </row>
    <row r="2035" spans="1:14">
      <c r="A2035" s="29">
        <v>46595</v>
      </c>
      <c r="B2035" s="30">
        <f t="shared" si="280"/>
        <v>7</v>
      </c>
      <c r="C2035" s="30">
        <f t="shared" si="283"/>
        <v>27</v>
      </c>
      <c r="D2035" s="26">
        <f>MATCH(WEEKDAY(A2035),そのた定義!A:A,0)</f>
        <v>4</v>
      </c>
      <c r="E2035" s="26" t="str">
        <f t="shared" ca="1" si="284"/>
        <v>火</v>
      </c>
      <c r="F2035" s="26">
        <f t="shared" si="285"/>
        <v>0</v>
      </c>
      <c r="G2035" s="26">
        <f>IF(ISNA(MATCH(A2035,祝日定義!E:E,0)),0,1)</f>
        <v>0</v>
      </c>
      <c r="H2035" s="26">
        <f>IF(ISNA(MATCH(B2035&amp;"/"&amp;C2035,そのた定義!E:E,0)), 0, 1)</f>
        <v>0</v>
      </c>
      <c r="I2035" s="26" t="b">
        <f t="shared" si="286"/>
        <v>0</v>
      </c>
      <c r="J2035" s="26">
        <v>0</v>
      </c>
      <c r="K2035" s="26" t="b">
        <f t="shared" si="281"/>
        <v>0</v>
      </c>
      <c r="L2035" s="26" t="b">
        <f t="shared" si="282"/>
        <v>0</v>
      </c>
      <c r="M2035" t="b">
        <f t="shared" si="287"/>
        <v>0</v>
      </c>
      <c r="N2035" t="b">
        <f t="shared" si="288"/>
        <v>0</v>
      </c>
    </row>
    <row r="2036" spans="1:14">
      <c r="A2036" s="29">
        <v>46596</v>
      </c>
      <c r="B2036" s="30">
        <f t="shared" si="280"/>
        <v>7</v>
      </c>
      <c r="C2036" s="30">
        <f t="shared" si="283"/>
        <v>28</v>
      </c>
      <c r="D2036" s="26">
        <f>MATCH(WEEKDAY(A2036),そのた定義!A:A,0)</f>
        <v>5</v>
      </c>
      <c r="E2036" s="26" t="str">
        <f t="shared" ca="1" si="284"/>
        <v>水</v>
      </c>
      <c r="F2036" s="26">
        <f t="shared" si="285"/>
        <v>0</v>
      </c>
      <c r="G2036" s="26">
        <f>IF(ISNA(MATCH(A2036,祝日定義!E:E,0)),0,1)</f>
        <v>0</v>
      </c>
      <c r="H2036" s="26">
        <f>IF(ISNA(MATCH(B2036&amp;"/"&amp;C2036,そのた定義!E:E,0)), 0, 1)</f>
        <v>0</v>
      </c>
      <c r="I2036" s="26" t="b">
        <f t="shared" si="286"/>
        <v>0</v>
      </c>
      <c r="J2036" s="26">
        <v>0</v>
      </c>
      <c r="K2036" s="26" t="b">
        <f t="shared" si="281"/>
        <v>0</v>
      </c>
      <c r="L2036" s="26" t="b">
        <f t="shared" si="282"/>
        <v>0</v>
      </c>
      <c r="M2036" t="b">
        <f t="shared" si="287"/>
        <v>0</v>
      </c>
      <c r="N2036" t="b">
        <f t="shared" si="288"/>
        <v>0</v>
      </c>
    </row>
    <row r="2037" spans="1:14">
      <c r="A2037" s="29">
        <v>46597</v>
      </c>
      <c r="B2037" s="30">
        <f t="shared" si="280"/>
        <v>7</v>
      </c>
      <c r="C2037" s="30">
        <f t="shared" si="283"/>
        <v>29</v>
      </c>
      <c r="D2037" s="26">
        <f>MATCH(WEEKDAY(A2037),そのた定義!A:A,0)</f>
        <v>6</v>
      </c>
      <c r="E2037" s="26" t="str">
        <f t="shared" ca="1" si="284"/>
        <v>木</v>
      </c>
      <c r="F2037" s="26">
        <f t="shared" si="285"/>
        <v>0</v>
      </c>
      <c r="G2037" s="26">
        <f>IF(ISNA(MATCH(A2037,祝日定義!E:E,0)),0,1)</f>
        <v>0</v>
      </c>
      <c r="H2037" s="26">
        <f>IF(ISNA(MATCH(B2037&amp;"/"&amp;C2037,そのた定義!E:E,0)), 0, 1)</f>
        <v>0</v>
      </c>
      <c r="I2037" s="26" t="b">
        <f t="shared" si="286"/>
        <v>0</v>
      </c>
      <c r="J2037" s="26">
        <v>0</v>
      </c>
      <c r="K2037" s="26" t="b">
        <f t="shared" si="281"/>
        <v>0</v>
      </c>
      <c r="L2037" s="26" t="b">
        <f t="shared" si="282"/>
        <v>0</v>
      </c>
      <c r="M2037" t="b">
        <f t="shared" si="287"/>
        <v>0</v>
      </c>
      <c r="N2037" t="b">
        <f t="shared" si="288"/>
        <v>0</v>
      </c>
    </row>
    <row r="2038" spans="1:14">
      <c r="A2038" s="29">
        <v>46598</v>
      </c>
      <c r="B2038" s="30">
        <f t="shared" si="280"/>
        <v>7</v>
      </c>
      <c r="C2038" s="30">
        <f t="shared" si="283"/>
        <v>30</v>
      </c>
      <c r="D2038" s="26">
        <f>MATCH(WEEKDAY(A2038),そのた定義!A:A,0)</f>
        <v>7</v>
      </c>
      <c r="E2038" s="26" t="str">
        <f t="shared" ca="1" si="284"/>
        <v>金</v>
      </c>
      <c r="F2038" s="26">
        <f t="shared" si="285"/>
        <v>0</v>
      </c>
      <c r="G2038" s="26">
        <f>IF(ISNA(MATCH(A2038,祝日定義!E:E,0)),0,1)</f>
        <v>0</v>
      </c>
      <c r="H2038" s="26">
        <f>IF(ISNA(MATCH(B2038&amp;"/"&amp;C2038,そのた定義!E:E,0)), 0, 1)</f>
        <v>0</v>
      </c>
      <c r="I2038" s="26" t="b">
        <f t="shared" si="286"/>
        <v>0</v>
      </c>
      <c r="J2038" s="26">
        <v>0</v>
      </c>
      <c r="K2038" s="26" t="b">
        <f t="shared" si="281"/>
        <v>0</v>
      </c>
      <c r="L2038" s="26" t="b">
        <f t="shared" si="282"/>
        <v>0</v>
      </c>
      <c r="M2038" t="b">
        <f t="shared" si="287"/>
        <v>0</v>
      </c>
      <c r="N2038" t="b">
        <f t="shared" si="288"/>
        <v>0</v>
      </c>
    </row>
    <row r="2039" spans="1:14">
      <c r="A2039" s="29">
        <v>46599</v>
      </c>
      <c r="B2039" s="30">
        <f t="shared" si="280"/>
        <v>7</v>
      </c>
      <c r="C2039" s="30">
        <f t="shared" si="283"/>
        <v>31</v>
      </c>
      <c r="D2039" s="26">
        <f>MATCH(WEEKDAY(A2039),そのた定義!A:A,0)</f>
        <v>8</v>
      </c>
      <c r="E2039" s="33" t="str">
        <f t="shared" ca="1" si="284"/>
        <v>土</v>
      </c>
      <c r="F2039" s="26">
        <f t="shared" si="285"/>
        <v>1</v>
      </c>
      <c r="G2039" s="26">
        <f>IF(ISNA(MATCH(A2039,祝日定義!E:E,0)),0,1)</f>
        <v>0</v>
      </c>
      <c r="H2039" s="26">
        <f>IF(ISNA(MATCH(B2039&amp;"/"&amp;C2039,そのた定義!E:E,0)), 0, 1)</f>
        <v>0</v>
      </c>
      <c r="I2039" s="23" t="b">
        <f t="shared" si="286"/>
        <v>1</v>
      </c>
      <c r="J2039" s="26">
        <v>0</v>
      </c>
      <c r="K2039" s="26" t="b">
        <f t="shared" si="281"/>
        <v>0</v>
      </c>
      <c r="L2039" s="26" t="b">
        <f t="shared" si="282"/>
        <v>0</v>
      </c>
      <c r="M2039" t="b">
        <f t="shared" si="287"/>
        <v>0</v>
      </c>
      <c r="N2039" t="b">
        <f t="shared" si="288"/>
        <v>1</v>
      </c>
    </row>
    <row r="2040" spans="1:14">
      <c r="A2040" s="29">
        <v>46600</v>
      </c>
      <c r="B2040" s="30">
        <f t="shared" si="280"/>
        <v>8</v>
      </c>
      <c r="C2040" s="30">
        <f t="shared" si="283"/>
        <v>1</v>
      </c>
      <c r="D2040" s="26">
        <f>MATCH(WEEKDAY(A2040),そのた定義!A:A,0)</f>
        <v>2</v>
      </c>
      <c r="E2040" s="32" t="str">
        <f t="shared" ca="1" si="284"/>
        <v>日</v>
      </c>
      <c r="F2040" s="26">
        <f t="shared" si="285"/>
        <v>1</v>
      </c>
      <c r="G2040" s="26">
        <f>IF(ISNA(MATCH(A2040,祝日定義!E:E,0)),0,1)</f>
        <v>0</v>
      </c>
      <c r="H2040" s="26">
        <f>IF(ISNA(MATCH(B2040&amp;"/"&amp;C2040,そのた定義!E:E,0)), 0, 1)</f>
        <v>0</v>
      </c>
      <c r="I2040" s="23" t="b">
        <f t="shared" si="286"/>
        <v>1</v>
      </c>
      <c r="J2040" s="26">
        <v>0</v>
      </c>
      <c r="K2040" s="26" t="b">
        <f t="shared" si="281"/>
        <v>0</v>
      </c>
      <c r="L2040" s="26" t="b">
        <f t="shared" si="282"/>
        <v>0</v>
      </c>
      <c r="M2040" t="b">
        <f t="shared" si="287"/>
        <v>0</v>
      </c>
      <c r="N2040" t="b">
        <f t="shared" si="288"/>
        <v>0</v>
      </c>
    </row>
    <row r="2041" spans="1:14">
      <c r="A2041" s="29">
        <v>46601</v>
      </c>
      <c r="B2041" s="30">
        <f t="shared" si="280"/>
        <v>8</v>
      </c>
      <c r="C2041" s="30">
        <f t="shared" si="283"/>
        <v>2</v>
      </c>
      <c r="D2041" s="26">
        <f>MATCH(WEEKDAY(A2041),そのた定義!A:A,0)</f>
        <v>3</v>
      </c>
      <c r="E2041" s="26" t="str">
        <f t="shared" ca="1" si="284"/>
        <v>月</v>
      </c>
      <c r="F2041" s="26">
        <f t="shared" si="285"/>
        <v>0</v>
      </c>
      <c r="G2041" s="26">
        <f>IF(ISNA(MATCH(A2041,祝日定義!E:E,0)),0,1)</f>
        <v>0</v>
      </c>
      <c r="H2041" s="26">
        <f>IF(ISNA(MATCH(B2041&amp;"/"&amp;C2041,そのた定義!E:E,0)), 0, 1)</f>
        <v>0</v>
      </c>
      <c r="I2041" s="26" t="b">
        <f t="shared" si="286"/>
        <v>0</v>
      </c>
      <c r="J2041" s="26">
        <v>2</v>
      </c>
      <c r="K2041" s="26" t="b">
        <f t="shared" si="281"/>
        <v>0</v>
      </c>
      <c r="L2041" s="26" t="b">
        <f t="shared" si="282"/>
        <v>0</v>
      </c>
      <c r="M2041" t="b">
        <f t="shared" si="287"/>
        <v>1</v>
      </c>
      <c r="N2041" t="b">
        <f t="shared" si="288"/>
        <v>0</v>
      </c>
    </row>
    <row r="2042" spans="1:14">
      <c r="A2042" s="29">
        <v>46602</v>
      </c>
      <c r="B2042" s="30">
        <f t="shared" si="280"/>
        <v>8</v>
      </c>
      <c r="C2042" s="30">
        <f t="shared" si="283"/>
        <v>3</v>
      </c>
      <c r="D2042" s="26">
        <f>MATCH(WEEKDAY(A2042),そのた定義!A:A,0)</f>
        <v>4</v>
      </c>
      <c r="E2042" s="26" t="str">
        <f t="shared" ca="1" si="284"/>
        <v>火</v>
      </c>
      <c r="F2042" s="26">
        <f t="shared" si="285"/>
        <v>0</v>
      </c>
      <c r="G2042" s="26">
        <f>IF(ISNA(MATCH(A2042,祝日定義!E:E,0)),0,1)</f>
        <v>0</v>
      </c>
      <c r="H2042" s="26">
        <f>IF(ISNA(MATCH(B2042&amp;"/"&amp;C2042,そのた定義!E:E,0)), 0, 1)</f>
        <v>0</v>
      </c>
      <c r="I2042" s="26" t="b">
        <f t="shared" si="286"/>
        <v>0</v>
      </c>
      <c r="J2042" s="26">
        <v>0</v>
      </c>
      <c r="K2042" s="26" t="b">
        <f t="shared" si="281"/>
        <v>0</v>
      </c>
      <c r="L2042" s="26" t="b">
        <f t="shared" si="282"/>
        <v>0</v>
      </c>
      <c r="M2042" t="b">
        <f t="shared" si="287"/>
        <v>0</v>
      </c>
      <c r="N2042" t="b">
        <f t="shared" si="288"/>
        <v>0</v>
      </c>
    </row>
    <row r="2043" spans="1:14">
      <c r="A2043" s="29">
        <v>46603</v>
      </c>
      <c r="B2043" s="30">
        <f t="shared" si="280"/>
        <v>8</v>
      </c>
      <c r="C2043" s="30">
        <f t="shared" si="283"/>
        <v>4</v>
      </c>
      <c r="D2043" s="26">
        <f>MATCH(WEEKDAY(A2043),そのた定義!A:A,0)</f>
        <v>5</v>
      </c>
      <c r="E2043" s="26" t="str">
        <f t="shared" ca="1" si="284"/>
        <v>水</v>
      </c>
      <c r="F2043" s="26">
        <f t="shared" si="285"/>
        <v>0</v>
      </c>
      <c r="G2043" s="26">
        <f>IF(ISNA(MATCH(A2043,祝日定義!E:E,0)),0,1)</f>
        <v>0</v>
      </c>
      <c r="H2043" s="26">
        <f>IF(ISNA(MATCH(B2043&amp;"/"&amp;C2043,そのた定義!E:E,0)), 0, 1)</f>
        <v>0</v>
      </c>
      <c r="I2043" s="26" t="b">
        <f t="shared" si="286"/>
        <v>0</v>
      </c>
      <c r="J2043" s="26">
        <v>0</v>
      </c>
      <c r="K2043" s="26" t="b">
        <f t="shared" si="281"/>
        <v>0</v>
      </c>
      <c r="L2043" s="26" t="b">
        <f t="shared" si="282"/>
        <v>0</v>
      </c>
      <c r="M2043" t="b">
        <f t="shared" si="287"/>
        <v>0</v>
      </c>
      <c r="N2043" t="b">
        <f t="shared" si="288"/>
        <v>0</v>
      </c>
    </row>
    <row r="2044" spans="1:14">
      <c r="A2044" s="29">
        <v>46604</v>
      </c>
      <c r="B2044" s="30">
        <f t="shared" si="280"/>
        <v>8</v>
      </c>
      <c r="C2044" s="30">
        <f t="shared" si="283"/>
        <v>5</v>
      </c>
      <c r="D2044" s="26">
        <f>MATCH(WEEKDAY(A2044),そのた定義!A:A,0)</f>
        <v>6</v>
      </c>
      <c r="E2044" s="26" t="str">
        <f t="shared" ca="1" si="284"/>
        <v>木</v>
      </c>
      <c r="F2044" s="26">
        <f t="shared" si="285"/>
        <v>0</v>
      </c>
      <c r="G2044" s="26">
        <f>IF(ISNA(MATCH(A2044,祝日定義!E:E,0)),0,1)</f>
        <v>0</v>
      </c>
      <c r="H2044" s="26">
        <f>IF(ISNA(MATCH(B2044&amp;"/"&amp;C2044,そのた定義!E:E,0)), 0, 1)</f>
        <v>0</v>
      </c>
      <c r="I2044" s="26" t="b">
        <f t="shared" si="286"/>
        <v>0</v>
      </c>
      <c r="J2044" s="26">
        <v>0</v>
      </c>
      <c r="K2044" s="26" t="b">
        <f t="shared" si="281"/>
        <v>0</v>
      </c>
      <c r="L2044" s="26" t="b">
        <f t="shared" si="282"/>
        <v>0</v>
      </c>
      <c r="M2044" t="b">
        <f t="shared" si="287"/>
        <v>0</v>
      </c>
      <c r="N2044" t="b">
        <f t="shared" si="288"/>
        <v>0</v>
      </c>
    </row>
    <row r="2045" spans="1:14">
      <c r="A2045" s="29">
        <v>46605</v>
      </c>
      <c r="B2045" s="30">
        <f t="shared" si="280"/>
        <v>8</v>
      </c>
      <c r="C2045" s="30">
        <f t="shared" si="283"/>
        <v>6</v>
      </c>
      <c r="D2045" s="26">
        <f>MATCH(WEEKDAY(A2045),そのた定義!A:A,0)</f>
        <v>7</v>
      </c>
      <c r="E2045" s="26" t="str">
        <f t="shared" ca="1" si="284"/>
        <v>金</v>
      </c>
      <c r="F2045" s="26">
        <f t="shared" si="285"/>
        <v>0</v>
      </c>
      <c r="G2045" s="26">
        <f>IF(ISNA(MATCH(A2045,祝日定義!E:E,0)),0,1)</f>
        <v>0</v>
      </c>
      <c r="H2045" s="26">
        <f>IF(ISNA(MATCH(B2045&amp;"/"&amp;C2045,そのた定義!E:E,0)), 0, 1)</f>
        <v>0</v>
      </c>
      <c r="I2045" s="26" t="b">
        <f t="shared" si="286"/>
        <v>0</v>
      </c>
      <c r="J2045" s="26">
        <v>0</v>
      </c>
      <c r="K2045" s="26" t="b">
        <f t="shared" si="281"/>
        <v>0</v>
      </c>
      <c r="L2045" s="26" t="b">
        <f t="shared" si="282"/>
        <v>0</v>
      </c>
      <c r="M2045" t="b">
        <f t="shared" si="287"/>
        <v>0</v>
      </c>
      <c r="N2045" t="b">
        <f t="shared" si="288"/>
        <v>0</v>
      </c>
    </row>
    <row r="2046" spans="1:14">
      <c r="A2046" s="29">
        <v>46606</v>
      </c>
      <c r="B2046" s="30">
        <f t="shared" si="280"/>
        <v>8</v>
      </c>
      <c r="C2046" s="30">
        <f t="shared" si="283"/>
        <v>7</v>
      </c>
      <c r="D2046" s="26">
        <f>MATCH(WEEKDAY(A2046),そのた定義!A:A,0)</f>
        <v>8</v>
      </c>
      <c r="E2046" s="33" t="str">
        <f t="shared" ca="1" si="284"/>
        <v>土</v>
      </c>
      <c r="F2046" s="26">
        <f t="shared" si="285"/>
        <v>1</v>
      </c>
      <c r="G2046" s="26">
        <f>IF(ISNA(MATCH(A2046,祝日定義!E:E,0)),0,1)</f>
        <v>0</v>
      </c>
      <c r="H2046" s="26">
        <f>IF(ISNA(MATCH(B2046&amp;"/"&amp;C2046,そのた定義!E:E,0)), 0, 1)</f>
        <v>0</v>
      </c>
      <c r="I2046" s="23" t="b">
        <f t="shared" si="286"/>
        <v>1</v>
      </c>
      <c r="J2046" s="26">
        <v>0</v>
      </c>
      <c r="K2046" s="26" t="b">
        <f t="shared" si="281"/>
        <v>0</v>
      </c>
      <c r="L2046" s="26" t="b">
        <f t="shared" si="282"/>
        <v>0</v>
      </c>
      <c r="M2046" t="b">
        <f t="shared" si="287"/>
        <v>0</v>
      </c>
      <c r="N2046" t="b">
        <f t="shared" si="288"/>
        <v>0</v>
      </c>
    </row>
    <row r="2047" spans="1:14">
      <c r="A2047" s="29">
        <v>46607</v>
      </c>
      <c r="B2047" s="30">
        <f t="shared" si="280"/>
        <v>8</v>
      </c>
      <c r="C2047" s="30">
        <f t="shared" si="283"/>
        <v>8</v>
      </c>
      <c r="D2047" s="26">
        <f>MATCH(WEEKDAY(A2047),そのた定義!A:A,0)</f>
        <v>2</v>
      </c>
      <c r="E2047" s="32" t="str">
        <f t="shared" ca="1" si="284"/>
        <v>日</v>
      </c>
      <c r="F2047" s="26">
        <f t="shared" si="285"/>
        <v>1</v>
      </c>
      <c r="G2047" s="26">
        <f>IF(ISNA(MATCH(A2047,祝日定義!E:E,0)),0,1)</f>
        <v>0</v>
      </c>
      <c r="H2047" s="26">
        <f>IF(ISNA(MATCH(B2047&amp;"/"&amp;C2047,そのた定義!E:E,0)), 0, 1)</f>
        <v>0</v>
      </c>
      <c r="I2047" s="23" t="b">
        <f t="shared" si="286"/>
        <v>1</v>
      </c>
      <c r="J2047" s="26">
        <v>0</v>
      </c>
      <c r="K2047" s="26" t="b">
        <f t="shared" si="281"/>
        <v>0</v>
      </c>
      <c r="L2047" s="26" t="b">
        <f t="shared" si="282"/>
        <v>0</v>
      </c>
      <c r="M2047" t="b">
        <f t="shared" si="287"/>
        <v>0</v>
      </c>
      <c r="N2047" t="b">
        <f t="shared" si="288"/>
        <v>0</v>
      </c>
    </row>
    <row r="2048" spans="1:14">
      <c r="A2048" s="29">
        <v>46608</v>
      </c>
      <c r="B2048" s="30">
        <f t="shared" si="280"/>
        <v>8</v>
      </c>
      <c r="C2048" s="30">
        <f t="shared" si="283"/>
        <v>9</v>
      </c>
      <c r="D2048" s="26">
        <f>MATCH(WEEKDAY(A2048),そのた定義!A:A,0)</f>
        <v>3</v>
      </c>
      <c r="E2048" s="26" t="str">
        <f t="shared" ca="1" si="284"/>
        <v>月</v>
      </c>
      <c r="F2048" s="26">
        <f t="shared" si="285"/>
        <v>0</v>
      </c>
      <c r="G2048" s="26">
        <f>IF(ISNA(MATCH(A2048,祝日定義!E:E,0)),0,1)</f>
        <v>0</v>
      </c>
      <c r="H2048" s="26">
        <f>IF(ISNA(MATCH(B2048&amp;"/"&amp;C2048,そのた定義!E:E,0)), 0, 1)</f>
        <v>0</v>
      </c>
      <c r="I2048" s="26" t="b">
        <f t="shared" si="286"/>
        <v>0</v>
      </c>
      <c r="J2048" s="26">
        <v>2</v>
      </c>
      <c r="K2048" s="26" t="b">
        <f t="shared" si="281"/>
        <v>0</v>
      </c>
      <c r="L2048" s="26" t="b">
        <f t="shared" si="282"/>
        <v>0</v>
      </c>
      <c r="M2048" t="b">
        <f t="shared" si="287"/>
        <v>0</v>
      </c>
      <c r="N2048" t="b">
        <f t="shared" si="288"/>
        <v>0</v>
      </c>
    </row>
    <row r="2049" spans="1:14">
      <c r="A2049" s="29">
        <v>46609</v>
      </c>
      <c r="B2049" s="30">
        <f t="shared" si="280"/>
        <v>8</v>
      </c>
      <c r="C2049" s="30">
        <f t="shared" si="283"/>
        <v>10</v>
      </c>
      <c r="D2049" s="26">
        <f>MATCH(WEEKDAY(A2049),そのた定義!A:A,0)</f>
        <v>4</v>
      </c>
      <c r="E2049" s="26" t="str">
        <f t="shared" ca="1" si="284"/>
        <v>火</v>
      </c>
      <c r="F2049" s="26">
        <f t="shared" si="285"/>
        <v>0</v>
      </c>
      <c r="G2049" s="26">
        <f>IF(ISNA(MATCH(A2049,祝日定義!E:E,0)),0,1)</f>
        <v>0</v>
      </c>
      <c r="H2049" s="26">
        <f>IF(ISNA(MATCH(B2049&amp;"/"&amp;C2049,そのた定義!E:E,0)), 0, 1)</f>
        <v>0</v>
      </c>
      <c r="I2049" s="26" t="b">
        <f t="shared" si="286"/>
        <v>0</v>
      </c>
      <c r="J2049" s="26">
        <v>0</v>
      </c>
      <c r="K2049" s="26" t="b">
        <f t="shared" si="281"/>
        <v>0</v>
      </c>
      <c r="L2049" s="26" t="b">
        <f t="shared" si="282"/>
        <v>0</v>
      </c>
      <c r="M2049" t="b">
        <f t="shared" si="287"/>
        <v>0</v>
      </c>
      <c r="N2049" t="b">
        <f t="shared" si="288"/>
        <v>0</v>
      </c>
    </row>
    <row r="2050" spans="1:14">
      <c r="A2050" s="29">
        <v>46610</v>
      </c>
      <c r="B2050" s="30">
        <f t="shared" ref="B2050:B2113" si="289">MONTH(A2050)</f>
        <v>8</v>
      </c>
      <c r="C2050" s="30">
        <f t="shared" si="283"/>
        <v>11</v>
      </c>
      <c r="D2050" s="26">
        <f>MATCH(WEEKDAY(A2050),そのた定義!A:A,0)</f>
        <v>5</v>
      </c>
      <c r="E2050" s="31" t="str">
        <f t="shared" ca="1" si="284"/>
        <v>水</v>
      </c>
      <c r="F2050" s="26">
        <f t="shared" si="285"/>
        <v>0</v>
      </c>
      <c r="G2050" s="26">
        <f>IF(ISNA(MATCH(A2050,祝日定義!E:E,0)),0,1)</f>
        <v>1</v>
      </c>
      <c r="H2050" s="26">
        <f>IF(ISNA(MATCH(B2050&amp;"/"&amp;C2050,そのた定義!E:E,0)), 0, 1)</f>
        <v>0</v>
      </c>
      <c r="I2050" s="23" t="b">
        <f t="shared" si="286"/>
        <v>1</v>
      </c>
      <c r="J2050" s="26">
        <v>0</v>
      </c>
      <c r="K2050" s="26" t="b">
        <f t="shared" ref="K2050:K2113" si="290">AND(C2050&gt;25,DAY(A2050-J2050)&lt;=25)</f>
        <v>0</v>
      </c>
      <c r="L2050" s="26" t="b">
        <f t="shared" ref="L2050:L2113" si="291">C2050=25</f>
        <v>0</v>
      </c>
      <c r="M2050" t="b">
        <f t="shared" si="287"/>
        <v>0</v>
      </c>
      <c r="N2050" t="b">
        <f t="shared" si="288"/>
        <v>0</v>
      </c>
    </row>
    <row r="2051" spans="1:14">
      <c r="A2051" s="29">
        <v>46611</v>
      </c>
      <c r="B2051" s="30">
        <f t="shared" si="289"/>
        <v>8</v>
      </c>
      <c r="C2051" s="30">
        <f t="shared" ref="C2051:C2114" si="292">DAY(A2051)</f>
        <v>12</v>
      </c>
      <c r="D2051" s="26">
        <f>MATCH(WEEKDAY(A2051),そのた定義!A:A,0)</f>
        <v>6</v>
      </c>
      <c r="E2051" s="26" t="str">
        <f t="shared" ref="E2051:E2114" ca="1" si="293">INDIRECT("そのた定義!"&amp;"B"&amp;D2051)</f>
        <v>木</v>
      </c>
      <c r="F2051" s="26">
        <f t="shared" ref="F2051:F2114" si="294">IF(OR(D2051=8,D2051=2),1,0)</f>
        <v>0</v>
      </c>
      <c r="G2051" s="26">
        <f>IF(ISNA(MATCH(A2051,祝日定義!E:E,0)),0,1)</f>
        <v>0</v>
      </c>
      <c r="H2051" s="26">
        <f>IF(ISNA(MATCH(B2051&amp;"/"&amp;C2051,そのた定義!E:E,0)), 0, 1)</f>
        <v>0</v>
      </c>
      <c r="I2051" s="26" t="b">
        <f t="shared" ref="I2051:I2114" si="295">SUM(F2051:H2051)&gt;0</f>
        <v>0</v>
      </c>
      <c r="J2051" s="26">
        <v>1</v>
      </c>
      <c r="K2051" s="26" t="b">
        <f t="shared" si="290"/>
        <v>0</v>
      </c>
      <c r="L2051" s="26" t="b">
        <f t="shared" si="291"/>
        <v>0</v>
      </c>
      <c r="M2051" t="b">
        <f t="shared" ref="M2051:M2114" si="296">B2051&lt;&gt;MONTH(A2051-J2051)</f>
        <v>0</v>
      </c>
      <c r="N2051" t="b">
        <f t="shared" ref="N2051:N2114" si="297">B2051&lt;&gt;MONTH(A2051+1)</f>
        <v>0</v>
      </c>
    </row>
    <row r="2052" spans="1:14">
      <c r="A2052" s="29">
        <v>46612</v>
      </c>
      <c r="B2052" s="30">
        <f t="shared" si="289"/>
        <v>8</v>
      </c>
      <c r="C2052" s="30">
        <f t="shared" si="292"/>
        <v>13</v>
      </c>
      <c r="D2052" s="26">
        <f>MATCH(WEEKDAY(A2052),そのた定義!A:A,0)</f>
        <v>7</v>
      </c>
      <c r="E2052" s="26" t="str">
        <f t="shared" ca="1" si="293"/>
        <v>金</v>
      </c>
      <c r="F2052" s="26">
        <f t="shared" si="294"/>
        <v>0</v>
      </c>
      <c r="G2052" s="26">
        <f>IF(ISNA(MATCH(A2052,祝日定義!E:E,0)),0,1)</f>
        <v>0</v>
      </c>
      <c r="H2052" s="26">
        <f>IF(ISNA(MATCH(B2052&amp;"/"&amp;C2052,そのた定義!E:E,0)), 0, 1)</f>
        <v>0</v>
      </c>
      <c r="I2052" s="26" t="b">
        <f t="shared" si="295"/>
        <v>0</v>
      </c>
      <c r="J2052" s="26">
        <v>0</v>
      </c>
      <c r="K2052" s="26" t="b">
        <f t="shared" si="290"/>
        <v>0</v>
      </c>
      <c r="L2052" s="26" t="b">
        <f t="shared" si="291"/>
        <v>0</v>
      </c>
      <c r="M2052" t="b">
        <f t="shared" si="296"/>
        <v>0</v>
      </c>
      <c r="N2052" t="b">
        <f t="shared" si="297"/>
        <v>0</v>
      </c>
    </row>
    <row r="2053" spans="1:14">
      <c r="A2053" s="29">
        <v>46613</v>
      </c>
      <c r="B2053" s="30">
        <f t="shared" si="289"/>
        <v>8</v>
      </c>
      <c r="C2053" s="30">
        <f t="shared" si="292"/>
        <v>14</v>
      </c>
      <c r="D2053" s="26">
        <f>MATCH(WEEKDAY(A2053),そのた定義!A:A,0)</f>
        <v>8</v>
      </c>
      <c r="E2053" s="33" t="str">
        <f t="shared" ca="1" si="293"/>
        <v>土</v>
      </c>
      <c r="F2053" s="26">
        <f t="shared" si="294"/>
        <v>1</v>
      </c>
      <c r="G2053" s="26">
        <f>IF(ISNA(MATCH(A2053,祝日定義!E:E,0)),0,1)</f>
        <v>0</v>
      </c>
      <c r="H2053" s="26">
        <f>IF(ISNA(MATCH(B2053&amp;"/"&amp;C2053,そのた定義!E:E,0)), 0, 1)</f>
        <v>0</v>
      </c>
      <c r="I2053" s="23" t="b">
        <f t="shared" si="295"/>
        <v>1</v>
      </c>
      <c r="J2053" s="26">
        <v>0</v>
      </c>
      <c r="K2053" s="26" t="b">
        <f t="shared" si="290"/>
        <v>0</v>
      </c>
      <c r="L2053" s="26" t="b">
        <f t="shared" si="291"/>
        <v>0</v>
      </c>
      <c r="M2053" t="b">
        <f t="shared" si="296"/>
        <v>0</v>
      </c>
      <c r="N2053" t="b">
        <f t="shared" si="297"/>
        <v>0</v>
      </c>
    </row>
    <row r="2054" spans="1:14">
      <c r="A2054" s="29">
        <v>46614</v>
      </c>
      <c r="B2054" s="30">
        <f t="shared" si="289"/>
        <v>8</v>
      </c>
      <c r="C2054" s="30">
        <f t="shared" si="292"/>
        <v>15</v>
      </c>
      <c r="D2054" s="26">
        <f>MATCH(WEEKDAY(A2054),そのた定義!A:A,0)</f>
        <v>2</v>
      </c>
      <c r="E2054" s="32" t="str">
        <f t="shared" ca="1" si="293"/>
        <v>日</v>
      </c>
      <c r="F2054" s="26">
        <f t="shared" si="294"/>
        <v>1</v>
      </c>
      <c r="G2054" s="26">
        <f>IF(ISNA(MATCH(A2054,祝日定義!E:E,0)),0,1)</f>
        <v>0</v>
      </c>
      <c r="H2054" s="26">
        <f>IF(ISNA(MATCH(B2054&amp;"/"&amp;C2054,そのた定義!E:E,0)), 0, 1)</f>
        <v>0</v>
      </c>
      <c r="I2054" s="23" t="b">
        <f t="shared" si="295"/>
        <v>1</v>
      </c>
      <c r="J2054" s="26">
        <v>0</v>
      </c>
      <c r="K2054" s="26" t="b">
        <f t="shared" si="290"/>
        <v>0</v>
      </c>
      <c r="L2054" s="26" t="b">
        <f t="shared" si="291"/>
        <v>0</v>
      </c>
      <c r="M2054" t="b">
        <f t="shared" si="296"/>
        <v>0</v>
      </c>
      <c r="N2054" t="b">
        <f t="shared" si="297"/>
        <v>0</v>
      </c>
    </row>
    <row r="2055" spans="1:14">
      <c r="A2055" s="29">
        <v>46615</v>
      </c>
      <c r="B2055" s="30">
        <f t="shared" si="289"/>
        <v>8</v>
      </c>
      <c r="C2055" s="30">
        <f t="shared" si="292"/>
        <v>16</v>
      </c>
      <c r="D2055" s="26">
        <f>MATCH(WEEKDAY(A2055),そのた定義!A:A,0)</f>
        <v>3</v>
      </c>
      <c r="E2055" s="26" t="str">
        <f t="shared" ca="1" si="293"/>
        <v>月</v>
      </c>
      <c r="F2055" s="26">
        <f t="shared" si="294"/>
        <v>0</v>
      </c>
      <c r="G2055" s="26">
        <f>IF(ISNA(MATCH(A2055,祝日定義!E:E,0)),0,1)</f>
        <v>0</v>
      </c>
      <c r="H2055" s="26">
        <f>IF(ISNA(MATCH(B2055&amp;"/"&amp;C2055,そのた定義!E:E,0)), 0, 1)</f>
        <v>0</v>
      </c>
      <c r="I2055" s="26" t="b">
        <f t="shared" si="295"/>
        <v>0</v>
      </c>
      <c r="J2055" s="26">
        <v>2</v>
      </c>
      <c r="K2055" s="26" t="b">
        <f t="shared" si="290"/>
        <v>0</v>
      </c>
      <c r="L2055" s="26" t="b">
        <f t="shared" si="291"/>
        <v>0</v>
      </c>
      <c r="M2055" t="b">
        <f t="shared" si="296"/>
        <v>0</v>
      </c>
      <c r="N2055" t="b">
        <f t="shared" si="297"/>
        <v>0</v>
      </c>
    </row>
    <row r="2056" spans="1:14">
      <c r="A2056" s="29">
        <v>46616</v>
      </c>
      <c r="B2056" s="30">
        <f t="shared" si="289"/>
        <v>8</v>
      </c>
      <c r="C2056" s="30">
        <f t="shared" si="292"/>
        <v>17</v>
      </c>
      <c r="D2056" s="26">
        <f>MATCH(WEEKDAY(A2056),そのた定義!A:A,0)</f>
        <v>4</v>
      </c>
      <c r="E2056" s="26" t="str">
        <f t="shared" ca="1" si="293"/>
        <v>火</v>
      </c>
      <c r="F2056" s="26">
        <f t="shared" si="294"/>
        <v>0</v>
      </c>
      <c r="G2056" s="26">
        <f>IF(ISNA(MATCH(A2056,祝日定義!E:E,0)),0,1)</f>
        <v>0</v>
      </c>
      <c r="H2056" s="26">
        <f>IF(ISNA(MATCH(B2056&amp;"/"&amp;C2056,そのた定義!E:E,0)), 0, 1)</f>
        <v>0</v>
      </c>
      <c r="I2056" s="26" t="b">
        <f t="shared" si="295"/>
        <v>0</v>
      </c>
      <c r="J2056" s="26">
        <v>0</v>
      </c>
      <c r="K2056" s="26" t="b">
        <f t="shared" si="290"/>
        <v>0</v>
      </c>
      <c r="L2056" s="26" t="b">
        <f t="shared" si="291"/>
        <v>0</v>
      </c>
      <c r="M2056" t="b">
        <f t="shared" si="296"/>
        <v>0</v>
      </c>
      <c r="N2056" t="b">
        <f t="shared" si="297"/>
        <v>0</v>
      </c>
    </row>
    <row r="2057" spans="1:14">
      <c r="A2057" s="29">
        <v>46617</v>
      </c>
      <c r="B2057" s="30">
        <f t="shared" si="289"/>
        <v>8</v>
      </c>
      <c r="C2057" s="30">
        <f t="shared" si="292"/>
        <v>18</v>
      </c>
      <c r="D2057" s="26">
        <f>MATCH(WEEKDAY(A2057),そのた定義!A:A,0)</f>
        <v>5</v>
      </c>
      <c r="E2057" s="26" t="str">
        <f t="shared" ca="1" si="293"/>
        <v>水</v>
      </c>
      <c r="F2057" s="26">
        <f t="shared" si="294"/>
        <v>0</v>
      </c>
      <c r="G2057" s="26">
        <f>IF(ISNA(MATCH(A2057,祝日定義!E:E,0)),0,1)</f>
        <v>0</v>
      </c>
      <c r="H2057" s="26">
        <f>IF(ISNA(MATCH(B2057&amp;"/"&amp;C2057,そのた定義!E:E,0)), 0, 1)</f>
        <v>0</v>
      </c>
      <c r="I2057" s="26" t="b">
        <f t="shared" si="295"/>
        <v>0</v>
      </c>
      <c r="J2057" s="26">
        <v>0</v>
      </c>
      <c r="K2057" s="26" t="b">
        <f t="shared" si="290"/>
        <v>0</v>
      </c>
      <c r="L2057" s="26" t="b">
        <f t="shared" si="291"/>
        <v>0</v>
      </c>
      <c r="M2057" t="b">
        <f t="shared" si="296"/>
        <v>0</v>
      </c>
      <c r="N2057" t="b">
        <f t="shared" si="297"/>
        <v>0</v>
      </c>
    </row>
    <row r="2058" spans="1:14">
      <c r="A2058" s="29">
        <v>46618</v>
      </c>
      <c r="B2058" s="30">
        <f t="shared" si="289"/>
        <v>8</v>
      </c>
      <c r="C2058" s="30">
        <f t="shared" si="292"/>
        <v>19</v>
      </c>
      <c r="D2058" s="26">
        <f>MATCH(WEEKDAY(A2058),そのた定義!A:A,0)</f>
        <v>6</v>
      </c>
      <c r="E2058" s="26" t="str">
        <f t="shared" ca="1" si="293"/>
        <v>木</v>
      </c>
      <c r="F2058" s="26">
        <f t="shared" si="294"/>
        <v>0</v>
      </c>
      <c r="G2058" s="26">
        <f>IF(ISNA(MATCH(A2058,祝日定義!E:E,0)),0,1)</f>
        <v>0</v>
      </c>
      <c r="H2058" s="26">
        <f>IF(ISNA(MATCH(B2058&amp;"/"&amp;C2058,そのた定義!E:E,0)), 0, 1)</f>
        <v>0</v>
      </c>
      <c r="I2058" s="26" t="b">
        <f t="shared" si="295"/>
        <v>0</v>
      </c>
      <c r="J2058" s="26">
        <v>0</v>
      </c>
      <c r="K2058" s="26" t="b">
        <f t="shared" si="290"/>
        <v>0</v>
      </c>
      <c r="L2058" s="26" t="b">
        <f t="shared" si="291"/>
        <v>0</v>
      </c>
      <c r="M2058" t="b">
        <f t="shared" si="296"/>
        <v>0</v>
      </c>
      <c r="N2058" t="b">
        <f t="shared" si="297"/>
        <v>0</v>
      </c>
    </row>
    <row r="2059" spans="1:14">
      <c r="A2059" s="29">
        <v>46619</v>
      </c>
      <c r="B2059" s="30">
        <f t="shared" si="289"/>
        <v>8</v>
      </c>
      <c r="C2059" s="30">
        <f t="shared" si="292"/>
        <v>20</v>
      </c>
      <c r="D2059" s="26">
        <f>MATCH(WEEKDAY(A2059),そのた定義!A:A,0)</f>
        <v>7</v>
      </c>
      <c r="E2059" s="26" t="str">
        <f t="shared" ca="1" si="293"/>
        <v>金</v>
      </c>
      <c r="F2059" s="26">
        <f t="shared" si="294"/>
        <v>0</v>
      </c>
      <c r="G2059" s="26">
        <f>IF(ISNA(MATCH(A2059,祝日定義!E:E,0)),0,1)</f>
        <v>0</v>
      </c>
      <c r="H2059" s="26">
        <f>IF(ISNA(MATCH(B2059&amp;"/"&amp;C2059,そのた定義!E:E,0)), 0, 1)</f>
        <v>0</v>
      </c>
      <c r="I2059" s="26" t="b">
        <f t="shared" si="295"/>
        <v>0</v>
      </c>
      <c r="J2059" s="26">
        <v>0</v>
      </c>
      <c r="K2059" s="26" t="b">
        <f t="shared" si="290"/>
        <v>0</v>
      </c>
      <c r="L2059" s="26" t="b">
        <f t="shared" si="291"/>
        <v>0</v>
      </c>
      <c r="M2059" t="b">
        <f t="shared" si="296"/>
        <v>0</v>
      </c>
      <c r="N2059" t="b">
        <f t="shared" si="297"/>
        <v>0</v>
      </c>
    </row>
    <row r="2060" spans="1:14">
      <c r="A2060" s="29">
        <v>46620</v>
      </c>
      <c r="B2060" s="30">
        <f t="shared" si="289"/>
        <v>8</v>
      </c>
      <c r="C2060" s="30">
        <f t="shared" si="292"/>
        <v>21</v>
      </c>
      <c r="D2060" s="26">
        <f>MATCH(WEEKDAY(A2060),そのた定義!A:A,0)</f>
        <v>8</v>
      </c>
      <c r="E2060" s="33" t="str">
        <f t="shared" ca="1" si="293"/>
        <v>土</v>
      </c>
      <c r="F2060" s="26">
        <f t="shared" si="294"/>
        <v>1</v>
      </c>
      <c r="G2060" s="26">
        <f>IF(ISNA(MATCH(A2060,祝日定義!E:E,0)),0,1)</f>
        <v>0</v>
      </c>
      <c r="H2060" s="26">
        <f>IF(ISNA(MATCH(B2060&amp;"/"&amp;C2060,そのた定義!E:E,0)), 0, 1)</f>
        <v>0</v>
      </c>
      <c r="I2060" s="23" t="b">
        <f t="shared" si="295"/>
        <v>1</v>
      </c>
      <c r="J2060" s="26">
        <v>0</v>
      </c>
      <c r="K2060" s="26" t="b">
        <f t="shared" si="290"/>
        <v>0</v>
      </c>
      <c r="L2060" s="26" t="b">
        <f t="shared" si="291"/>
        <v>0</v>
      </c>
      <c r="M2060" t="b">
        <f t="shared" si="296"/>
        <v>0</v>
      </c>
      <c r="N2060" t="b">
        <f t="shared" si="297"/>
        <v>0</v>
      </c>
    </row>
    <row r="2061" spans="1:14">
      <c r="A2061" s="29">
        <v>46621</v>
      </c>
      <c r="B2061" s="30">
        <f t="shared" si="289"/>
        <v>8</v>
      </c>
      <c r="C2061" s="30">
        <f t="shared" si="292"/>
        <v>22</v>
      </c>
      <c r="D2061" s="26">
        <f>MATCH(WEEKDAY(A2061),そのた定義!A:A,0)</f>
        <v>2</v>
      </c>
      <c r="E2061" s="32" t="str">
        <f t="shared" ca="1" si="293"/>
        <v>日</v>
      </c>
      <c r="F2061" s="26">
        <f t="shared" si="294"/>
        <v>1</v>
      </c>
      <c r="G2061" s="26">
        <f>IF(ISNA(MATCH(A2061,祝日定義!E:E,0)),0,1)</f>
        <v>0</v>
      </c>
      <c r="H2061" s="26">
        <f>IF(ISNA(MATCH(B2061&amp;"/"&amp;C2061,そのた定義!E:E,0)), 0, 1)</f>
        <v>0</v>
      </c>
      <c r="I2061" s="23" t="b">
        <f t="shared" si="295"/>
        <v>1</v>
      </c>
      <c r="J2061" s="26">
        <v>0</v>
      </c>
      <c r="K2061" s="26" t="b">
        <f t="shared" si="290"/>
        <v>0</v>
      </c>
      <c r="L2061" s="26" t="b">
        <f t="shared" si="291"/>
        <v>0</v>
      </c>
      <c r="M2061" t="b">
        <f t="shared" si="296"/>
        <v>0</v>
      </c>
      <c r="N2061" t="b">
        <f t="shared" si="297"/>
        <v>0</v>
      </c>
    </row>
    <row r="2062" spans="1:14">
      <c r="A2062" s="29">
        <v>46622</v>
      </c>
      <c r="B2062" s="30">
        <f t="shared" si="289"/>
        <v>8</v>
      </c>
      <c r="C2062" s="30">
        <f t="shared" si="292"/>
        <v>23</v>
      </c>
      <c r="D2062" s="26">
        <f>MATCH(WEEKDAY(A2062),そのた定義!A:A,0)</f>
        <v>3</v>
      </c>
      <c r="E2062" s="26" t="str">
        <f t="shared" ca="1" si="293"/>
        <v>月</v>
      </c>
      <c r="F2062" s="26">
        <f t="shared" si="294"/>
        <v>0</v>
      </c>
      <c r="G2062" s="26">
        <f>IF(ISNA(MATCH(A2062,祝日定義!E:E,0)),0,1)</f>
        <v>0</v>
      </c>
      <c r="H2062" s="26">
        <f>IF(ISNA(MATCH(B2062&amp;"/"&amp;C2062,そのた定義!E:E,0)), 0, 1)</f>
        <v>0</v>
      </c>
      <c r="I2062" s="26" t="b">
        <f t="shared" si="295"/>
        <v>0</v>
      </c>
      <c r="J2062" s="26">
        <v>2</v>
      </c>
      <c r="K2062" s="26" t="b">
        <f t="shared" si="290"/>
        <v>0</v>
      </c>
      <c r="L2062" s="26" t="b">
        <f t="shared" si="291"/>
        <v>0</v>
      </c>
      <c r="M2062" t="b">
        <f t="shared" si="296"/>
        <v>0</v>
      </c>
      <c r="N2062" t="b">
        <f t="shared" si="297"/>
        <v>0</v>
      </c>
    </row>
    <row r="2063" spans="1:14">
      <c r="A2063" s="29">
        <v>46623</v>
      </c>
      <c r="B2063" s="30">
        <f t="shared" si="289"/>
        <v>8</v>
      </c>
      <c r="C2063" s="30">
        <f t="shared" si="292"/>
        <v>24</v>
      </c>
      <c r="D2063" s="26">
        <f>MATCH(WEEKDAY(A2063),そのた定義!A:A,0)</f>
        <v>4</v>
      </c>
      <c r="E2063" s="26" t="str">
        <f t="shared" ca="1" si="293"/>
        <v>火</v>
      </c>
      <c r="F2063" s="26">
        <f t="shared" si="294"/>
        <v>0</v>
      </c>
      <c r="G2063" s="26">
        <f>IF(ISNA(MATCH(A2063,祝日定義!E:E,0)),0,1)</f>
        <v>0</v>
      </c>
      <c r="H2063" s="26">
        <f>IF(ISNA(MATCH(B2063&amp;"/"&amp;C2063,そのた定義!E:E,0)), 0, 1)</f>
        <v>0</v>
      </c>
      <c r="I2063" s="26" t="b">
        <f t="shared" si="295"/>
        <v>0</v>
      </c>
      <c r="J2063" s="26">
        <v>0</v>
      </c>
      <c r="K2063" s="26" t="b">
        <f t="shared" si="290"/>
        <v>0</v>
      </c>
      <c r="L2063" s="26" t="b">
        <f t="shared" si="291"/>
        <v>0</v>
      </c>
      <c r="M2063" t="b">
        <f t="shared" si="296"/>
        <v>0</v>
      </c>
      <c r="N2063" t="b">
        <f t="shared" si="297"/>
        <v>0</v>
      </c>
    </row>
    <row r="2064" spans="1:14">
      <c r="A2064" s="29">
        <v>46624</v>
      </c>
      <c r="B2064" s="30">
        <f t="shared" si="289"/>
        <v>8</v>
      </c>
      <c r="C2064" s="30">
        <f t="shared" si="292"/>
        <v>25</v>
      </c>
      <c r="D2064" s="26">
        <f>MATCH(WEEKDAY(A2064),そのた定義!A:A,0)</f>
        <v>5</v>
      </c>
      <c r="E2064" s="26" t="str">
        <f t="shared" ca="1" si="293"/>
        <v>水</v>
      </c>
      <c r="F2064" s="26">
        <f t="shared" si="294"/>
        <v>0</v>
      </c>
      <c r="G2064" s="26">
        <f>IF(ISNA(MATCH(A2064,祝日定義!E:E,0)),0,1)</f>
        <v>0</v>
      </c>
      <c r="H2064" s="26">
        <f>IF(ISNA(MATCH(B2064&amp;"/"&amp;C2064,そのた定義!E:E,0)), 0, 1)</f>
        <v>0</v>
      </c>
      <c r="I2064" s="26" t="b">
        <f t="shared" si="295"/>
        <v>0</v>
      </c>
      <c r="J2064" s="26">
        <v>0</v>
      </c>
      <c r="K2064" s="26" t="b">
        <f t="shared" si="290"/>
        <v>0</v>
      </c>
      <c r="L2064" s="23" t="b">
        <f t="shared" si="291"/>
        <v>1</v>
      </c>
      <c r="M2064" t="b">
        <f t="shared" si="296"/>
        <v>0</v>
      </c>
      <c r="N2064" t="b">
        <f t="shared" si="297"/>
        <v>0</v>
      </c>
    </row>
    <row r="2065" spans="1:14">
      <c r="A2065" s="29">
        <v>46625</v>
      </c>
      <c r="B2065" s="30">
        <f t="shared" si="289"/>
        <v>8</v>
      </c>
      <c r="C2065" s="30">
        <f t="shared" si="292"/>
        <v>26</v>
      </c>
      <c r="D2065" s="26">
        <f>MATCH(WEEKDAY(A2065),そのた定義!A:A,0)</f>
        <v>6</v>
      </c>
      <c r="E2065" s="26" t="str">
        <f t="shared" ca="1" si="293"/>
        <v>木</v>
      </c>
      <c r="F2065" s="26">
        <f t="shared" si="294"/>
        <v>0</v>
      </c>
      <c r="G2065" s="26">
        <f>IF(ISNA(MATCH(A2065,祝日定義!E:E,0)),0,1)</f>
        <v>0</v>
      </c>
      <c r="H2065" s="26">
        <f>IF(ISNA(MATCH(B2065&amp;"/"&amp;C2065,そのた定義!E:E,0)), 0, 1)</f>
        <v>0</v>
      </c>
      <c r="I2065" s="26" t="b">
        <f t="shared" si="295"/>
        <v>0</v>
      </c>
      <c r="J2065" s="26">
        <v>0</v>
      </c>
      <c r="K2065" s="26" t="b">
        <f t="shared" si="290"/>
        <v>0</v>
      </c>
      <c r="L2065" s="26" t="b">
        <f t="shared" si="291"/>
        <v>0</v>
      </c>
      <c r="M2065" t="b">
        <f t="shared" si="296"/>
        <v>0</v>
      </c>
      <c r="N2065" t="b">
        <f t="shared" si="297"/>
        <v>0</v>
      </c>
    </row>
    <row r="2066" spans="1:14">
      <c r="A2066" s="29">
        <v>46626</v>
      </c>
      <c r="B2066" s="30">
        <f t="shared" si="289"/>
        <v>8</v>
      </c>
      <c r="C2066" s="30">
        <f t="shared" si="292"/>
        <v>27</v>
      </c>
      <c r="D2066" s="26">
        <f>MATCH(WEEKDAY(A2066),そのた定義!A:A,0)</f>
        <v>7</v>
      </c>
      <c r="E2066" s="26" t="str">
        <f t="shared" ca="1" si="293"/>
        <v>金</v>
      </c>
      <c r="F2066" s="26">
        <f t="shared" si="294"/>
        <v>0</v>
      </c>
      <c r="G2066" s="26">
        <f>IF(ISNA(MATCH(A2066,祝日定義!E:E,0)),0,1)</f>
        <v>0</v>
      </c>
      <c r="H2066" s="26">
        <f>IF(ISNA(MATCH(B2066&amp;"/"&amp;C2066,そのた定義!E:E,0)), 0, 1)</f>
        <v>0</v>
      </c>
      <c r="I2066" s="26" t="b">
        <f t="shared" si="295"/>
        <v>0</v>
      </c>
      <c r="J2066" s="26">
        <v>0</v>
      </c>
      <c r="K2066" s="26" t="b">
        <f t="shared" si="290"/>
        <v>0</v>
      </c>
      <c r="L2066" s="26" t="b">
        <f t="shared" si="291"/>
        <v>0</v>
      </c>
      <c r="M2066" t="b">
        <f t="shared" si="296"/>
        <v>0</v>
      </c>
      <c r="N2066" t="b">
        <f t="shared" si="297"/>
        <v>0</v>
      </c>
    </row>
    <row r="2067" spans="1:14">
      <c r="A2067" s="29">
        <v>46627</v>
      </c>
      <c r="B2067" s="30">
        <f t="shared" si="289"/>
        <v>8</v>
      </c>
      <c r="C2067" s="30">
        <f t="shared" si="292"/>
        <v>28</v>
      </c>
      <c r="D2067" s="26">
        <f>MATCH(WEEKDAY(A2067),そのた定義!A:A,0)</f>
        <v>8</v>
      </c>
      <c r="E2067" s="33" t="str">
        <f t="shared" ca="1" si="293"/>
        <v>土</v>
      </c>
      <c r="F2067" s="26">
        <f t="shared" si="294"/>
        <v>1</v>
      </c>
      <c r="G2067" s="26">
        <f>IF(ISNA(MATCH(A2067,祝日定義!E:E,0)),0,1)</f>
        <v>0</v>
      </c>
      <c r="H2067" s="26">
        <f>IF(ISNA(MATCH(B2067&amp;"/"&amp;C2067,そのた定義!E:E,0)), 0, 1)</f>
        <v>0</v>
      </c>
      <c r="I2067" s="23" t="b">
        <f t="shared" si="295"/>
        <v>1</v>
      </c>
      <c r="J2067" s="26">
        <v>0</v>
      </c>
      <c r="K2067" s="26" t="b">
        <f t="shared" si="290"/>
        <v>0</v>
      </c>
      <c r="L2067" s="26" t="b">
        <f t="shared" si="291"/>
        <v>0</v>
      </c>
      <c r="M2067" t="b">
        <f t="shared" si="296"/>
        <v>0</v>
      </c>
      <c r="N2067" t="b">
        <f t="shared" si="297"/>
        <v>0</v>
      </c>
    </row>
    <row r="2068" spans="1:14">
      <c r="A2068" s="29">
        <v>46628</v>
      </c>
      <c r="B2068" s="30">
        <f t="shared" si="289"/>
        <v>8</v>
      </c>
      <c r="C2068" s="30">
        <f t="shared" si="292"/>
        <v>29</v>
      </c>
      <c r="D2068" s="26">
        <f>MATCH(WEEKDAY(A2068),そのた定義!A:A,0)</f>
        <v>2</v>
      </c>
      <c r="E2068" s="32" t="str">
        <f t="shared" ca="1" si="293"/>
        <v>日</v>
      </c>
      <c r="F2068" s="26">
        <f t="shared" si="294"/>
        <v>1</v>
      </c>
      <c r="G2068" s="26">
        <f>IF(ISNA(MATCH(A2068,祝日定義!E:E,0)),0,1)</f>
        <v>0</v>
      </c>
      <c r="H2068" s="26">
        <f>IF(ISNA(MATCH(B2068&amp;"/"&amp;C2068,そのた定義!E:E,0)), 0, 1)</f>
        <v>0</v>
      </c>
      <c r="I2068" s="23" t="b">
        <f t="shared" si="295"/>
        <v>1</v>
      </c>
      <c r="J2068" s="26">
        <v>0</v>
      </c>
      <c r="K2068" s="26" t="b">
        <f t="shared" si="290"/>
        <v>0</v>
      </c>
      <c r="L2068" s="26" t="b">
        <f t="shared" si="291"/>
        <v>0</v>
      </c>
      <c r="M2068" t="b">
        <f t="shared" si="296"/>
        <v>0</v>
      </c>
      <c r="N2068" t="b">
        <f t="shared" si="297"/>
        <v>0</v>
      </c>
    </row>
    <row r="2069" spans="1:14">
      <c r="A2069" s="29">
        <v>46629</v>
      </c>
      <c r="B2069" s="30">
        <f t="shared" si="289"/>
        <v>8</v>
      </c>
      <c r="C2069" s="30">
        <f t="shared" si="292"/>
        <v>30</v>
      </c>
      <c r="D2069" s="26">
        <f>MATCH(WEEKDAY(A2069),そのた定義!A:A,0)</f>
        <v>3</v>
      </c>
      <c r="E2069" s="26" t="str">
        <f t="shared" ca="1" si="293"/>
        <v>月</v>
      </c>
      <c r="F2069" s="26">
        <f t="shared" si="294"/>
        <v>0</v>
      </c>
      <c r="G2069" s="26">
        <f>IF(ISNA(MATCH(A2069,祝日定義!E:E,0)),0,1)</f>
        <v>0</v>
      </c>
      <c r="H2069" s="26">
        <f>IF(ISNA(MATCH(B2069&amp;"/"&amp;C2069,そのた定義!E:E,0)), 0, 1)</f>
        <v>0</v>
      </c>
      <c r="I2069" s="26" t="b">
        <f t="shared" si="295"/>
        <v>0</v>
      </c>
      <c r="J2069" s="26">
        <v>2</v>
      </c>
      <c r="K2069" s="26" t="b">
        <f t="shared" si="290"/>
        <v>0</v>
      </c>
      <c r="L2069" s="26" t="b">
        <f t="shared" si="291"/>
        <v>0</v>
      </c>
      <c r="M2069" t="b">
        <f t="shared" si="296"/>
        <v>0</v>
      </c>
      <c r="N2069" t="b">
        <f t="shared" si="297"/>
        <v>0</v>
      </c>
    </row>
    <row r="2070" spans="1:14">
      <c r="A2070" s="29">
        <v>46630</v>
      </c>
      <c r="B2070" s="30">
        <f t="shared" si="289"/>
        <v>8</v>
      </c>
      <c r="C2070" s="30">
        <f t="shared" si="292"/>
        <v>31</v>
      </c>
      <c r="D2070" s="26">
        <f>MATCH(WEEKDAY(A2070),そのた定義!A:A,0)</f>
        <v>4</v>
      </c>
      <c r="E2070" s="26" t="str">
        <f t="shared" ca="1" si="293"/>
        <v>火</v>
      </c>
      <c r="F2070" s="26">
        <f t="shared" si="294"/>
        <v>0</v>
      </c>
      <c r="G2070" s="26">
        <f>IF(ISNA(MATCH(A2070,祝日定義!E:E,0)),0,1)</f>
        <v>0</v>
      </c>
      <c r="H2070" s="26">
        <f>IF(ISNA(MATCH(B2070&amp;"/"&amp;C2070,そのた定義!E:E,0)), 0, 1)</f>
        <v>0</v>
      </c>
      <c r="I2070" s="26" t="b">
        <f t="shared" si="295"/>
        <v>0</v>
      </c>
      <c r="J2070" s="26">
        <v>0</v>
      </c>
      <c r="K2070" s="26" t="b">
        <f t="shared" si="290"/>
        <v>0</v>
      </c>
      <c r="L2070" s="26" t="b">
        <f t="shared" si="291"/>
        <v>0</v>
      </c>
      <c r="M2070" t="b">
        <f t="shared" si="296"/>
        <v>0</v>
      </c>
      <c r="N2070" t="b">
        <f t="shared" si="297"/>
        <v>1</v>
      </c>
    </row>
    <row r="2071" spans="1:14">
      <c r="A2071" s="29">
        <v>46631</v>
      </c>
      <c r="B2071" s="30">
        <f t="shared" si="289"/>
        <v>9</v>
      </c>
      <c r="C2071" s="30">
        <f t="shared" si="292"/>
        <v>1</v>
      </c>
      <c r="D2071" s="26">
        <f>MATCH(WEEKDAY(A2071),そのた定義!A:A,0)</f>
        <v>5</v>
      </c>
      <c r="E2071" s="26" t="str">
        <f t="shared" ca="1" si="293"/>
        <v>水</v>
      </c>
      <c r="F2071" s="26">
        <f t="shared" si="294"/>
        <v>0</v>
      </c>
      <c r="G2071" s="26">
        <f>IF(ISNA(MATCH(A2071,祝日定義!E:E,0)),0,1)</f>
        <v>0</v>
      </c>
      <c r="H2071" s="26">
        <f>IF(ISNA(MATCH(B2071&amp;"/"&amp;C2071,そのた定義!E:E,0)), 0, 1)</f>
        <v>0</v>
      </c>
      <c r="I2071" s="26" t="b">
        <f t="shared" si="295"/>
        <v>0</v>
      </c>
      <c r="J2071" s="26">
        <v>0</v>
      </c>
      <c r="K2071" s="26" t="b">
        <f t="shared" si="290"/>
        <v>0</v>
      </c>
      <c r="L2071" s="26" t="b">
        <f t="shared" si="291"/>
        <v>0</v>
      </c>
      <c r="M2071" t="b">
        <f t="shared" si="296"/>
        <v>0</v>
      </c>
      <c r="N2071" t="b">
        <f t="shared" si="297"/>
        <v>0</v>
      </c>
    </row>
    <row r="2072" spans="1:14">
      <c r="A2072" s="29">
        <v>46632</v>
      </c>
      <c r="B2072" s="30">
        <f t="shared" si="289"/>
        <v>9</v>
      </c>
      <c r="C2072" s="30">
        <f t="shared" si="292"/>
        <v>2</v>
      </c>
      <c r="D2072" s="26">
        <f>MATCH(WEEKDAY(A2072),そのた定義!A:A,0)</f>
        <v>6</v>
      </c>
      <c r="E2072" s="26" t="str">
        <f t="shared" ca="1" si="293"/>
        <v>木</v>
      </c>
      <c r="F2072" s="26">
        <f t="shared" si="294"/>
        <v>0</v>
      </c>
      <c r="G2072" s="26">
        <f>IF(ISNA(MATCH(A2072,祝日定義!E:E,0)),0,1)</f>
        <v>0</v>
      </c>
      <c r="H2072" s="26">
        <f>IF(ISNA(MATCH(B2072&amp;"/"&amp;C2072,そのた定義!E:E,0)), 0, 1)</f>
        <v>0</v>
      </c>
      <c r="I2072" s="26" t="b">
        <f t="shared" si="295"/>
        <v>0</v>
      </c>
      <c r="J2072" s="26">
        <v>0</v>
      </c>
      <c r="K2072" s="26" t="b">
        <f t="shared" si="290"/>
        <v>0</v>
      </c>
      <c r="L2072" s="26" t="b">
        <f t="shared" si="291"/>
        <v>0</v>
      </c>
      <c r="M2072" t="b">
        <f t="shared" si="296"/>
        <v>0</v>
      </c>
      <c r="N2072" t="b">
        <f t="shared" si="297"/>
        <v>0</v>
      </c>
    </row>
    <row r="2073" spans="1:14">
      <c r="A2073" s="29">
        <v>46633</v>
      </c>
      <c r="B2073" s="30">
        <f t="shared" si="289"/>
        <v>9</v>
      </c>
      <c r="C2073" s="30">
        <f t="shared" si="292"/>
        <v>3</v>
      </c>
      <c r="D2073" s="26">
        <f>MATCH(WEEKDAY(A2073),そのた定義!A:A,0)</f>
        <v>7</v>
      </c>
      <c r="E2073" s="26" t="str">
        <f t="shared" ca="1" si="293"/>
        <v>金</v>
      </c>
      <c r="F2073" s="26">
        <f t="shared" si="294"/>
        <v>0</v>
      </c>
      <c r="G2073" s="26">
        <f>IF(ISNA(MATCH(A2073,祝日定義!E:E,0)),0,1)</f>
        <v>0</v>
      </c>
      <c r="H2073" s="26">
        <f>IF(ISNA(MATCH(B2073&amp;"/"&amp;C2073,そのた定義!E:E,0)), 0, 1)</f>
        <v>0</v>
      </c>
      <c r="I2073" s="26" t="b">
        <f t="shared" si="295"/>
        <v>0</v>
      </c>
      <c r="J2073" s="26">
        <v>0</v>
      </c>
      <c r="K2073" s="26" t="b">
        <f t="shared" si="290"/>
        <v>0</v>
      </c>
      <c r="L2073" s="26" t="b">
        <f t="shared" si="291"/>
        <v>0</v>
      </c>
      <c r="M2073" t="b">
        <f t="shared" si="296"/>
        <v>0</v>
      </c>
      <c r="N2073" t="b">
        <f t="shared" si="297"/>
        <v>0</v>
      </c>
    </row>
    <row r="2074" spans="1:14">
      <c r="A2074" s="29">
        <v>46634</v>
      </c>
      <c r="B2074" s="30">
        <f t="shared" si="289"/>
        <v>9</v>
      </c>
      <c r="C2074" s="30">
        <f t="shared" si="292"/>
        <v>4</v>
      </c>
      <c r="D2074" s="26">
        <f>MATCH(WEEKDAY(A2074),そのた定義!A:A,0)</f>
        <v>8</v>
      </c>
      <c r="E2074" s="33" t="str">
        <f t="shared" ca="1" si="293"/>
        <v>土</v>
      </c>
      <c r="F2074" s="26">
        <f t="shared" si="294"/>
        <v>1</v>
      </c>
      <c r="G2074" s="26">
        <f>IF(ISNA(MATCH(A2074,祝日定義!E:E,0)),0,1)</f>
        <v>0</v>
      </c>
      <c r="H2074" s="26">
        <f>IF(ISNA(MATCH(B2074&amp;"/"&amp;C2074,そのた定義!E:E,0)), 0, 1)</f>
        <v>0</v>
      </c>
      <c r="I2074" s="23" t="b">
        <f t="shared" si="295"/>
        <v>1</v>
      </c>
      <c r="J2074" s="26">
        <v>0</v>
      </c>
      <c r="K2074" s="26" t="b">
        <f t="shared" si="290"/>
        <v>0</v>
      </c>
      <c r="L2074" s="26" t="b">
        <f t="shared" si="291"/>
        <v>0</v>
      </c>
      <c r="M2074" t="b">
        <f t="shared" si="296"/>
        <v>0</v>
      </c>
      <c r="N2074" t="b">
        <f t="shared" si="297"/>
        <v>0</v>
      </c>
    </row>
    <row r="2075" spans="1:14">
      <c r="A2075" s="29">
        <v>46635</v>
      </c>
      <c r="B2075" s="30">
        <f t="shared" si="289"/>
        <v>9</v>
      </c>
      <c r="C2075" s="30">
        <f t="shared" si="292"/>
        <v>5</v>
      </c>
      <c r="D2075" s="26">
        <f>MATCH(WEEKDAY(A2075),そのた定義!A:A,0)</f>
        <v>2</v>
      </c>
      <c r="E2075" s="32" t="str">
        <f t="shared" ca="1" si="293"/>
        <v>日</v>
      </c>
      <c r="F2075" s="26">
        <f t="shared" si="294"/>
        <v>1</v>
      </c>
      <c r="G2075" s="26">
        <f>IF(ISNA(MATCH(A2075,祝日定義!E:E,0)),0,1)</f>
        <v>0</v>
      </c>
      <c r="H2075" s="26">
        <f>IF(ISNA(MATCH(B2075&amp;"/"&amp;C2075,そのた定義!E:E,0)), 0, 1)</f>
        <v>0</v>
      </c>
      <c r="I2075" s="23" t="b">
        <f t="shared" si="295"/>
        <v>1</v>
      </c>
      <c r="J2075" s="26">
        <v>0</v>
      </c>
      <c r="K2075" s="26" t="b">
        <f t="shared" si="290"/>
        <v>0</v>
      </c>
      <c r="L2075" s="26" t="b">
        <f t="shared" si="291"/>
        <v>0</v>
      </c>
      <c r="M2075" t="b">
        <f t="shared" si="296"/>
        <v>0</v>
      </c>
      <c r="N2075" t="b">
        <f t="shared" si="297"/>
        <v>0</v>
      </c>
    </row>
    <row r="2076" spans="1:14">
      <c r="A2076" s="29">
        <v>46636</v>
      </c>
      <c r="B2076" s="30">
        <f t="shared" si="289"/>
        <v>9</v>
      </c>
      <c r="C2076" s="30">
        <f t="shared" si="292"/>
        <v>6</v>
      </c>
      <c r="D2076" s="26">
        <f>MATCH(WEEKDAY(A2076),そのた定義!A:A,0)</f>
        <v>3</v>
      </c>
      <c r="E2076" s="26" t="str">
        <f t="shared" ca="1" si="293"/>
        <v>月</v>
      </c>
      <c r="F2076" s="26">
        <f t="shared" si="294"/>
        <v>0</v>
      </c>
      <c r="G2076" s="26">
        <f>IF(ISNA(MATCH(A2076,祝日定義!E:E,0)),0,1)</f>
        <v>0</v>
      </c>
      <c r="H2076" s="26">
        <f>IF(ISNA(MATCH(B2076&amp;"/"&amp;C2076,そのた定義!E:E,0)), 0, 1)</f>
        <v>0</v>
      </c>
      <c r="I2076" s="26" t="b">
        <f t="shared" si="295"/>
        <v>0</v>
      </c>
      <c r="J2076" s="26">
        <v>2</v>
      </c>
      <c r="K2076" s="26" t="b">
        <f t="shared" si="290"/>
        <v>0</v>
      </c>
      <c r="L2076" s="26" t="b">
        <f t="shared" si="291"/>
        <v>0</v>
      </c>
      <c r="M2076" t="b">
        <f t="shared" si="296"/>
        <v>0</v>
      </c>
      <c r="N2076" t="b">
        <f t="shared" si="297"/>
        <v>0</v>
      </c>
    </row>
    <row r="2077" spans="1:14">
      <c r="A2077" s="29">
        <v>46637</v>
      </c>
      <c r="B2077" s="30">
        <f t="shared" si="289"/>
        <v>9</v>
      </c>
      <c r="C2077" s="30">
        <f t="shared" si="292"/>
        <v>7</v>
      </c>
      <c r="D2077" s="26">
        <f>MATCH(WEEKDAY(A2077),そのた定義!A:A,0)</f>
        <v>4</v>
      </c>
      <c r="E2077" s="26" t="str">
        <f t="shared" ca="1" si="293"/>
        <v>火</v>
      </c>
      <c r="F2077" s="26">
        <f t="shared" si="294"/>
        <v>0</v>
      </c>
      <c r="G2077" s="26">
        <f>IF(ISNA(MATCH(A2077,祝日定義!E:E,0)),0,1)</f>
        <v>0</v>
      </c>
      <c r="H2077" s="26">
        <f>IF(ISNA(MATCH(B2077&amp;"/"&amp;C2077,そのた定義!E:E,0)), 0, 1)</f>
        <v>0</v>
      </c>
      <c r="I2077" s="26" t="b">
        <f t="shared" si="295"/>
        <v>0</v>
      </c>
      <c r="J2077" s="26">
        <v>0</v>
      </c>
      <c r="K2077" s="26" t="b">
        <f t="shared" si="290"/>
        <v>0</v>
      </c>
      <c r="L2077" s="26" t="b">
        <f t="shared" si="291"/>
        <v>0</v>
      </c>
      <c r="M2077" t="b">
        <f t="shared" si="296"/>
        <v>0</v>
      </c>
      <c r="N2077" t="b">
        <f t="shared" si="297"/>
        <v>0</v>
      </c>
    </row>
    <row r="2078" spans="1:14">
      <c r="A2078" s="29">
        <v>46638</v>
      </c>
      <c r="B2078" s="30">
        <f t="shared" si="289"/>
        <v>9</v>
      </c>
      <c r="C2078" s="30">
        <f t="shared" si="292"/>
        <v>8</v>
      </c>
      <c r="D2078" s="26">
        <f>MATCH(WEEKDAY(A2078),そのた定義!A:A,0)</f>
        <v>5</v>
      </c>
      <c r="E2078" s="26" t="str">
        <f t="shared" ca="1" si="293"/>
        <v>水</v>
      </c>
      <c r="F2078" s="26">
        <f t="shared" si="294"/>
        <v>0</v>
      </c>
      <c r="G2078" s="26">
        <f>IF(ISNA(MATCH(A2078,祝日定義!E:E,0)),0,1)</f>
        <v>0</v>
      </c>
      <c r="H2078" s="26">
        <f>IF(ISNA(MATCH(B2078&amp;"/"&amp;C2078,そのた定義!E:E,0)), 0, 1)</f>
        <v>0</v>
      </c>
      <c r="I2078" s="26" t="b">
        <f t="shared" si="295"/>
        <v>0</v>
      </c>
      <c r="J2078" s="26">
        <v>0</v>
      </c>
      <c r="K2078" s="26" t="b">
        <f t="shared" si="290"/>
        <v>0</v>
      </c>
      <c r="L2078" s="26" t="b">
        <f t="shared" si="291"/>
        <v>0</v>
      </c>
      <c r="M2078" t="b">
        <f t="shared" si="296"/>
        <v>0</v>
      </c>
      <c r="N2078" t="b">
        <f t="shared" si="297"/>
        <v>0</v>
      </c>
    </row>
    <row r="2079" spans="1:14">
      <c r="A2079" s="29">
        <v>46639</v>
      </c>
      <c r="B2079" s="30">
        <f t="shared" si="289"/>
        <v>9</v>
      </c>
      <c r="C2079" s="30">
        <f t="shared" si="292"/>
        <v>9</v>
      </c>
      <c r="D2079" s="26">
        <f>MATCH(WEEKDAY(A2079),そのた定義!A:A,0)</f>
        <v>6</v>
      </c>
      <c r="E2079" s="26" t="str">
        <f t="shared" ca="1" si="293"/>
        <v>木</v>
      </c>
      <c r="F2079" s="26">
        <f t="shared" si="294"/>
        <v>0</v>
      </c>
      <c r="G2079" s="26">
        <f>IF(ISNA(MATCH(A2079,祝日定義!E:E,0)),0,1)</f>
        <v>0</v>
      </c>
      <c r="H2079" s="26">
        <f>IF(ISNA(MATCH(B2079&amp;"/"&amp;C2079,そのた定義!E:E,0)), 0, 1)</f>
        <v>0</v>
      </c>
      <c r="I2079" s="26" t="b">
        <f t="shared" si="295"/>
        <v>0</v>
      </c>
      <c r="J2079" s="26">
        <v>0</v>
      </c>
      <c r="K2079" s="26" t="b">
        <f t="shared" si="290"/>
        <v>0</v>
      </c>
      <c r="L2079" s="26" t="b">
        <f t="shared" si="291"/>
        <v>0</v>
      </c>
      <c r="M2079" t="b">
        <f t="shared" si="296"/>
        <v>0</v>
      </c>
      <c r="N2079" t="b">
        <f t="shared" si="297"/>
        <v>0</v>
      </c>
    </row>
    <row r="2080" spans="1:14">
      <c r="A2080" s="29">
        <v>46640</v>
      </c>
      <c r="B2080" s="30">
        <f t="shared" si="289"/>
        <v>9</v>
      </c>
      <c r="C2080" s="30">
        <f t="shared" si="292"/>
        <v>10</v>
      </c>
      <c r="D2080" s="26">
        <f>MATCH(WEEKDAY(A2080),そのた定義!A:A,0)</f>
        <v>7</v>
      </c>
      <c r="E2080" s="26" t="str">
        <f t="shared" ca="1" si="293"/>
        <v>金</v>
      </c>
      <c r="F2080" s="26">
        <f t="shared" si="294"/>
        <v>0</v>
      </c>
      <c r="G2080" s="26">
        <f>IF(ISNA(MATCH(A2080,祝日定義!E:E,0)),0,1)</f>
        <v>0</v>
      </c>
      <c r="H2080" s="26">
        <f>IF(ISNA(MATCH(B2080&amp;"/"&amp;C2080,そのた定義!E:E,0)), 0, 1)</f>
        <v>0</v>
      </c>
      <c r="I2080" s="26" t="b">
        <f t="shared" si="295"/>
        <v>0</v>
      </c>
      <c r="J2080" s="26">
        <v>0</v>
      </c>
      <c r="K2080" s="26" t="b">
        <f t="shared" si="290"/>
        <v>0</v>
      </c>
      <c r="L2080" s="26" t="b">
        <f t="shared" si="291"/>
        <v>0</v>
      </c>
      <c r="M2080" t="b">
        <f t="shared" si="296"/>
        <v>0</v>
      </c>
      <c r="N2080" t="b">
        <f t="shared" si="297"/>
        <v>0</v>
      </c>
    </row>
    <row r="2081" spans="1:14">
      <c r="A2081" s="29">
        <v>46641</v>
      </c>
      <c r="B2081" s="30">
        <f t="shared" si="289"/>
        <v>9</v>
      </c>
      <c r="C2081" s="30">
        <f t="shared" si="292"/>
        <v>11</v>
      </c>
      <c r="D2081" s="26">
        <f>MATCH(WEEKDAY(A2081),そのた定義!A:A,0)</f>
        <v>8</v>
      </c>
      <c r="E2081" s="33" t="str">
        <f t="shared" ca="1" si="293"/>
        <v>土</v>
      </c>
      <c r="F2081" s="26">
        <f t="shared" si="294"/>
        <v>1</v>
      </c>
      <c r="G2081" s="26">
        <f>IF(ISNA(MATCH(A2081,祝日定義!E:E,0)),0,1)</f>
        <v>0</v>
      </c>
      <c r="H2081" s="26">
        <f>IF(ISNA(MATCH(B2081&amp;"/"&amp;C2081,そのた定義!E:E,0)), 0, 1)</f>
        <v>0</v>
      </c>
      <c r="I2081" s="23" t="b">
        <f t="shared" si="295"/>
        <v>1</v>
      </c>
      <c r="J2081" s="26">
        <v>0</v>
      </c>
      <c r="K2081" s="26" t="b">
        <f t="shared" si="290"/>
        <v>0</v>
      </c>
      <c r="L2081" s="26" t="b">
        <f t="shared" si="291"/>
        <v>0</v>
      </c>
      <c r="M2081" t="b">
        <f t="shared" si="296"/>
        <v>0</v>
      </c>
      <c r="N2081" t="b">
        <f t="shared" si="297"/>
        <v>0</v>
      </c>
    </row>
    <row r="2082" spans="1:14">
      <c r="A2082" s="29">
        <v>46642</v>
      </c>
      <c r="B2082" s="30">
        <f t="shared" si="289"/>
        <v>9</v>
      </c>
      <c r="C2082" s="30">
        <f t="shared" si="292"/>
        <v>12</v>
      </c>
      <c r="D2082" s="26">
        <f>MATCH(WEEKDAY(A2082),そのた定義!A:A,0)</f>
        <v>2</v>
      </c>
      <c r="E2082" s="32" t="str">
        <f t="shared" ca="1" si="293"/>
        <v>日</v>
      </c>
      <c r="F2082" s="26">
        <f t="shared" si="294"/>
        <v>1</v>
      </c>
      <c r="G2082" s="26">
        <f>IF(ISNA(MATCH(A2082,祝日定義!E:E,0)),0,1)</f>
        <v>0</v>
      </c>
      <c r="H2082" s="26">
        <f>IF(ISNA(MATCH(B2082&amp;"/"&amp;C2082,そのた定義!E:E,0)), 0, 1)</f>
        <v>0</v>
      </c>
      <c r="I2082" s="23" t="b">
        <f t="shared" si="295"/>
        <v>1</v>
      </c>
      <c r="J2082" s="26">
        <v>0</v>
      </c>
      <c r="K2082" s="26" t="b">
        <f t="shared" si="290"/>
        <v>0</v>
      </c>
      <c r="L2082" s="26" t="b">
        <f t="shared" si="291"/>
        <v>0</v>
      </c>
      <c r="M2082" t="b">
        <f t="shared" si="296"/>
        <v>0</v>
      </c>
      <c r="N2082" t="b">
        <f t="shared" si="297"/>
        <v>0</v>
      </c>
    </row>
    <row r="2083" spans="1:14">
      <c r="A2083" s="29">
        <v>46643</v>
      </c>
      <c r="B2083" s="30">
        <f t="shared" si="289"/>
        <v>9</v>
      </c>
      <c r="C2083" s="30">
        <f t="shared" si="292"/>
        <v>13</v>
      </c>
      <c r="D2083" s="26">
        <f>MATCH(WEEKDAY(A2083),そのた定義!A:A,0)</f>
        <v>3</v>
      </c>
      <c r="E2083" s="26" t="str">
        <f t="shared" ca="1" si="293"/>
        <v>月</v>
      </c>
      <c r="F2083" s="26">
        <f t="shared" si="294"/>
        <v>0</v>
      </c>
      <c r="G2083" s="26">
        <f>IF(ISNA(MATCH(A2083,祝日定義!E:E,0)),0,1)</f>
        <v>0</v>
      </c>
      <c r="H2083" s="26">
        <f>IF(ISNA(MATCH(B2083&amp;"/"&amp;C2083,そのた定義!E:E,0)), 0, 1)</f>
        <v>0</v>
      </c>
      <c r="I2083" s="26" t="b">
        <f t="shared" si="295"/>
        <v>0</v>
      </c>
      <c r="J2083" s="26">
        <v>2</v>
      </c>
      <c r="K2083" s="26" t="b">
        <f t="shared" si="290"/>
        <v>0</v>
      </c>
      <c r="L2083" s="26" t="b">
        <f t="shared" si="291"/>
        <v>0</v>
      </c>
      <c r="M2083" t="b">
        <f t="shared" si="296"/>
        <v>0</v>
      </c>
      <c r="N2083" t="b">
        <f t="shared" si="297"/>
        <v>0</v>
      </c>
    </row>
    <row r="2084" spans="1:14">
      <c r="A2084" s="29">
        <v>46644</v>
      </c>
      <c r="B2084" s="30">
        <f t="shared" si="289"/>
        <v>9</v>
      </c>
      <c r="C2084" s="30">
        <f t="shared" si="292"/>
        <v>14</v>
      </c>
      <c r="D2084" s="26">
        <f>MATCH(WEEKDAY(A2084),そのた定義!A:A,0)</f>
        <v>4</v>
      </c>
      <c r="E2084" s="26" t="str">
        <f t="shared" ca="1" si="293"/>
        <v>火</v>
      </c>
      <c r="F2084" s="26">
        <f t="shared" si="294"/>
        <v>0</v>
      </c>
      <c r="G2084" s="26">
        <f>IF(ISNA(MATCH(A2084,祝日定義!E:E,0)),0,1)</f>
        <v>0</v>
      </c>
      <c r="H2084" s="26">
        <f>IF(ISNA(MATCH(B2084&amp;"/"&amp;C2084,そのた定義!E:E,0)), 0, 1)</f>
        <v>0</v>
      </c>
      <c r="I2084" s="26" t="b">
        <f t="shared" si="295"/>
        <v>0</v>
      </c>
      <c r="J2084" s="26">
        <v>0</v>
      </c>
      <c r="K2084" s="26" t="b">
        <f t="shared" si="290"/>
        <v>0</v>
      </c>
      <c r="L2084" s="26" t="b">
        <f t="shared" si="291"/>
        <v>0</v>
      </c>
      <c r="M2084" t="b">
        <f t="shared" si="296"/>
        <v>0</v>
      </c>
      <c r="N2084" t="b">
        <f t="shared" si="297"/>
        <v>0</v>
      </c>
    </row>
    <row r="2085" spans="1:14">
      <c r="A2085" s="29">
        <v>46645</v>
      </c>
      <c r="B2085" s="30">
        <f t="shared" si="289"/>
        <v>9</v>
      </c>
      <c r="C2085" s="30">
        <f t="shared" si="292"/>
        <v>15</v>
      </c>
      <c r="D2085" s="26">
        <f>MATCH(WEEKDAY(A2085),そのた定義!A:A,0)</f>
        <v>5</v>
      </c>
      <c r="E2085" s="26" t="str">
        <f t="shared" ca="1" si="293"/>
        <v>水</v>
      </c>
      <c r="F2085" s="26">
        <f t="shared" si="294"/>
        <v>0</v>
      </c>
      <c r="G2085" s="26">
        <f>IF(ISNA(MATCH(A2085,祝日定義!E:E,0)),0,1)</f>
        <v>0</v>
      </c>
      <c r="H2085" s="26">
        <f>IF(ISNA(MATCH(B2085&amp;"/"&amp;C2085,そのた定義!E:E,0)), 0, 1)</f>
        <v>0</v>
      </c>
      <c r="I2085" s="26" t="b">
        <f t="shared" si="295"/>
        <v>0</v>
      </c>
      <c r="J2085" s="26">
        <v>0</v>
      </c>
      <c r="K2085" s="26" t="b">
        <f t="shared" si="290"/>
        <v>0</v>
      </c>
      <c r="L2085" s="26" t="b">
        <f t="shared" si="291"/>
        <v>0</v>
      </c>
      <c r="M2085" t="b">
        <f t="shared" si="296"/>
        <v>0</v>
      </c>
      <c r="N2085" t="b">
        <f t="shared" si="297"/>
        <v>0</v>
      </c>
    </row>
    <row r="2086" spans="1:14">
      <c r="A2086" s="29">
        <v>46646</v>
      </c>
      <c r="B2086" s="30">
        <f t="shared" si="289"/>
        <v>9</v>
      </c>
      <c r="C2086" s="30">
        <f t="shared" si="292"/>
        <v>16</v>
      </c>
      <c r="D2086" s="26">
        <f>MATCH(WEEKDAY(A2086),そのた定義!A:A,0)</f>
        <v>6</v>
      </c>
      <c r="E2086" s="26" t="str">
        <f t="shared" ca="1" si="293"/>
        <v>木</v>
      </c>
      <c r="F2086" s="26">
        <f t="shared" si="294"/>
        <v>0</v>
      </c>
      <c r="G2086" s="26">
        <f>IF(ISNA(MATCH(A2086,祝日定義!E:E,0)),0,1)</f>
        <v>0</v>
      </c>
      <c r="H2086" s="26">
        <f>IF(ISNA(MATCH(B2086&amp;"/"&amp;C2086,そのた定義!E:E,0)), 0, 1)</f>
        <v>0</v>
      </c>
      <c r="I2086" s="26" t="b">
        <f t="shared" si="295"/>
        <v>0</v>
      </c>
      <c r="J2086" s="26">
        <v>0</v>
      </c>
      <c r="K2086" s="26" t="b">
        <f t="shared" si="290"/>
        <v>0</v>
      </c>
      <c r="L2086" s="26" t="b">
        <f t="shared" si="291"/>
        <v>0</v>
      </c>
      <c r="M2086" t="b">
        <f t="shared" si="296"/>
        <v>0</v>
      </c>
      <c r="N2086" t="b">
        <f t="shared" si="297"/>
        <v>0</v>
      </c>
    </row>
    <row r="2087" spans="1:14">
      <c r="A2087" s="29">
        <v>46647</v>
      </c>
      <c r="B2087" s="30">
        <f t="shared" si="289"/>
        <v>9</v>
      </c>
      <c r="C2087" s="30">
        <f t="shared" si="292"/>
        <v>17</v>
      </c>
      <c r="D2087" s="26">
        <f>MATCH(WEEKDAY(A2087),そのた定義!A:A,0)</f>
        <v>7</v>
      </c>
      <c r="E2087" s="26" t="str">
        <f t="shared" ca="1" si="293"/>
        <v>金</v>
      </c>
      <c r="F2087" s="26">
        <f t="shared" si="294"/>
        <v>0</v>
      </c>
      <c r="G2087" s="26">
        <f>IF(ISNA(MATCH(A2087,祝日定義!E:E,0)),0,1)</f>
        <v>0</v>
      </c>
      <c r="H2087" s="26">
        <f>IF(ISNA(MATCH(B2087&amp;"/"&amp;C2087,そのた定義!E:E,0)), 0, 1)</f>
        <v>0</v>
      </c>
      <c r="I2087" s="26" t="b">
        <f t="shared" si="295"/>
        <v>0</v>
      </c>
      <c r="J2087" s="26">
        <v>0</v>
      </c>
      <c r="K2087" s="26" t="b">
        <f t="shared" si="290"/>
        <v>0</v>
      </c>
      <c r="L2087" s="26" t="b">
        <f t="shared" si="291"/>
        <v>0</v>
      </c>
      <c r="M2087" t="b">
        <f t="shared" si="296"/>
        <v>0</v>
      </c>
      <c r="N2087" t="b">
        <f t="shared" si="297"/>
        <v>0</v>
      </c>
    </row>
    <row r="2088" spans="1:14">
      <c r="A2088" s="29">
        <v>46648</v>
      </c>
      <c r="B2088" s="30">
        <f t="shared" si="289"/>
        <v>9</v>
      </c>
      <c r="C2088" s="30">
        <f t="shared" si="292"/>
        <v>18</v>
      </c>
      <c r="D2088" s="26">
        <f>MATCH(WEEKDAY(A2088),そのた定義!A:A,0)</f>
        <v>8</v>
      </c>
      <c r="E2088" s="33" t="str">
        <f t="shared" ca="1" si="293"/>
        <v>土</v>
      </c>
      <c r="F2088" s="26">
        <f t="shared" si="294"/>
        <v>1</v>
      </c>
      <c r="G2088" s="26">
        <f>IF(ISNA(MATCH(A2088,祝日定義!E:E,0)),0,1)</f>
        <v>0</v>
      </c>
      <c r="H2088" s="26">
        <f>IF(ISNA(MATCH(B2088&amp;"/"&amp;C2088,そのた定義!E:E,0)), 0, 1)</f>
        <v>0</v>
      </c>
      <c r="I2088" s="23" t="b">
        <f t="shared" si="295"/>
        <v>1</v>
      </c>
      <c r="J2088" s="26">
        <v>0</v>
      </c>
      <c r="K2088" s="26" t="b">
        <f t="shared" si="290"/>
        <v>0</v>
      </c>
      <c r="L2088" s="26" t="b">
        <f t="shared" si="291"/>
        <v>0</v>
      </c>
      <c r="M2088" t="b">
        <f t="shared" si="296"/>
        <v>0</v>
      </c>
      <c r="N2088" t="b">
        <f t="shared" si="297"/>
        <v>0</v>
      </c>
    </row>
    <row r="2089" spans="1:14">
      <c r="A2089" s="29">
        <v>46649</v>
      </c>
      <c r="B2089" s="30">
        <f t="shared" si="289"/>
        <v>9</v>
      </c>
      <c r="C2089" s="30">
        <f t="shared" si="292"/>
        <v>19</v>
      </c>
      <c r="D2089" s="26">
        <f>MATCH(WEEKDAY(A2089),そのた定義!A:A,0)</f>
        <v>2</v>
      </c>
      <c r="E2089" s="32" t="str">
        <f t="shared" ca="1" si="293"/>
        <v>日</v>
      </c>
      <c r="F2089" s="26">
        <f t="shared" si="294"/>
        <v>1</v>
      </c>
      <c r="G2089" s="26">
        <f>IF(ISNA(MATCH(A2089,祝日定義!E:E,0)),0,1)</f>
        <v>0</v>
      </c>
      <c r="H2089" s="26">
        <f>IF(ISNA(MATCH(B2089&amp;"/"&amp;C2089,そのた定義!E:E,0)), 0, 1)</f>
        <v>0</v>
      </c>
      <c r="I2089" s="23" t="b">
        <f t="shared" si="295"/>
        <v>1</v>
      </c>
      <c r="J2089" s="26">
        <v>0</v>
      </c>
      <c r="K2089" s="26" t="b">
        <f t="shared" si="290"/>
        <v>0</v>
      </c>
      <c r="L2089" s="26" t="b">
        <f t="shared" si="291"/>
        <v>0</v>
      </c>
      <c r="M2089" t="b">
        <f t="shared" si="296"/>
        <v>0</v>
      </c>
      <c r="N2089" t="b">
        <f t="shared" si="297"/>
        <v>0</v>
      </c>
    </row>
    <row r="2090" spans="1:14">
      <c r="A2090" s="29">
        <v>46650</v>
      </c>
      <c r="B2090" s="30">
        <f t="shared" si="289"/>
        <v>9</v>
      </c>
      <c r="C2090" s="30">
        <f t="shared" si="292"/>
        <v>20</v>
      </c>
      <c r="D2090" s="26">
        <f>MATCH(WEEKDAY(A2090),そのた定義!A:A,0)</f>
        <v>3</v>
      </c>
      <c r="E2090" s="31" t="str">
        <f t="shared" ca="1" si="293"/>
        <v>月</v>
      </c>
      <c r="F2090" s="26">
        <f t="shared" si="294"/>
        <v>0</v>
      </c>
      <c r="G2090" s="26">
        <f>IF(ISNA(MATCH(A2090,祝日定義!E:E,0)),0,1)</f>
        <v>1</v>
      </c>
      <c r="H2090" s="26">
        <f>IF(ISNA(MATCH(B2090&amp;"/"&amp;C2090,そのた定義!E:E,0)), 0, 1)</f>
        <v>0</v>
      </c>
      <c r="I2090" s="23" t="b">
        <f t="shared" si="295"/>
        <v>1</v>
      </c>
      <c r="J2090" s="26">
        <v>0</v>
      </c>
      <c r="K2090" s="26" t="b">
        <f t="shared" si="290"/>
        <v>0</v>
      </c>
      <c r="L2090" s="26" t="b">
        <f t="shared" si="291"/>
        <v>0</v>
      </c>
      <c r="M2090" t="b">
        <f t="shared" si="296"/>
        <v>0</v>
      </c>
      <c r="N2090" t="b">
        <f t="shared" si="297"/>
        <v>0</v>
      </c>
    </row>
    <row r="2091" spans="1:14">
      <c r="A2091" s="29">
        <v>46651</v>
      </c>
      <c r="B2091" s="30">
        <f t="shared" si="289"/>
        <v>9</v>
      </c>
      <c r="C2091" s="30">
        <f t="shared" si="292"/>
        <v>21</v>
      </c>
      <c r="D2091" s="26">
        <f>MATCH(WEEKDAY(A2091),そのた定義!A:A,0)</f>
        <v>4</v>
      </c>
      <c r="E2091" s="26" t="str">
        <f t="shared" ca="1" si="293"/>
        <v>火</v>
      </c>
      <c r="F2091" s="26">
        <f t="shared" si="294"/>
        <v>0</v>
      </c>
      <c r="G2091" s="26">
        <f>IF(ISNA(MATCH(A2091,祝日定義!E:E,0)),0,1)</f>
        <v>0</v>
      </c>
      <c r="H2091" s="26">
        <f>IF(ISNA(MATCH(B2091&amp;"/"&amp;C2091,そのた定義!E:E,0)), 0, 1)</f>
        <v>0</v>
      </c>
      <c r="I2091" s="26" t="b">
        <f t="shared" si="295"/>
        <v>0</v>
      </c>
      <c r="J2091" s="26">
        <v>3</v>
      </c>
      <c r="K2091" s="26" t="b">
        <f t="shared" si="290"/>
        <v>0</v>
      </c>
      <c r="L2091" s="26" t="b">
        <f t="shared" si="291"/>
        <v>0</v>
      </c>
      <c r="M2091" t="b">
        <f t="shared" si="296"/>
        <v>0</v>
      </c>
      <c r="N2091" t="b">
        <f t="shared" si="297"/>
        <v>0</v>
      </c>
    </row>
    <row r="2092" spans="1:14">
      <c r="A2092" s="29">
        <v>46652</v>
      </c>
      <c r="B2092" s="30">
        <f t="shared" si="289"/>
        <v>9</v>
      </c>
      <c r="C2092" s="30">
        <f t="shared" si="292"/>
        <v>22</v>
      </c>
      <c r="D2092" s="26">
        <f>MATCH(WEEKDAY(A2092),そのた定義!A:A,0)</f>
        <v>5</v>
      </c>
      <c r="E2092" s="26" t="str">
        <f t="shared" ca="1" si="293"/>
        <v>水</v>
      </c>
      <c r="F2092" s="26">
        <f t="shared" si="294"/>
        <v>0</v>
      </c>
      <c r="G2092" s="26">
        <f>IF(ISNA(MATCH(A2092,祝日定義!E:E,0)),0,1)</f>
        <v>0</v>
      </c>
      <c r="H2092" s="26">
        <f>IF(ISNA(MATCH(B2092&amp;"/"&amp;C2092,そのた定義!E:E,0)), 0, 1)</f>
        <v>0</v>
      </c>
      <c r="I2092" s="26" t="b">
        <f t="shared" si="295"/>
        <v>0</v>
      </c>
      <c r="J2092" s="26">
        <v>0</v>
      </c>
      <c r="K2092" s="26" t="b">
        <f t="shared" si="290"/>
        <v>0</v>
      </c>
      <c r="L2092" s="26" t="b">
        <f t="shared" si="291"/>
        <v>0</v>
      </c>
      <c r="M2092" t="b">
        <f t="shared" si="296"/>
        <v>0</v>
      </c>
      <c r="N2092" t="b">
        <f t="shared" si="297"/>
        <v>0</v>
      </c>
    </row>
    <row r="2093" spans="1:14">
      <c r="A2093" s="29">
        <v>46653</v>
      </c>
      <c r="B2093" s="30">
        <f t="shared" si="289"/>
        <v>9</v>
      </c>
      <c r="C2093" s="30">
        <f t="shared" si="292"/>
        <v>23</v>
      </c>
      <c r="D2093" s="26">
        <f>MATCH(WEEKDAY(A2093),そのた定義!A:A,0)</f>
        <v>6</v>
      </c>
      <c r="E2093" s="31" t="str">
        <f t="shared" ca="1" si="293"/>
        <v>木</v>
      </c>
      <c r="F2093" s="26">
        <f t="shared" si="294"/>
        <v>0</v>
      </c>
      <c r="G2093" s="26">
        <f>IF(ISNA(MATCH(A2093,祝日定義!E:E,0)),0,1)</f>
        <v>1</v>
      </c>
      <c r="H2093" s="26">
        <f>IF(ISNA(MATCH(B2093&amp;"/"&amp;C2093,そのた定義!E:E,0)), 0, 1)</f>
        <v>0</v>
      </c>
      <c r="I2093" s="23" t="b">
        <f t="shared" si="295"/>
        <v>1</v>
      </c>
      <c r="J2093" s="26">
        <v>0</v>
      </c>
      <c r="K2093" s="26" t="b">
        <f t="shared" si="290"/>
        <v>0</v>
      </c>
      <c r="L2093" s="26" t="b">
        <f t="shared" si="291"/>
        <v>0</v>
      </c>
      <c r="M2093" t="b">
        <f t="shared" si="296"/>
        <v>0</v>
      </c>
      <c r="N2093" t="b">
        <f t="shared" si="297"/>
        <v>0</v>
      </c>
    </row>
    <row r="2094" spans="1:14">
      <c r="A2094" s="29">
        <v>46654</v>
      </c>
      <c r="B2094" s="30">
        <f t="shared" si="289"/>
        <v>9</v>
      </c>
      <c r="C2094" s="30">
        <f t="shared" si="292"/>
        <v>24</v>
      </c>
      <c r="D2094" s="26">
        <f>MATCH(WEEKDAY(A2094),そのた定義!A:A,0)</f>
        <v>7</v>
      </c>
      <c r="E2094" s="26" t="str">
        <f t="shared" ca="1" si="293"/>
        <v>金</v>
      </c>
      <c r="F2094" s="26">
        <f t="shared" si="294"/>
        <v>0</v>
      </c>
      <c r="G2094" s="26">
        <f>IF(ISNA(MATCH(A2094,祝日定義!E:E,0)),0,1)</f>
        <v>0</v>
      </c>
      <c r="H2094" s="26">
        <f>IF(ISNA(MATCH(B2094&amp;"/"&amp;C2094,そのた定義!E:E,0)), 0, 1)</f>
        <v>0</v>
      </c>
      <c r="I2094" s="26" t="b">
        <f t="shared" si="295"/>
        <v>0</v>
      </c>
      <c r="J2094" s="26">
        <v>1</v>
      </c>
      <c r="K2094" s="26" t="b">
        <f t="shared" si="290"/>
        <v>0</v>
      </c>
      <c r="L2094" s="26" t="b">
        <f t="shared" si="291"/>
        <v>0</v>
      </c>
      <c r="M2094" t="b">
        <f t="shared" si="296"/>
        <v>0</v>
      </c>
      <c r="N2094" t="b">
        <f t="shared" si="297"/>
        <v>0</v>
      </c>
    </row>
    <row r="2095" spans="1:14">
      <c r="A2095" s="29">
        <v>46655</v>
      </c>
      <c r="B2095" s="30">
        <f t="shared" si="289"/>
        <v>9</v>
      </c>
      <c r="C2095" s="30">
        <f t="shared" si="292"/>
        <v>25</v>
      </c>
      <c r="D2095" s="26">
        <f>MATCH(WEEKDAY(A2095),そのた定義!A:A,0)</f>
        <v>8</v>
      </c>
      <c r="E2095" s="33" t="str">
        <f t="shared" ca="1" si="293"/>
        <v>土</v>
      </c>
      <c r="F2095" s="26">
        <f t="shared" si="294"/>
        <v>1</v>
      </c>
      <c r="G2095" s="26">
        <f>IF(ISNA(MATCH(A2095,祝日定義!E:E,0)),0,1)</f>
        <v>0</v>
      </c>
      <c r="H2095" s="26">
        <f>IF(ISNA(MATCH(B2095&amp;"/"&amp;C2095,そのた定義!E:E,0)), 0, 1)</f>
        <v>0</v>
      </c>
      <c r="I2095" s="23" t="b">
        <f t="shared" si="295"/>
        <v>1</v>
      </c>
      <c r="J2095" s="26">
        <v>0</v>
      </c>
      <c r="K2095" s="26" t="b">
        <f t="shared" si="290"/>
        <v>0</v>
      </c>
      <c r="L2095" s="23" t="b">
        <f t="shared" si="291"/>
        <v>1</v>
      </c>
      <c r="M2095" t="b">
        <f t="shared" si="296"/>
        <v>0</v>
      </c>
      <c r="N2095" t="b">
        <f t="shared" si="297"/>
        <v>0</v>
      </c>
    </row>
    <row r="2096" spans="1:14">
      <c r="A2096" s="29">
        <v>46656</v>
      </c>
      <c r="B2096" s="30">
        <f t="shared" si="289"/>
        <v>9</v>
      </c>
      <c r="C2096" s="30">
        <f t="shared" si="292"/>
        <v>26</v>
      </c>
      <c r="D2096" s="26">
        <f>MATCH(WEEKDAY(A2096),そのた定義!A:A,0)</f>
        <v>2</v>
      </c>
      <c r="E2096" s="32" t="str">
        <f t="shared" ca="1" si="293"/>
        <v>日</v>
      </c>
      <c r="F2096" s="26">
        <f t="shared" si="294"/>
        <v>1</v>
      </c>
      <c r="G2096" s="26">
        <f>IF(ISNA(MATCH(A2096,祝日定義!E:E,0)),0,1)</f>
        <v>0</v>
      </c>
      <c r="H2096" s="26">
        <f>IF(ISNA(MATCH(B2096&amp;"/"&amp;C2096,そのた定義!E:E,0)), 0, 1)</f>
        <v>0</v>
      </c>
      <c r="I2096" s="23" t="b">
        <f t="shared" si="295"/>
        <v>1</v>
      </c>
      <c r="J2096" s="26">
        <v>0</v>
      </c>
      <c r="K2096" s="26" t="b">
        <f t="shared" si="290"/>
        <v>0</v>
      </c>
      <c r="L2096" s="26" t="b">
        <f t="shared" si="291"/>
        <v>0</v>
      </c>
      <c r="M2096" t="b">
        <f t="shared" si="296"/>
        <v>0</v>
      </c>
      <c r="N2096" t="b">
        <f t="shared" si="297"/>
        <v>0</v>
      </c>
    </row>
    <row r="2097" spans="1:14">
      <c r="A2097" s="29">
        <v>46657</v>
      </c>
      <c r="B2097" s="30">
        <f t="shared" si="289"/>
        <v>9</v>
      </c>
      <c r="C2097" s="30">
        <f t="shared" si="292"/>
        <v>27</v>
      </c>
      <c r="D2097" s="26">
        <f>MATCH(WEEKDAY(A2097),そのた定義!A:A,0)</f>
        <v>3</v>
      </c>
      <c r="E2097" s="26" t="str">
        <f t="shared" ca="1" si="293"/>
        <v>月</v>
      </c>
      <c r="F2097" s="26">
        <f t="shared" si="294"/>
        <v>0</v>
      </c>
      <c r="G2097" s="26">
        <f>IF(ISNA(MATCH(A2097,祝日定義!E:E,0)),0,1)</f>
        <v>0</v>
      </c>
      <c r="H2097" s="26">
        <f>IF(ISNA(MATCH(B2097&amp;"/"&amp;C2097,そのた定義!E:E,0)), 0, 1)</f>
        <v>0</v>
      </c>
      <c r="I2097" s="26" t="b">
        <f t="shared" si="295"/>
        <v>0</v>
      </c>
      <c r="J2097" s="26">
        <v>2</v>
      </c>
      <c r="K2097" s="23" t="b">
        <f t="shared" si="290"/>
        <v>1</v>
      </c>
      <c r="L2097" s="26" t="b">
        <f t="shared" si="291"/>
        <v>0</v>
      </c>
      <c r="M2097" t="b">
        <f t="shared" si="296"/>
        <v>0</v>
      </c>
      <c r="N2097" t="b">
        <f t="shared" si="297"/>
        <v>0</v>
      </c>
    </row>
    <row r="2098" spans="1:14">
      <c r="A2098" s="29">
        <v>46658</v>
      </c>
      <c r="B2098" s="30">
        <f t="shared" si="289"/>
        <v>9</v>
      </c>
      <c r="C2098" s="30">
        <f t="shared" si="292"/>
        <v>28</v>
      </c>
      <c r="D2098" s="26">
        <f>MATCH(WEEKDAY(A2098),そのた定義!A:A,0)</f>
        <v>4</v>
      </c>
      <c r="E2098" s="26" t="str">
        <f t="shared" ca="1" si="293"/>
        <v>火</v>
      </c>
      <c r="F2098" s="26">
        <f t="shared" si="294"/>
        <v>0</v>
      </c>
      <c r="G2098" s="26">
        <f>IF(ISNA(MATCH(A2098,祝日定義!E:E,0)),0,1)</f>
        <v>0</v>
      </c>
      <c r="H2098" s="26">
        <f>IF(ISNA(MATCH(B2098&amp;"/"&amp;C2098,そのた定義!E:E,0)), 0, 1)</f>
        <v>0</v>
      </c>
      <c r="I2098" s="26" t="b">
        <f t="shared" si="295"/>
        <v>0</v>
      </c>
      <c r="J2098" s="26">
        <v>0</v>
      </c>
      <c r="K2098" s="26" t="b">
        <f t="shared" si="290"/>
        <v>0</v>
      </c>
      <c r="L2098" s="26" t="b">
        <f t="shared" si="291"/>
        <v>0</v>
      </c>
      <c r="M2098" t="b">
        <f t="shared" si="296"/>
        <v>0</v>
      </c>
      <c r="N2098" t="b">
        <f t="shared" si="297"/>
        <v>0</v>
      </c>
    </row>
    <row r="2099" spans="1:14">
      <c r="A2099" s="29">
        <v>46659</v>
      </c>
      <c r="B2099" s="30">
        <f t="shared" si="289"/>
        <v>9</v>
      </c>
      <c r="C2099" s="30">
        <f t="shared" si="292"/>
        <v>29</v>
      </c>
      <c r="D2099" s="26">
        <f>MATCH(WEEKDAY(A2099),そのた定義!A:A,0)</f>
        <v>5</v>
      </c>
      <c r="E2099" s="26" t="str">
        <f t="shared" ca="1" si="293"/>
        <v>水</v>
      </c>
      <c r="F2099" s="26">
        <f t="shared" si="294"/>
        <v>0</v>
      </c>
      <c r="G2099" s="26">
        <f>IF(ISNA(MATCH(A2099,祝日定義!E:E,0)),0,1)</f>
        <v>0</v>
      </c>
      <c r="H2099" s="26">
        <f>IF(ISNA(MATCH(B2099&amp;"/"&amp;C2099,そのた定義!E:E,0)), 0, 1)</f>
        <v>0</v>
      </c>
      <c r="I2099" s="26" t="b">
        <f t="shared" si="295"/>
        <v>0</v>
      </c>
      <c r="J2099" s="26">
        <v>0</v>
      </c>
      <c r="K2099" s="26" t="b">
        <f t="shared" si="290"/>
        <v>0</v>
      </c>
      <c r="L2099" s="26" t="b">
        <f t="shared" si="291"/>
        <v>0</v>
      </c>
      <c r="M2099" t="b">
        <f t="shared" si="296"/>
        <v>0</v>
      </c>
      <c r="N2099" t="b">
        <f t="shared" si="297"/>
        <v>0</v>
      </c>
    </row>
    <row r="2100" spans="1:14">
      <c r="A2100" s="29">
        <v>46660</v>
      </c>
      <c r="B2100" s="30">
        <f t="shared" si="289"/>
        <v>9</v>
      </c>
      <c r="C2100" s="30">
        <f t="shared" si="292"/>
        <v>30</v>
      </c>
      <c r="D2100" s="26">
        <f>MATCH(WEEKDAY(A2100),そのた定義!A:A,0)</f>
        <v>6</v>
      </c>
      <c r="E2100" s="26" t="str">
        <f t="shared" ca="1" si="293"/>
        <v>木</v>
      </c>
      <c r="F2100" s="26">
        <f t="shared" si="294"/>
        <v>0</v>
      </c>
      <c r="G2100" s="26">
        <f>IF(ISNA(MATCH(A2100,祝日定義!E:E,0)),0,1)</f>
        <v>0</v>
      </c>
      <c r="H2100" s="26">
        <f>IF(ISNA(MATCH(B2100&amp;"/"&amp;C2100,そのた定義!E:E,0)), 0, 1)</f>
        <v>0</v>
      </c>
      <c r="I2100" s="26" t="b">
        <f t="shared" si="295"/>
        <v>0</v>
      </c>
      <c r="J2100" s="26">
        <v>0</v>
      </c>
      <c r="K2100" s="26" t="b">
        <f t="shared" si="290"/>
        <v>0</v>
      </c>
      <c r="L2100" s="26" t="b">
        <f t="shared" si="291"/>
        <v>0</v>
      </c>
      <c r="M2100" t="b">
        <f t="shared" si="296"/>
        <v>0</v>
      </c>
      <c r="N2100" t="b">
        <f t="shared" si="297"/>
        <v>1</v>
      </c>
    </row>
    <row r="2101" spans="1:14">
      <c r="A2101" s="29">
        <v>46661</v>
      </c>
      <c r="B2101" s="30">
        <f t="shared" si="289"/>
        <v>10</v>
      </c>
      <c r="C2101" s="30">
        <f t="shared" si="292"/>
        <v>1</v>
      </c>
      <c r="D2101" s="26">
        <f>MATCH(WEEKDAY(A2101),そのた定義!A:A,0)</f>
        <v>7</v>
      </c>
      <c r="E2101" s="26" t="str">
        <f t="shared" ca="1" si="293"/>
        <v>金</v>
      </c>
      <c r="F2101" s="26">
        <f t="shared" si="294"/>
        <v>0</v>
      </c>
      <c r="G2101" s="26">
        <f>IF(ISNA(MATCH(A2101,祝日定義!E:E,0)),0,1)</f>
        <v>0</v>
      </c>
      <c r="H2101" s="26">
        <f>IF(ISNA(MATCH(B2101&amp;"/"&amp;C2101,そのた定義!E:E,0)), 0, 1)</f>
        <v>0</v>
      </c>
      <c r="I2101" s="26" t="b">
        <f t="shared" si="295"/>
        <v>0</v>
      </c>
      <c r="J2101" s="26">
        <v>0</v>
      </c>
      <c r="K2101" s="26" t="b">
        <f t="shared" si="290"/>
        <v>0</v>
      </c>
      <c r="L2101" s="26" t="b">
        <f t="shared" si="291"/>
        <v>0</v>
      </c>
      <c r="M2101" t="b">
        <f t="shared" si="296"/>
        <v>0</v>
      </c>
      <c r="N2101" t="b">
        <f t="shared" si="297"/>
        <v>0</v>
      </c>
    </row>
    <row r="2102" spans="1:14">
      <c r="A2102" s="29">
        <v>46662</v>
      </c>
      <c r="B2102" s="30">
        <f t="shared" si="289"/>
        <v>10</v>
      </c>
      <c r="C2102" s="30">
        <f t="shared" si="292"/>
        <v>2</v>
      </c>
      <c r="D2102" s="26">
        <f>MATCH(WEEKDAY(A2102),そのた定義!A:A,0)</f>
        <v>8</v>
      </c>
      <c r="E2102" s="33" t="str">
        <f t="shared" ca="1" si="293"/>
        <v>土</v>
      </c>
      <c r="F2102" s="26">
        <f t="shared" si="294"/>
        <v>1</v>
      </c>
      <c r="G2102" s="26">
        <f>IF(ISNA(MATCH(A2102,祝日定義!E:E,0)),0,1)</f>
        <v>0</v>
      </c>
      <c r="H2102" s="26">
        <f>IF(ISNA(MATCH(B2102&amp;"/"&amp;C2102,そのた定義!E:E,0)), 0, 1)</f>
        <v>0</v>
      </c>
      <c r="I2102" s="23" t="b">
        <f t="shared" si="295"/>
        <v>1</v>
      </c>
      <c r="J2102" s="26">
        <v>0</v>
      </c>
      <c r="K2102" s="26" t="b">
        <f t="shared" si="290"/>
        <v>0</v>
      </c>
      <c r="L2102" s="26" t="b">
        <f t="shared" si="291"/>
        <v>0</v>
      </c>
      <c r="M2102" t="b">
        <f t="shared" si="296"/>
        <v>0</v>
      </c>
      <c r="N2102" t="b">
        <f t="shared" si="297"/>
        <v>0</v>
      </c>
    </row>
    <row r="2103" spans="1:14">
      <c r="A2103" s="29">
        <v>46663</v>
      </c>
      <c r="B2103" s="30">
        <f t="shared" si="289"/>
        <v>10</v>
      </c>
      <c r="C2103" s="30">
        <f t="shared" si="292"/>
        <v>3</v>
      </c>
      <c r="D2103" s="26">
        <f>MATCH(WEEKDAY(A2103),そのた定義!A:A,0)</f>
        <v>2</v>
      </c>
      <c r="E2103" s="32" t="str">
        <f t="shared" ca="1" si="293"/>
        <v>日</v>
      </c>
      <c r="F2103" s="26">
        <f t="shared" si="294"/>
        <v>1</v>
      </c>
      <c r="G2103" s="26">
        <f>IF(ISNA(MATCH(A2103,祝日定義!E:E,0)),0,1)</f>
        <v>0</v>
      </c>
      <c r="H2103" s="26">
        <f>IF(ISNA(MATCH(B2103&amp;"/"&amp;C2103,そのた定義!E:E,0)), 0, 1)</f>
        <v>0</v>
      </c>
      <c r="I2103" s="23" t="b">
        <f t="shared" si="295"/>
        <v>1</v>
      </c>
      <c r="J2103" s="26">
        <v>0</v>
      </c>
      <c r="K2103" s="26" t="b">
        <f t="shared" si="290"/>
        <v>0</v>
      </c>
      <c r="L2103" s="26" t="b">
        <f t="shared" si="291"/>
        <v>0</v>
      </c>
      <c r="M2103" t="b">
        <f t="shared" si="296"/>
        <v>0</v>
      </c>
      <c r="N2103" t="b">
        <f t="shared" si="297"/>
        <v>0</v>
      </c>
    </row>
    <row r="2104" spans="1:14">
      <c r="A2104" s="29">
        <v>46664</v>
      </c>
      <c r="B2104" s="30">
        <f t="shared" si="289"/>
        <v>10</v>
      </c>
      <c r="C2104" s="30">
        <f t="shared" si="292"/>
        <v>4</v>
      </c>
      <c r="D2104" s="26">
        <f>MATCH(WEEKDAY(A2104),そのた定義!A:A,0)</f>
        <v>3</v>
      </c>
      <c r="E2104" s="26" t="str">
        <f t="shared" ca="1" si="293"/>
        <v>月</v>
      </c>
      <c r="F2104" s="26">
        <f t="shared" si="294"/>
        <v>0</v>
      </c>
      <c r="G2104" s="26">
        <f>IF(ISNA(MATCH(A2104,祝日定義!E:E,0)),0,1)</f>
        <v>0</v>
      </c>
      <c r="H2104" s="26">
        <f>IF(ISNA(MATCH(B2104&amp;"/"&amp;C2104,そのた定義!E:E,0)), 0, 1)</f>
        <v>0</v>
      </c>
      <c r="I2104" s="26" t="b">
        <f t="shared" si="295"/>
        <v>0</v>
      </c>
      <c r="J2104" s="26">
        <v>2</v>
      </c>
      <c r="K2104" s="26" t="b">
        <f t="shared" si="290"/>
        <v>0</v>
      </c>
      <c r="L2104" s="26" t="b">
        <f t="shared" si="291"/>
        <v>0</v>
      </c>
      <c r="M2104" t="b">
        <f t="shared" si="296"/>
        <v>0</v>
      </c>
      <c r="N2104" t="b">
        <f t="shared" si="297"/>
        <v>0</v>
      </c>
    </row>
    <row r="2105" spans="1:14">
      <c r="A2105" s="29">
        <v>46665</v>
      </c>
      <c r="B2105" s="30">
        <f t="shared" si="289"/>
        <v>10</v>
      </c>
      <c r="C2105" s="30">
        <f t="shared" si="292"/>
        <v>5</v>
      </c>
      <c r="D2105" s="26">
        <f>MATCH(WEEKDAY(A2105),そのた定義!A:A,0)</f>
        <v>4</v>
      </c>
      <c r="E2105" s="26" t="str">
        <f t="shared" ca="1" si="293"/>
        <v>火</v>
      </c>
      <c r="F2105" s="26">
        <f t="shared" si="294"/>
        <v>0</v>
      </c>
      <c r="G2105" s="26">
        <f>IF(ISNA(MATCH(A2105,祝日定義!E:E,0)),0,1)</f>
        <v>0</v>
      </c>
      <c r="H2105" s="26">
        <f>IF(ISNA(MATCH(B2105&amp;"/"&amp;C2105,そのた定義!E:E,0)), 0, 1)</f>
        <v>0</v>
      </c>
      <c r="I2105" s="26" t="b">
        <f t="shared" si="295"/>
        <v>0</v>
      </c>
      <c r="J2105" s="26">
        <v>0</v>
      </c>
      <c r="K2105" s="26" t="b">
        <f t="shared" si="290"/>
        <v>0</v>
      </c>
      <c r="L2105" s="26" t="b">
        <f t="shared" si="291"/>
        <v>0</v>
      </c>
      <c r="M2105" t="b">
        <f t="shared" si="296"/>
        <v>0</v>
      </c>
      <c r="N2105" t="b">
        <f t="shared" si="297"/>
        <v>0</v>
      </c>
    </row>
    <row r="2106" spans="1:14">
      <c r="A2106" s="29">
        <v>46666</v>
      </c>
      <c r="B2106" s="30">
        <f t="shared" si="289"/>
        <v>10</v>
      </c>
      <c r="C2106" s="30">
        <f t="shared" si="292"/>
        <v>6</v>
      </c>
      <c r="D2106" s="26">
        <f>MATCH(WEEKDAY(A2106),そのた定義!A:A,0)</f>
        <v>5</v>
      </c>
      <c r="E2106" s="26" t="str">
        <f t="shared" ca="1" si="293"/>
        <v>水</v>
      </c>
      <c r="F2106" s="26">
        <f t="shared" si="294"/>
        <v>0</v>
      </c>
      <c r="G2106" s="26">
        <f>IF(ISNA(MATCH(A2106,祝日定義!E:E,0)),0,1)</f>
        <v>0</v>
      </c>
      <c r="H2106" s="26">
        <f>IF(ISNA(MATCH(B2106&amp;"/"&amp;C2106,そのた定義!E:E,0)), 0, 1)</f>
        <v>0</v>
      </c>
      <c r="I2106" s="26" t="b">
        <f t="shared" si="295"/>
        <v>0</v>
      </c>
      <c r="J2106" s="26">
        <v>0</v>
      </c>
      <c r="K2106" s="26" t="b">
        <f t="shared" si="290"/>
        <v>0</v>
      </c>
      <c r="L2106" s="26" t="b">
        <f t="shared" si="291"/>
        <v>0</v>
      </c>
      <c r="M2106" t="b">
        <f t="shared" si="296"/>
        <v>0</v>
      </c>
      <c r="N2106" t="b">
        <f t="shared" si="297"/>
        <v>0</v>
      </c>
    </row>
    <row r="2107" spans="1:14">
      <c r="A2107" s="29">
        <v>46667</v>
      </c>
      <c r="B2107" s="30">
        <f t="shared" si="289"/>
        <v>10</v>
      </c>
      <c r="C2107" s="30">
        <f t="shared" si="292"/>
        <v>7</v>
      </c>
      <c r="D2107" s="26">
        <f>MATCH(WEEKDAY(A2107),そのた定義!A:A,0)</f>
        <v>6</v>
      </c>
      <c r="E2107" s="26" t="str">
        <f t="shared" ca="1" si="293"/>
        <v>木</v>
      </c>
      <c r="F2107" s="26">
        <f t="shared" si="294"/>
        <v>0</v>
      </c>
      <c r="G2107" s="26">
        <f>IF(ISNA(MATCH(A2107,祝日定義!E:E,0)),0,1)</f>
        <v>0</v>
      </c>
      <c r="H2107" s="26">
        <f>IF(ISNA(MATCH(B2107&amp;"/"&amp;C2107,そのた定義!E:E,0)), 0, 1)</f>
        <v>0</v>
      </c>
      <c r="I2107" s="26" t="b">
        <f t="shared" si="295"/>
        <v>0</v>
      </c>
      <c r="J2107" s="26">
        <v>0</v>
      </c>
      <c r="K2107" s="26" t="b">
        <f t="shared" si="290"/>
        <v>0</v>
      </c>
      <c r="L2107" s="26" t="b">
        <f t="shared" si="291"/>
        <v>0</v>
      </c>
      <c r="M2107" t="b">
        <f t="shared" si="296"/>
        <v>0</v>
      </c>
      <c r="N2107" t="b">
        <f t="shared" si="297"/>
        <v>0</v>
      </c>
    </row>
    <row r="2108" spans="1:14">
      <c r="A2108" s="29">
        <v>46668</v>
      </c>
      <c r="B2108" s="30">
        <f t="shared" si="289"/>
        <v>10</v>
      </c>
      <c r="C2108" s="30">
        <f t="shared" si="292"/>
        <v>8</v>
      </c>
      <c r="D2108" s="26">
        <f>MATCH(WEEKDAY(A2108),そのた定義!A:A,0)</f>
        <v>7</v>
      </c>
      <c r="E2108" s="26" t="str">
        <f t="shared" ca="1" si="293"/>
        <v>金</v>
      </c>
      <c r="F2108" s="26">
        <f t="shared" si="294"/>
        <v>0</v>
      </c>
      <c r="G2108" s="26">
        <f>IF(ISNA(MATCH(A2108,祝日定義!E:E,0)),0,1)</f>
        <v>0</v>
      </c>
      <c r="H2108" s="26">
        <f>IF(ISNA(MATCH(B2108&amp;"/"&amp;C2108,そのた定義!E:E,0)), 0, 1)</f>
        <v>0</v>
      </c>
      <c r="I2108" s="26" t="b">
        <f t="shared" si="295"/>
        <v>0</v>
      </c>
      <c r="J2108" s="26">
        <v>0</v>
      </c>
      <c r="K2108" s="26" t="b">
        <f t="shared" si="290"/>
        <v>0</v>
      </c>
      <c r="L2108" s="26" t="b">
        <f t="shared" si="291"/>
        <v>0</v>
      </c>
      <c r="M2108" t="b">
        <f t="shared" si="296"/>
        <v>0</v>
      </c>
      <c r="N2108" t="b">
        <f t="shared" si="297"/>
        <v>0</v>
      </c>
    </row>
    <row r="2109" spans="1:14">
      <c r="A2109" s="29">
        <v>46669</v>
      </c>
      <c r="B2109" s="30">
        <f t="shared" si="289"/>
        <v>10</v>
      </c>
      <c r="C2109" s="30">
        <f t="shared" si="292"/>
        <v>9</v>
      </c>
      <c r="D2109" s="26">
        <f>MATCH(WEEKDAY(A2109),そのた定義!A:A,0)</f>
        <v>8</v>
      </c>
      <c r="E2109" s="33" t="str">
        <f t="shared" ca="1" si="293"/>
        <v>土</v>
      </c>
      <c r="F2109" s="26">
        <f t="shared" si="294"/>
        <v>1</v>
      </c>
      <c r="G2109" s="26">
        <f>IF(ISNA(MATCH(A2109,祝日定義!E:E,0)),0,1)</f>
        <v>0</v>
      </c>
      <c r="H2109" s="26">
        <f>IF(ISNA(MATCH(B2109&amp;"/"&amp;C2109,そのた定義!E:E,0)), 0, 1)</f>
        <v>0</v>
      </c>
      <c r="I2109" s="23" t="b">
        <f t="shared" si="295"/>
        <v>1</v>
      </c>
      <c r="J2109" s="26">
        <v>0</v>
      </c>
      <c r="K2109" s="26" t="b">
        <f t="shared" si="290"/>
        <v>0</v>
      </c>
      <c r="L2109" s="26" t="b">
        <f t="shared" si="291"/>
        <v>0</v>
      </c>
      <c r="M2109" t="b">
        <f t="shared" si="296"/>
        <v>0</v>
      </c>
      <c r="N2109" t="b">
        <f t="shared" si="297"/>
        <v>0</v>
      </c>
    </row>
    <row r="2110" spans="1:14">
      <c r="A2110" s="29">
        <v>46670</v>
      </c>
      <c r="B2110" s="30">
        <f t="shared" si="289"/>
        <v>10</v>
      </c>
      <c r="C2110" s="30">
        <f t="shared" si="292"/>
        <v>10</v>
      </c>
      <c r="D2110" s="26">
        <f>MATCH(WEEKDAY(A2110),そのた定義!A:A,0)</f>
        <v>2</v>
      </c>
      <c r="E2110" s="32" t="str">
        <f t="shared" ca="1" si="293"/>
        <v>日</v>
      </c>
      <c r="F2110" s="26">
        <f t="shared" si="294"/>
        <v>1</v>
      </c>
      <c r="G2110" s="26">
        <f>IF(ISNA(MATCH(A2110,祝日定義!E:E,0)),0,1)</f>
        <v>0</v>
      </c>
      <c r="H2110" s="26">
        <f>IF(ISNA(MATCH(B2110&amp;"/"&amp;C2110,そのた定義!E:E,0)), 0, 1)</f>
        <v>0</v>
      </c>
      <c r="I2110" s="23" t="b">
        <f t="shared" si="295"/>
        <v>1</v>
      </c>
      <c r="J2110" s="26">
        <v>0</v>
      </c>
      <c r="K2110" s="26" t="b">
        <f t="shared" si="290"/>
        <v>0</v>
      </c>
      <c r="L2110" s="26" t="b">
        <f t="shared" si="291"/>
        <v>0</v>
      </c>
      <c r="M2110" t="b">
        <f t="shared" si="296"/>
        <v>0</v>
      </c>
      <c r="N2110" t="b">
        <f t="shared" si="297"/>
        <v>0</v>
      </c>
    </row>
    <row r="2111" spans="1:14">
      <c r="A2111" s="29">
        <v>46671</v>
      </c>
      <c r="B2111" s="30">
        <f t="shared" si="289"/>
        <v>10</v>
      </c>
      <c r="C2111" s="30">
        <f t="shared" si="292"/>
        <v>11</v>
      </c>
      <c r="D2111" s="26">
        <f>MATCH(WEEKDAY(A2111),そのた定義!A:A,0)</f>
        <v>3</v>
      </c>
      <c r="E2111" s="31" t="str">
        <f t="shared" ca="1" si="293"/>
        <v>月</v>
      </c>
      <c r="F2111" s="26">
        <f t="shared" si="294"/>
        <v>0</v>
      </c>
      <c r="G2111" s="26">
        <f>IF(ISNA(MATCH(A2111,祝日定義!E:E,0)),0,1)</f>
        <v>1</v>
      </c>
      <c r="H2111" s="26">
        <f>IF(ISNA(MATCH(B2111&amp;"/"&amp;C2111,そのた定義!E:E,0)), 0, 1)</f>
        <v>0</v>
      </c>
      <c r="I2111" s="23" t="b">
        <f t="shared" si="295"/>
        <v>1</v>
      </c>
      <c r="J2111" s="26">
        <v>0</v>
      </c>
      <c r="K2111" s="26" t="b">
        <f t="shared" si="290"/>
        <v>0</v>
      </c>
      <c r="L2111" s="26" t="b">
        <f t="shared" si="291"/>
        <v>0</v>
      </c>
      <c r="M2111" t="b">
        <f t="shared" si="296"/>
        <v>0</v>
      </c>
      <c r="N2111" t="b">
        <f t="shared" si="297"/>
        <v>0</v>
      </c>
    </row>
    <row r="2112" spans="1:14">
      <c r="A2112" s="29">
        <v>46672</v>
      </c>
      <c r="B2112" s="30">
        <f t="shared" si="289"/>
        <v>10</v>
      </c>
      <c r="C2112" s="30">
        <f t="shared" si="292"/>
        <v>12</v>
      </c>
      <c r="D2112" s="26">
        <f>MATCH(WEEKDAY(A2112),そのた定義!A:A,0)</f>
        <v>4</v>
      </c>
      <c r="E2112" s="26" t="str">
        <f t="shared" ca="1" si="293"/>
        <v>火</v>
      </c>
      <c r="F2112" s="26">
        <f t="shared" si="294"/>
        <v>0</v>
      </c>
      <c r="G2112" s="26">
        <f>IF(ISNA(MATCH(A2112,祝日定義!E:E,0)),0,1)</f>
        <v>0</v>
      </c>
      <c r="H2112" s="26">
        <f>IF(ISNA(MATCH(B2112&amp;"/"&amp;C2112,そのた定義!E:E,0)), 0, 1)</f>
        <v>0</v>
      </c>
      <c r="I2112" s="26" t="b">
        <f t="shared" si="295"/>
        <v>0</v>
      </c>
      <c r="J2112" s="26">
        <v>3</v>
      </c>
      <c r="K2112" s="26" t="b">
        <f t="shared" si="290"/>
        <v>0</v>
      </c>
      <c r="L2112" s="26" t="b">
        <f t="shared" si="291"/>
        <v>0</v>
      </c>
      <c r="M2112" t="b">
        <f t="shared" si="296"/>
        <v>0</v>
      </c>
      <c r="N2112" t="b">
        <f t="shared" si="297"/>
        <v>0</v>
      </c>
    </row>
    <row r="2113" spans="1:14">
      <c r="A2113" s="29">
        <v>46673</v>
      </c>
      <c r="B2113" s="30">
        <f t="shared" si="289"/>
        <v>10</v>
      </c>
      <c r="C2113" s="30">
        <f t="shared" si="292"/>
        <v>13</v>
      </c>
      <c r="D2113" s="26">
        <f>MATCH(WEEKDAY(A2113),そのた定義!A:A,0)</f>
        <v>5</v>
      </c>
      <c r="E2113" s="26" t="str">
        <f t="shared" ca="1" si="293"/>
        <v>水</v>
      </c>
      <c r="F2113" s="26">
        <f t="shared" si="294"/>
        <v>0</v>
      </c>
      <c r="G2113" s="26">
        <f>IF(ISNA(MATCH(A2113,祝日定義!E:E,0)),0,1)</f>
        <v>0</v>
      </c>
      <c r="H2113" s="26">
        <f>IF(ISNA(MATCH(B2113&amp;"/"&amp;C2113,そのた定義!E:E,0)), 0, 1)</f>
        <v>0</v>
      </c>
      <c r="I2113" s="26" t="b">
        <f t="shared" si="295"/>
        <v>0</v>
      </c>
      <c r="J2113" s="26">
        <v>0</v>
      </c>
      <c r="K2113" s="26" t="b">
        <f t="shared" si="290"/>
        <v>0</v>
      </c>
      <c r="L2113" s="26" t="b">
        <f t="shared" si="291"/>
        <v>0</v>
      </c>
      <c r="M2113" t="b">
        <f t="shared" si="296"/>
        <v>0</v>
      </c>
      <c r="N2113" t="b">
        <f t="shared" si="297"/>
        <v>0</v>
      </c>
    </row>
    <row r="2114" spans="1:14">
      <c r="A2114" s="29">
        <v>46674</v>
      </c>
      <c r="B2114" s="30">
        <f t="shared" ref="B2114:B2131" si="298">MONTH(A2114)</f>
        <v>10</v>
      </c>
      <c r="C2114" s="30">
        <f t="shared" si="292"/>
        <v>14</v>
      </c>
      <c r="D2114" s="26">
        <f>MATCH(WEEKDAY(A2114),そのた定義!A:A,0)</f>
        <v>6</v>
      </c>
      <c r="E2114" s="26" t="str">
        <f t="shared" ca="1" si="293"/>
        <v>木</v>
      </c>
      <c r="F2114" s="26">
        <f t="shared" si="294"/>
        <v>0</v>
      </c>
      <c r="G2114" s="26">
        <f>IF(ISNA(MATCH(A2114,祝日定義!E:E,0)),0,1)</f>
        <v>0</v>
      </c>
      <c r="H2114" s="26">
        <f>IF(ISNA(MATCH(B2114&amp;"/"&amp;C2114,そのた定義!E:E,0)), 0, 1)</f>
        <v>0</v>
      </c>
      <c r="I2114" s="26" t="b">
        <f t="shared" si="295"/>
        <v>0</v>
      </c>
      <c r="J2114" s="26">
        <v>0</v>
      </c>
      <c r="K2114" s="26" t="b">
        <f t="shared" ref="K2114:K2131" si="299">AND(C2114&gt;25,DAY(A2114-J2114)&lt;=25)</f>
        <v>0</v>
      </c>
      <c r="L2114" s="26" t="b">
        <f t="shared" ref="L2114:L2131" si="300">C2114=25</f>
        <v>0</v>
      </c>
      <c r="M2114" t="b">
        <f t="shared" si="296"/>
        <v>0</v>
      </c>
      <c r="N2114" t="b">
        <f t="shared" si="297"/>
        <v>0</v>
      </c>
    </row>
    <row r="2115" spans="1:14">
      <c r="A2115" s="29">
        <v>46675</v>
      </c>
      <c r="B2115" s="30">
        <f t="shared" si="298"/>
        <v>10</v>
      </c>
      <c r="C2115" s="30">
        <f t="shared" ref="C2115:C2131" si="301">DAY(A2115)</f>
        <v>15</v>
      </c>
      <c r="D2115" s="26">
        <f>MATCH(WEEKDAY(A2115),そのた定義!A:A,0)</f>
        <v>7</v>
      </c>
      <c r="E2115" s="26" t="str">
        <f t="shared" ref="E2115:E2131" ca="1" si="302">INDIRECT("そのた定義!"&amp;"B"&amp;D2115)</f>
        <v>金</v>
      </c>
      <c r="F2115" s="26">
        <f t="shared" ref="F2115:F2131" si="303">IF(OR(D2115=8,D2115=2),1,0)</f>
        <v>0</v>
      </c>
      <c r="G2115" s="26">
        <f>IF(ISNA(MATCH(A2115,祝日定義!E:E,0)),0,1)</f>
        <v>0</v>
      </c>
      <c r="H2115" s="26">
        <f>IF(ISNA(MATCH(B2115&amp;"/"&amp;C2115,そのた定義!E:E,0)), 0, 1)</f>
        <v>0</v>
      </c>
      <c r="I2115" s="26" t="b">
        <f t="shared" ref="I2115:I2131" si="304">SUM(F2115:H2115)&gt;0</f>
        <v>0</v>
      </c>
      <c r="J2115" s="26">
        <v>0</v>
      </c>
      <c r="K2115" s="26" t="b">
        <f t="shared" si="299"/>
        <v>0</v>
      </c>
      <c r="L2115" s="26" t="b">
        <f t="shared" si="300"/>
        <v>0</v>
      </c>
      <c r="M2115" t="b">
        <f t="shared" ref="M2115:M2131" si="305">B2115&lt;&gt;MONTH(A2115-J2115)</f>
        <v>0</v>
      </c>
      <c r="N2115" t="b">
        <f t="shared" ref="N2115:N2131" si="306">B2115&lt;&gt;MONTH(A2115+1)</f>
        <v>0</v>
      </c>
    </row>
    <row r="2116" spans="1:14">
      <c r="A2116" s="29">
        <v>46676</v>
      </c>
      <c r="B2116" s="30">
        <f t="shared" si="298"/>
        <v>10</v>
      </c>
      <c r="C2116" s="30">
        <f t="shared" si="301"/>
        <v>16</v>
      </c>
      <c r="D2116" s="26">
        <f>MATCH(WEEKDAY(A2116),そのた定義!A:A,0)</f>
        <v>8</v>
      </c>
      <c r="E2116" s="33" t="str">
        <f t="shared" ca="1" si="302"/>
        <v>土</v>
      </c>
      <c r="F2116" s="26">
        <f t="shared" si="303"/>
        <v>1</v>
      </c>
      <c r="G2116" s="26">
        <f>IF(ISNA(MATCH(A2116,祝日定義!E:E,0)),0,1)</f>
        <v>0</v>
      </c>
      <c r="H2116" s="26">
        <f>IF(ISNA(MATCH(B2116&amp;"/"&amp;C2116,そのた定義!E:E,0)), 0, 1)</f>
        <v>0</v>
      </c>
      <c r="I2116" s="23" t="b">
        <f t="shared" si="304"/>
        <v>1</v>
      </c>
      <c r="J2116" s="26">
        <v>0</v>
      </c>
      <c r="K2116" s="26" t="b">
        <f t="shared" si="299"/>
        <v>0</v>
      </c>
      <c r="L2116" s="26" t="b">
        <f t="shared" si="300"/>
        <v>0</v>
      </c>
      <c r="M2116" t="b">
        <f t="shared" si="305"/>
        <v>0</v>
      </c>
      <c r="N2116" t="b">
        <f t="shared" si="306"/>
        <v>0</v>
      </c>
    </row>
    <row r="2117" spans="1:14">
      <c r="A2117" s="29">
        <v>46677</v>
      </c>
      <c r="B2117" s="30">
        <f t="shared" si="298"/>
        <v>10</v>
      </c>
      <c r="C2117" s="30">
        <f t="shared" si="301"/>
        <v>17</v>
      </c>
      <c r="D2117" s="26">
        <f>MATCH(WEEKDAY(A2117),そのた定義!A:A,0)</f>
        <v>2</v>
      </c>
      <c r="E2117" s="32" t="str">
        <f t="shared" ca="1" si="302"/>
        <v>日</v>
      </c>
      <c r="F2117" s="26">
        <f t="shared" si="303"/>
        <v>1</v>
      </c>
      <c r="G2117" s="26">
        <f>IF(ISNA(MATCH(A2117,祝日定義!E:E,0)),0,1)</f>
        <v>0</v>
      </c>
      <c r="H2117" s="26">
        <f>IF(ISNA(MATCH(B2117&amp;"/"&amp;C2117,そのた定義!E:E,0)), 0, 1)</f>
        <v>0</v>
      </c>
      <c r="I2117" s="23" t="b">
        <f t="shared" si="304"/>
        <v>1</v>
      </c>
      <c r="J2117" s="26">
        <v>0</v>
      </c>
      <c r="K2117" s="26" t="b">
        <f t="shared" si="299"/>
        <v>0</v>
      </c>
      <c r="L2117" s="26" t="b">
        <f t="shared" si="300"/>
        <v>0</v>
      </c>
      <c r="M2117" t="b">
        <f t="shared" si="305"/>
        <v>0</v>
      </c>
      <c r="N2117" t="b">
        <f t="shared" si="306"/>
        <v>0</v>
      </c>
    </row>
    <row r="2118" spans="1:14">
      <c r="A2118" s="29">
        <v>46678</v>
      </c>
      <c r="B2118" s="30">
        <f t="shared" si="298"/>
        <v>10</v>
      </c>
      <c r="C2118" s="30">
        <f t="shared" si="301"/>
        <v>18</v>
      </c>
      <c r="D2118" s="26">
        <f>MATCH(WEEKDAY(A2118),そのた定義!A:A,0)</f>
        <v>3</v>
      </c>
      <c r="E2118" s="26" t="str">
        <f t="shared" ca="1" si="302"/>
        <v>月</v>
      </c>
      <c r="F2118" s="26">
        <f t="shared" si="303"/>
        <v>0</v>
      </c>
      <c r="G2118" s="26">
        <f>IF(ISNA(MATCH(A2118,祝日定義!E:E,0)),0,1)</f>
        <v>0</v>
      </c>
      <c r="H2118" s="26">
        <f>IF(ISNA(MATCH(B2118&amp;"/"&amp;C2118,そのた定義!E:E,0)), 0, 1)</f>
        <v>0</v>
      </c>
      <c r="I2118" s="26" t="b">
        <f t="shared" si="304"/>
        <v>0</v>
      </c>
      <c r="J2118" s="26">
        <v>2</v>
      </c>
      <c r="K2118" s="26" t="b">
        <f t="shared" si="299"/>
        <v>0</v>
      </c>
      <c r="L2118" s="26" t="b">
        <f t="shared" si="300"/>
        <v>0</v>
      </c>
      <c r="M2118" t="b">
        <f t="shared" si="305"/>
        <v>0</v>
      </c>
      <c r="N2118" t="b">
        <f t="shared" si="306"/>
        <v>0</v>
      </c>
    </row>
    <row r="2119" spans="1:14">
      <c r="A2119" s="29">
        <v>46679</v>
      </c>
      <c r="B2119" s="30">
        <f t="shared" si="298"/>
        <v>10</v>
      </c>
      <c r="C2119" s="30">
        <f t="shared" si="301"/>
        <v>19</v>
      </c>
      <c r="D2119" s="26">
        <f>MATCH(WEEKDAY(A2119),そのた定義!A:A,0)</f>
        <v>4</v>
      </c>
      <c r="E2119" s="26" t="str">
        <f t="shared" ca="1" si="302"/>
        <v>火</v>
      </c>
      <c r="F2119" s="26">
        <f t="shared" si="303"/>
        <v>0</v>
      </c>
      <c r="G2119" s="26">
        <f>IF(ISNA(MATCH(A2119,祝日定義!E:E,0)),0,1)</f>
        <v>0</v>
      </c>
      <c r="H2119" s="26">
        <f>IF(ISNA(MATCH(B2119&amp;"/"&amp;C2119,そのた定義!E:E,0)), 0, 1)</f>
        <v>0</v>
      </c>
      <c r="I2119" s="26" t="b">
        <f t="shared" si="304"/>
        <v>0</v>
      </c>
      <c r="J2119" s="26">
        <v>0</v>
      </c>
      <c r="K2119" s="26" t="b">
        <f t="shared" si="299"/>
        <v>0</v>
      </c>
      <c r="L2119" s="26" t="b">
        <f t="shared" si="300"/>
        <v>0</v>
      </c>
      <c r="M2119" t="b">
        <f t="shared" si="305"/>
        <v>0</v>
      </c>
      <c r="N2119" t="b">
        <f t="shared" si="306"/>
        <v>0</v>
      </c>
    </row>
    <row r="2120" spans="1:14">
      <c r="A2120" s="29">
        <v>46680</v>
      </c>
      <c r="B2120" s="30">
        <f t="shared" si="298"/>
        <v>10</v>
      </c>
      <c r="C2120" s="30">
        <f t="shared" si="301"/>
        <v>20</v>
      </c>
      <c r="D2120" s="26">
        <f>MATCH(WEEKDAY(A2120),そのた定義!A:A,0)</f>
        <v>5</v>
      </c>
      <c r="E2120" s="26" t="str">
        <f t="shared" ca="1" si="302"/>
        <v>水</v>
      </c>
      <c r="F2120" s="26">
        <f t="shared" si="303"/>
        <v>0</v>
      </c>
      <c r="G2120" s="26">
        <f>IF(ISNA(MATCH(A2120,祝日定義!E:E,0)),0,1)</f>
        <v>0</v>
      </c>
      <c r="H2120" s="26">
        <f>IF(ISNA(MATCH(B2120&amp;"/"&amp;C2120,そのた定義!E:E,0)), 0, 1)</f>
        <v>0</v>
      </c>
      <c r="I2120" s="26" t="b">
        <f t="shared" si="304"/>
        <v>0</v>
      </c>
      <c r="J2120" s="26">
        <v>0</v>
      </c>
      <c r="K2120" s="26" t="b">
        <f t="shared" si="299"/>
        <v>0</v>
      </c>
      <c r="L2120" s="26" t="b">
        <f t="shared" si="300"/>
        <v>0</v>
      </c>
      <c r="M2120" t="b">
        <f t="shared" si="305"/>
        <v>0</v>
      </c>
      <c r="N2120" t="b">
        <f t="shared" si="306"/>
        <v>0</v>
      </c>
    </row>
    <row r="2121" spans="1:14">
      <c r="A2121" s="29">
        <v>46681</v>
      </c>
      <c r="B2121" s="30">
        <f t="shared" si="298"/>
        <v>10</v>
      </c>
      <c r="C2121" s="30">
        <f t="shared" si="301"/>
        <v>21</v>
      </c>
      <c r="D2121" s="26">
        <f>MATCH(WEEKDAY(A2121),そのた定義!A:A,0)</f>
        <v>6</v>
      </c>
      <c r="E2121" s="26" t="str">
        <f t="shared" ca="1" si="302"/>
        <v>木</v>
      </c>
      <c r="F2121" s="26">
        <f t="shared" si="303"/>
        <v>0</v>
      </c>
      <c r="G2121" s="26">
        <f>IF(ISNA(MATCH(A2121,祝日定義!E:E,0)),0,1)</f>
        <v>0</v>
      </c>
      <c r="H2121" s="26">
        <f>IF(ISNA(MATCH(B2121&amp;"/"&amp;C2121,そのた定義!E:E,0)), 0, 1)</f>
        <v>0</v>
      </c>
      <c r="I2121" s="26" t="b">
        <f t="shared" si="304"/>
        <v>0</v>
      </c>
      <c r="J2121" s="26">
        <v>0</v>
      </c>
      <c r="K2121" s="26" t="b">
        <f t="shared" si="299"/>
        <v>0</v>
      </c>
      <c r="L2121" s="26" t="b">
        <f t="shared" si="300"/>
        <v>0</v>
      </c>
      <c r="M2121" t="b">
        <f t="shared" si="305"/>
        <v>0</v>
      </c>
      <c r="N2121" t="b">
        <f t="shared" si="306"/>
        <v>0</v>
      </c>
    </row>
    <row r="2122" spans="1:14">
      <c r="A2122" s="29">
        <v>46682</v>
      </c>
      <c r="B2122" s="30">
        <f t="shared" si="298"/>
        <v>10</v>
      </c>
      <c r="C2122" s="30">
        <f t="shared" si="301"/>
        <v>22</v>
      </c>
      <c r="D2122" s="26">
        <f>MATCH(WEEKDAY(A2122),そのた定義!A:A,0)</f>
        <v>7</v>
      </c>
      <c r="E2122" s="26" t="str">
        <f t="shared" ca="1" si="302"/>
        <v>金</v>
      </c>
      <c r="F2122" s="26">
        <f t="shared" si="303"/>
        <v>0</v>
      </c>
      <c r="G2122" s="26">
        <f>IF(ISNA(MATCH(A2122,祝日定義!E:E,0)),0,1)</f>
        <v>0</v>
      </c>
      <c r="H2122" s="26">
        <f>IF(ISNA(MATCH(B2122&amp;"/"&amp;C2122,そのた定義!E:E,0)), 0, 1)</f>
        <v>0</v>
      </c>
      <c r="I2122" s="26" t="b">
        <f t="shared" si="304"/>
        <v>0</v>
      </c>
      <c r="J2122" s="26">
        <v>0</v>
      </c>
      <c r="K2122" s="26" t="b">
        <f t="shared" si="299"/>
        <v>0</v>
      </c>
      <c r="L2122" s="26" t="b">
        <f t="shared" si="300"/>
        <v>0</v>
      </c>
      <c r="M2122" t="b">
        <f t="shared" si="305"/>
        <v>0</v>
      </c>
      <c r="N2122" t="b">
        <f t="shared" si="306"/>
        <v>0</v>
      </c>
    </row>
    <row r="2123" spans="1:14">
      <c r="A2123" s="29">
        <v>46683</v>
      </c>
      <c r="B2123" s="30">
        <f t="shared" si="298"/>
        <v>10</v>
      </c>
      <c r="C2123" s="30">
        <f t="shared" si="301"/>
        <v>23</v>
      </c>
      <c r="D2123" s="26">
        <f>MATCH(WEEKDAY(A2123),そのた定義!A:A,0)</f>
        <v>8</v>
      </c>
      <c r="E2123" s="33" t="str">
        <f t="shared" ca="1" si="302"/>
        <v>土</v>
      </c>
      <c r="F2123" s="26">
        <f t="shared" si="303"/>
        <v>1</v>
      </c>
      <c r="G2123" s="26">
        <f>IF(ISNA(MATCH(A2123,祝日定義!E:E,0)),0,1)</f>
        <v>0</v>
      </c>
      <c r="H2123" s="26">
        <f>IF(ISNA(MATCH(B2123&amp;"/"&amp;C2123,そのた定義!E:E,0)), 0, 1)</f>
        <v>0</v>
      </c>
      <c r="I2123" s="23" t="b">
        <f t="shared" si="304"/>
        <v>1</v>
      </c>
      <c r="J2123" s="26">
        <v>0</v>
      </c>
      <c r="K2123" s="26" t="b">
        <f t="shared" si="299"/>
        <v>0</v>
      </c>
      <c r="L2123" s="26" t="b">
        <f t="shared" si="300"/>
        <v>0</v>
      </c>
      <c r="M2123" t="b">
        <f t="shared" si="305"/>
        <v>0</v>
      </c>
      <c r="N2123" t="b">
        <f t="shared" si="306"/>
        <v>0</v>
      </c>
    </row>
    <row r="2124" spans="1:14">
      <c r="A2124" s="29">
        <v>46684</v>
      </c>
      <c r="B2124" s="30">
        <f t="shared" si="298"/>
        <v>10</v>
      </c>
      <c r="C2124" s="30">
        <f t="shared" si="301"/>
        <v>24</v>
      </c>
      <c r="D2124" s="26">
        <f>MATCH(WEEKDAY(A2124),そのた定義!A:A,0)</f>
        <v>2</v>
      </c>
      <c r="E2124" s="32" t="str">
        <f t="shared" ca="1" si="302"/>
        <v>日</v>
      </c>
      <c r="F2124" s="26">
        <f t="shared" si="303"/>
        <v>1</v>
      </c>
      <c r="G2124" s="26">
        <f>IF(ISNA(MATCH(A2124,祝日定義!E:E,0)),0,1)</f>
        <v>0</v>
      </c>
      <c r="H2124" s="26">
        <f>IF(ISNA(MATCH(B2124&amp;"/"&amp;C2124,そのた定義!E:E,0)), 0, 1)</f>
        <v>0</v>
      </c>
      <c r="I2124" s="23" t="b">
        <f t="shared" si="304"/>
        <v>1</v>
      </c>
      <c r="J2124" s="26">
        <v>0</v>
      </c>
      <c r="K2124" s="26" t="b">
        <f t="shared" si="299"/>
        <v>0</v>
      </c>
      <c r="L2124" s="26" t="b">
        <f t="shared" si="300"/>
        <v>0</v>
      </c>
      <c r="M2124" t="b">
        <f t="shared" si="305"/>
        <v>0</v>
      </c>
      <c r="N2124" t="b">
        <f t="shared" si="306"/>
        <v>0</v>
      </c>
    </row>
    <row r="2125" spans="1:14">
      <c r="A2125" s="29">
        <v>46685</v>
      </c>
      <c r="B2125" s="30">
        <f t="shared" si="298"/>
        <v>10</v>
      </c>
      <c r="C2125" s="30">
        <f t="shared" si="301"/>
        <v>25</v>
      </c>
      <c r="D2125" s="26">
        <f>MATCH(WEEKDAY(A2125),そのた定義!A:A,0)</f>
        <v>3</v>
      </c>
      <c r="E2125" s="26" t="str">
        <f t="shared" ca="1" si="302"/>
        <v>月</v>
      </c>
      <c r="F2125" s="26">
        <f t="shared" si="303"/>
        <v>0</v>
      </c>
      <c r="G2125" s="26">
        <f>IF(ISNA(MATCH(A2125,祝日定義!E:E,0)),0,1)</f>
        <v>0</v>
      </c>
      <c r="H2125" s="26">
        <f>IF(ISNA(MATCH(B2125&amp;"/"&amp;C2125,そのた定義!E:E,0)), 0, 1)</f>
        <v>0</v>
      </c>
      <c r="I2125" s="26" t="b">
        <f t="shared" si="304"/>
        <v>0</v>
      </c>
      <c r="J2125" s="26">
        <v>2</v>
      </c>
      <c r="K2125" s="26" t="b">
        <f t="shared" si="299"/>
        <v>0</v>
      </c>
      <c r="L2125" s="23" t="b">
        <f t="shared" si="300"/>
        <v>1</v>
      </c>
      <c r="M2125" t="b">
        <f t="shared" si="305"/>
        <v>0</v>
      </c>
      <c r="N2125" t="b">
        <f t="shared" si="306"/>
        <v>0</v>
      </c>
    </row>
    <row r="2126" spans="1:14">
      <c r="A2126" s="29">
        <v>46686</v>
      </c>
      <c r="B2126" s="30">
        <f t="shared" si="298"/>
        <v>10</v>
      </c>
      <c r="C2126" s="30">
        <f t="shared" si="301"/>
        <v>26</v>
      </c>
      <c r="D2126" s="26">
        <f>MATCH(WEEKDAY(A2126),そのた定義!A:A,0)</f>
        <v>4</v>
      </c>
      <c r="E2126" s="26" t="str">
        <f t="shared" ca="1" si="302"/>
        <v>火</v>
      </c>
      <c r="F2126" s="26">
        <f t="shared" si="303"/>
        <v>0</v>
      </c>
      <c r="G2126" s="26">
        <f>IF(ISNA(MATCH(A2126,祝日定義!E:E,0)),0,1)</f>
        <v>0</v>
      </c>
      <c r="H2126" s="26">
        <f>IF(ISNA(MATCH(B2126&amp;"/"&amp;C2126,そのた定義!E:E,0)), 0, 1)</f>
        <v>0</v>
      </c>
      <c r="I2126" s="26" t="b">
        <f t="shared" si="304"/>
        <v>0</v>
      </c>
      <c r="J2126" s="26">
        <v>0</v>
      </c>
      <c r="K2126" s="26" t="b">
        <f t="shared" si="299"/>
        <v>0</v>
      </c>
      <c r="L2126" s="26" t="b">
        <f t="shared" si="300"/>
        <v>0</v>
      </c>
      <c r="M2126" t="b">
        <f t="shared" si="305"/>
        <v>0</v>
      </c>
      <c r="N2126" t="b">
        <f t="shared" si="306"/>
        <v>0</v>
      </c>
    </row>
    <row r="2127" spans="1:14">
      <c r="A2127" s="29">
        <v>46687</v>
      </c>
      <c r="B2127" s="30">
        <f t="shared" si="298"/>
        <v>10</v>
      </c>
      <c r="C2127" s="30">
        <f t="shared" si="301"/>
        <v>27</v>
      </c>
      <c r="D2127" s="26">
        <f>MATCH(WEEKDAY(A2127),そのた定義!A:A,0)</f>
        <v>5</v>
      </c>
      <c r="E2127" s="26" t="str">
        <f t="shared" ca="1" si="302"/>
        <v>水</v>
      </c>
      <c r="F2127" s="26">
        <f t="shared" si="303"/>
        <v>0</v>
      </c>
      <c r="G2127" s="26">
        <f>IF(ISNA(MATCH(A2127,祝日定義!E:E,0)),0,1)</f>
        <v>0</v>
      </c>
      <c r="H2127" s="26">
        <f>IF(ISNA(MATCH(B2127&amp;"/"&amp;C2127,そのた定義!E:E,0)), 0, 1)</f>
        <v>0</v>
      </c>
      <c r="I2127" s="26" t="b">
        <f t="shared" si="304"/>
        <v>0</v>
      </c>
      <c r="J2127" s="26">
        <v>0</v>
      </c>
      <c r="K2127" s="26" t="b">
        <f t="shared" si="299"/>
        <v>0</v>
      </c>
      <c r="L2127" s="26" t="b">
        <f t="shared" si="300"/>
        <v>0</v>
      </c>
      <c r="M2127" t="b">
        <f t="shared" si="305"/>
        <v>0</v>
      </c>
      <c r="N2127" t="b">
        <f t="shared" si="306"/>
        <v>0</v>
      </c>
    </row>
    <row r="2128" spans="1:14">
      <c r="A2128" s="29">
        <v>46688</v>
      </c>
      <c r="B2128" s="30">
        <f t="shared" si="298"/>
        <v>10</v>
      </c>
      <c r="C2128" s="30">
        <f t="shared" si="301"/>
        <v>28</v>
      </c>
      <c r="D2128" s="26">
        <f>MATCH(WEEKDAY(A2128),そのた定義!A:A,0)</f>
        <v>6</v>
      </c>
      <c r="E2128" s="26" t="str">
        <f t="shared" ca="1" si="302"/>
        <v>木</v>
      </c>
      <c r="F2128" s="26">
        <f t="shared" si="303"/>
        <v>0</v>
      </c>
      <c r="G2128" s="26">
        <f>IF(ISNA(MATCH(A2128,祝日定義!E:E,0)),0,1)</f>
        <v>0</v>
      </c>
      <c r="H2128" s="26">
        <f>IF(ISNA(MATCH(B2128&amp;"/"&amp;C2128,そのた定義!E:E,0)), 0, 1)</f>
        <v>0</v>
      </c>
      <c r="I2128" s="26" t="b">
        <f t="shared" si="304"/>
        <v>0</v>
      </c>
      <c r="J2128" s="26">
        <v>0</v>
      </c>
      <c r="K2128" s="26" t="b">
        <f t="shared" si="299"/>
        <v>0</v>
      </c>
      <c r="L2128" s="26" t="b">
        <f t="shared" si="300"/>
        <v>0</v>
      </c>
      <c r="M2128" t="b">
        <f t="shared" si="305"/>
        <v>0</v>
      </c>
      <c r="N2128" t="b">
        <f t="shared" si="306"/>
        <v>0</v>
      </c>
    </row>
    <row r="2129" spans="1:14">
      <c r="A2129" s="29">
        <v>46689</v>
      </c>
      <c r="B2129" s="30">
        <f t="shared" si="298"/>
        <v>10</v>
      </c>
      <c r="C2129" s="30">
        <f t="shared" si="301"/>
        <v>29</v>
      </c>
      <c r="D2129" s="26">
        <f>MATCH(WEEKDAY(A2129),そのた定義!A:A,0)</f>
        <v>7</v>
      </c>
      <c r="E2129" s="26" t="str">
        <f t="shared" ca="1" si="302"/>
        <v>金</v>
      </c>
      <c r="F2129" s="26">
        <f t="shared" si="303"/>
        <v>0</v>
      </c>
      <c r="G2129" s="26">
        <f>IF(ISNA(MATCH(A2129,祝日定義!E:E,0)),0,1)</f>
        <v>0</v>
      </c>
      <c r="H2129" s="26">
        <f>IF(ISNA(MATCH(B2129&amp;"/"&amp;C2129,そのた定義!E:E,0)), 0, 1)</f>
        <v>0</v>
      </c>
      <c r="I2129" s="26" t="b">
        <f t="shared" si="304"/>
        <v>0</v>
      </c>
      <c r="J2129" s="26">
        <v>0</v>
      </c>
      <c r="K2129" s="26" t="b">
        <f t="shared" si="299"/>
        <v>0</v>
      </c>
      <c r="L2129" s="26" t="b">
        <f t="shared" si="300"/>
        <v>0</v>
      </c>
      <c r="M2129" t="b">
        <f t="shared" si="305"/>
        <v>0</v>
      </c>
      <c r="N2129" t="b">
        <f t="shared" si="306"/>
        <v>0</v>
      </c>
    </row>
    <row r="2130" spans="1:14">
      <c r="A2130" s="29">
        <v>46690</v>
      </c>
      <c r="B2130" s="30">
        <f t="shared" si="298"/>
        <v>10</v>
      </c>
      <c r="C2130" s="30">
        <f t="shared" si="301"/>
        <v>30</v>
      </c>
      <c r="D2130" s="26">
        <f>MATCH(WEEKDAY(A2130),そのた定義!A:A,0)</f>
        <v>8</v>
      </c>
      <c r="E2130" s="33" t="str">
        <f t="shared" ca="1" si="302"/>
        <v>土</v>
      </c>
      <c r="F2130" s="26">
        <f t="shared" si="303"/>
        <v>1</v>
      </c>
      <c r="G2130" s="26">
        <f>IF(ISNA(MATCH(A2130,祝日定義!E:E,0)),0,1)</f>
        <v>0</v>
      </c>
      <c r="H2130" s="26">
        <f>IF(ISNA(MATCH(B2130&amp;"/"&amp;C2130,そのた定義!E:E,0)), 0, 1)</f>
        <v>0</v>
      </c>
      <c r="I2130" s="23" t="b">
        <f t="shared" si="304"/>
        <v>1</v>
      </c>
      <c r="J2130" s="26">
        <v>0</v>
      </c>
      <c r="K2130" s="26" t="b">
        <f t="shared" si="299"/>
        <v>0</v>
      </c>
      <c r="L2130" s="26" t="b">
        <f t="shared" si="300"/>
        <v>0</v>
      </c>
      <c r="M2130" t="b">
        <f t="shared" si="305"/>
        <v>0</v>
      </c>
      <c r="N2130" t="b">
        <f t="shared" si="306"/>
        <v>0</v>
      </c>
    </row>
    <row r="2131" spans="1:14">
      <c r="A2131" s="29">
        <v>46691</v>
      </c>
      <c r="B2131" s="30">
        <f t="shared" si="298"/>
        <v>10</v>
      </c>
      <c r="C2131" s="30">
        <f t="shared" si="301"/>
        <v>31</v>
      </c>
      <c r="D2131" s="26">
        <f>MATCH(WEEKDAY(A2131),そのた定義!A:A,0)</f>
        <v>2</v>
      </c>
      <c r="E2131" s="32" t="str">
        <f t="shared" ca="1" si="302"/>
        <v>日</v>
      </c>
      <c r="F2131" s="26">
        <f t="shared" si="303"/>
        <v>1</v>
      </c>
      <c r="G2131" s="26">
        <f>IF(ISNA(MATCH(A2131,祝日定義!E:E,0)),0,1)</f>
        <v>0</v>
      </c>
      <c r="H2131" s="26">
        <f>IF(ISNA(MATCH(B2131&amp;"/"&amp;C2131,そのた定義!E:E,0)), 0, 1)</f>
        <v>0</v>
      </c>
      <c r="I2131" s="23" t="b">
        <f t="shared" si="304"/>
        <v>1</v>
      </c>
      <c r="J2131" s="26">
        <v>0</v>
      </c>
      <c r="K2131" s="26" t="b">
        <f t="shared" si="299"/>
        <v>0</v>
      </c>
      <c r="L2131" s="26" t="b">
        <f t="shared" si="300"/>
        <v>0</v>
      </c>
      <c r="M2131" t="b">
        <f t="shared" si="305"/>
        <v>0</v>
      </c>
      <c r="N2131" t="b">
        <f t="shared" si="306"/>
        <v>1</v>
      </c>
    </row>
  </sheetData>
  <autoFilter ref="A1:N2131" xr:uid="{27B513C2-BE3A-9C4B-9034-0C07F4ACDF2A}"/>
  <phoneticPr fontId="1"/>
  <conditionalFormatting sqref="I2000">
    <cfRule type="expression" dxfId="0" priority="1">
      <formula>$I2000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祝日定義</vt:lpstr>
      <vt:lpstr>そのた定義</vt:lpstr>
      <vt:lpstr>カレンダ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Shibata</dc:creator>
  <cp:lastModifiedBy>Kazuya Shibata</cp:lastModifiedBy>
  <dcterms:created xsi:type="dcterms:W3CDTF">2021-09-03T16:52:07Z</dcterms:created>
  <dcterms:modified xsi:type="dcterms:W3CDTF">2021-09-05T04:40:41Z</dcterms:modified>
</cp:coreProperties>
</file>